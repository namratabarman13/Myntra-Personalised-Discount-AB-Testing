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4CD047A-B388-4970-AFB9-C3F1217B1FC0}" xr6:coauthVersionLast="47" xr6:coauthVersionMax="47" xr10:uidLastSave="{00000000-0000-0000-0000-000000000000}"/>
  <bookViews>
    <workbookView xWindow="-110" yWindow="-110" windowWidth="19420" windowHeight="10300" xr2:uid="{C12501A5-7FBF-452E-BAC0-54A9500C3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4" i="1"/>
  <c r="I11" i="1"/>
  <c r="J11" i="1" s="1"/>
  <c r="K11" i="1" s="1"/>
  <c r="N11" i="1" s="1"/>
  <c r="I12" i="1"/>
  <c r="J12" i="1" s="1"/>
  <c r="K12" i="1" s="1"/>
  <c r="N12" i="1" s="1"/>
  <c r="I13" i="1"/>
  <c r="J13" i="1" s="1"/>
  <c r="K13" i="1" s="1"/>
  <c r="N13" i="1" s="1"/>
  <c r="I14" i="1"/>
  <c r="J14" i="1" s="1"/>
  <c r="K14" i="1" s="1"/>
  <c r="N14" i="1" s="1"/>
  <c r="I15" i="1"/>
  <c r="J15" i="1" s="1"/>
  <c r="K15" i="1" s="1"/>
  <c r="N15" i="1" s="1"/>
  <c r="I16" i="1"/>
  <c r="J16" i="1" s="1"/>
  <c r="K16" i="1" s="1"/>
  <c r="N16" i="1" s="1"/>
  <c r="I17" i="1"/>
  <c r="J17" i="1" s="1"/>
  <c r="K17" i="1" s="1"/>
  <c r="N17" i="1" s="1"/>
  <c r="I18" i="1"/>
  <c r="J18" i="1" s="1"/>
  <c r="K18" i="1" s="1"/>
  <c r="N18" i="1" s="1"/>
  <c r="I19" i="1"/>
  <c r="J19" i="1" s="1"/>
  <c r="K19" i="1" s="1"/>
  <c r="N19" i="1" s="1"/>
  <c r="I20" i="1"/>
  <c r="J20" i="1" s="1"/>
  <c r="K20" i="1" s="1"/>
  <c r="N20" i="1" s="1"/>
  <c r="I21" i="1"/>
  <c r="J21" i="1" s="1"/>
  <c r="K21" i="1" s="1"/>
  <c r="N21" i="1" s="1"/>
  <c r="I22" i="1"/>
  <c r="J22" i="1" s="1"/>
  <c r="K22" i="1" s="1"/>
  <c r="N22" i="1" s="1"/>
  <c r="I23" i="1"/>
  <c r="J23" i="1" s="1"/>
  <c r="K23" i="1" s="1"/>
  <c r="N23" i="1" s="1"/>
  <c r="I24" i="1"/>
  <c r="J24" i="1" s="1"/>
  <c r="K24" i="1" s="1"/>
  <c r="N24" i="1" s="1"/>
  <c r="I25" i="1"/>
  <c r="J25" i="1" s="1"/>
  <c r="K25" i="1" s="1"/>
  <c r="N25" i="1" s="1"/>
  <c r="I26" i="1"/>
  <c r="J26" i="1" s="1"/>
  <c r="K26" i="1" s="1"/>
  <c r="N26" i="1" s="1"/>
  <c r="I27" i="1"/>
  <c r="J27" i="1" s="1"/>
  <c r="K27" i="1" s="1"/>
  <c r="N27" i="1" s="1"/>
  <c r="I28" i="1"/>
  <c r="J28" i="1" s="1"/>
  <c r="K28" i="1" s="1"/>
  <c r="N28" i="1" s="1"/>
  <c r="I29" i="1"/>
  <c r="J29" i="1" s="1"/>
  <c r="K29" i="1" s="1"/>
  <c r="N29" i="1" s="1"/>
  <c r="I30" i="1"/>
  <c r="J30" i="1" s="1"/>
  <c r="K30" i="1" s="1"/>
  <c r="N30" i="1" s="1"/>
  <c r="I31" i="1"/>
  <c r="J31" i="1" s="1"/>
  <c r="K31" i="1" s="1"/>
  <c r="N31" i="1" s="1"/>
  <c r="I32" i="1"/>
  <c r="J32" i="1" s="1"/>
  <c r="K32" i="1" s="1"/>
  <c r="N32" i="1" s="1"/>
  <c r="I33" i="1"/>
  <c r="J33" i="1" s="1"/>
  <c r="K33" i="1" s="1"/>
  <c r="N33" i="1" s="1"/>
  <c r="I34" i="1"/>
  <c r="J34" i="1" s="1"/>
  <c r="K34" i="1" s="1"/>
  <c r="N34" i="1" s="1"/>
  <c r="I35" i="1"/>
  <c r="J35" i="1" s="1"/>
  <c r="K35" i="1" s="1"/>
  <c r="N35" i="1" s="1"/>
  <c r="I36" i="1"/>
  <c r="J36" i="1" s="1"/>
  <c r="K36" i="1" s="1"/>
  <c r="N36" i="1" s="1"/>
  <c r="I37" i="1"/>
  <c r="J37" i="1" s="1"/>
  <c r="K37" i="1" s="1"/>
  <c r="N37" i="1" s="1"/>
  <c r="I38" i="1"/>
  <c r="J38" i="1" s="1"/>
  <c r="K38" i="1" s="1"/>
  <c r="N38" i="1" s="1"/>
  <c r="I39" i="1"/>
  <c r="J39" i="1" s="1"/>
  <c r="K39" i="1" s="1"/>
  <c r="N39" i="1" s="1"/>
  <c r="I40" i="1"/>
  <c r="J40" i="1" s="1"/>
  <c r="K40" i="1" s="1"/>
  <c r="N40" i="1" s="1"/>
  <c r="I41" i="1"/>
  <c r="J41" i="1" s="1"/>
  <c r="K41" i="1" s="1"/>
  <c r="N41" i="1" s="1"/>
  <c r="I42" i="1"/>
  <c r="J42" i="1" s="1"/>
  <c r="K42" i="1" s="1"/>
  <c r="N42" i="1" s="1"/>
  <c r="I43" i="1"/>
  <c r="J43" i="1" s="1"/>
  <c r="K43" i="1" s="1"/>
  <c r="N43" i="1" s="1"/>
  <c r="I44" i="1"/>
  <c r="J44" i="1" s="1"/>
  <c r="K44" i="1" s="1"/>
  <c r="N44" i="1" s="1"/>
  <c r="I45" i="1"/>
  <c r="J45" i="1" s="1"/>
  <c r="K45" i="1" s="1"/>
  <c r="N45" i="1" s="1"/>
  <c r="I46" i="1"/>
  <c r="J46" i="1" s="1"/>
  <c r="K46" i="1" s="1"/>
  <c r="N46" i="1" s="1"/>
  <c r="I47" i="1"/>
  <c r="J47" i="1" s="1"/>
  <c r="K47" i="1" s="1"/>
  <c r="N47" i="1" s="1"/>
  <c r="I48" i="1"/>
  <c r="J48" i="1" s="1"/>
  <c r="K48" i="1" s="1"/>
  <c r="N48" i="1" s="1"/>
  <c r="I49" i="1"/>
  <c r="J49" i="1" s="1"/>
  <c r="K49" i="1" s="1"/>
  <c r="N49" i="1" s="1"/>
  <c r="I50" i="1"/>
  <c r="J50" i="1" s="1"/>
  <c r="K50" i="1" s="1"/>
  <c r="N50" i="1" s="1"/>
  <c r="I51" i="1"/>
  <c r="J51" i="1" s="1"/>
  <c r="K51" i="1" s="1"/>
  <c r="N51" i="1" s="1"/>
  <c r="I52" i="1"/>
  <c r="J52" i="1" s="1"/>
  <c r="K52" i="1" s="1"/>
  <c r="N52" i="1" s="1"/>
  <c r="I53" i="1"/>
  <c r="J53" i="1" s="1"/>
  <c r="K53" i="1" s="1"/>
  <c r="N53" i="1" s="1"/>
  <c r="I54" i="1"/>
  <c r="J54" i="1" s="1"/>
  <c r="K54" i="1" s="1"/>
  <c r="N54" i="1" s="1"/>
  <c r="I55" i="1"/>
  <c r="J55" i="1" s="1"/>
  <c r="K55" i="1" s="1"/>
  <c r="N55" i="1" s="1"/>
  <c r="I56" i="1"/>
  <c r="J56" i="1" s="1"/>
  <c r="K56" i="1" s="1"/>
  <c r="N56" i="1" s="1"/>
  <c r="I57" i="1"/>
  <c r="J57" i="1" s="1"/>
  <c r="K57" i="1" s="1"/>
  <c r="N57" i="1" s="1"/>
  <c r="I58" i="1"/>
  <c r="J58" i="1" s="1"/>
  <c r="K58" i="1" s="1"/>
  <c r="N58" i="1" s="1"/>
  <c r="I59" i="1"/>
  <c r="J59" i="1" s="1"/>
  <c r="K59" i="1" s="1"/>
  <c r="N59" i="1" s="1"/>
  <c r="I60" i="1"/>
  <c r="J60" i="1" s="1"/>
  <c r="K60" i="1" s="1"/>
  <c r="N60" i="1" s="1"/>
  <c r="I61" i="1"/>
  <c r="J61" i="1" s="1"/>
  <c r="K61" i="1" s="1"/>
  <c r="N61" i="1" s="1"/>
  <c r="I62" i="1"/>
  <c r="J62" i="1" s="1"/>
  <c r="K62" i="1" s="1"/>
  <c r="N62" i="1" s="1"/>
  <c r="I63" i="1"/>
  <c r="J63" i="1" s="1"/>
  <c r="K63" i="1" s="1"/>
  <c r="N63" i="1" s="1"/>
  <c r="I64" i="1"/>
  <c r="J64" i="1" s="1"/>
  <c r="K64" i="1" s="1"/>
  <c r="N64" i="1" s="1"/>
  <c r="I65" i="1"/>
  <c r="J65" i="1" s="1"/>
  <c r="K65" i="1" s="1"/>
  <c r="N65" i="1" s="1"/>
  <c r="I66" i="1"/>
  <c r="J66" i="1" s="1"/>
  <c r="K66" i="1" s="1"/>
  <c r="N66" i="1" s="1"/>
  <c r="I67" i="1"/>
  <c r="J67" i="1" s="1"/>
  <c r="K67" i="1" s="1"/>
  <c r="N67" i="1" s="1"/>
  <c r="I68" i="1"/>
  <c r="J68" i="1" s="1"/>
  <c r="K68" i="1" s="1"/>
  <c r="N68" i="1" s="1"/>
  <c r="I69" i="1"/>
  <c r="J69" i="1" s="1"/>
  <c r="K69" i="1" s="1"/>
  <c r="N69" i="1" s="1"/>
  <c r="I70" i="1"/>
  <c r="J70" i="1" s="1"/>
  <c r="K70" i="1" s="1"/>
  <c r="N70" i="1" s="1"/>
  <c r="I71" i="1"/>
  <c r="J71" i="1" s="1"/>
  <c r="K71" i="1" s="1"/>
  <c r="N71" i="1" s="1"/>
  <c r="I72" i="1"/>
  <c r="J72" i="1" s="1"/>
  <c r="K72" i="1" s="1"/>
  <c r="N72" i="1" s="1"/>
  <c r="I73" i="1"/>
  <c r="J73" i="1" s="1"/>
  <c r="K73" i="1" s="1"/>
  <c r="N73" i="1" s="1"/>
  <c r="I74" i="1"/>
  <c r="J74" i="1" s="1"/>
  <c r="K74" i="1" s="1"/>
  <c r="N74" i="1" s="1"/>
  <c r="I75" i="1"/>
  <c r="J75" i="1" s="1"/>
  <c r="K75" i="1" s="1"/>
  <c r="N75" i="1" s="1"/>
  <c r="I76" i="1"/>
  <c r="J76" i="1" s="1"/>
  <c r="K76" i="1" s="1"/>
  <c r="N76" i="1" s="1"/>
  <c r="I77" i="1"/>
  <c r="J77" i="1" s="1"/>
  <c r="K77" i="1" s="1"/>
  <c r="N77" i="1" s="1"/>
  <c r="I78" i="1"/>
  <c r="J78" i="1" s="1"/>
  <c r="K78" i="1" s="1"/>
  <c r="N78" i="1" s="1"/>
  <c r="I79" i="1"/>
  <c r="J79" i="1" s="1"/>
  <c r="K79" i="1" s="1"/>
  <c r="N79" i="1" s="1"/>
  <c r="I80" i="1"/>
  <c r="J80" i="1" s="1"/>
  <c r="K80" i="1" s="1"/>
  <c r="N80" i="1" s="1"/>
  <c r="I81" i="1"/>
  <c r="J81" i="1" s="1"/>
  <c r="K81" i="1" s="1"/>
  <c r="N81" i="1" s="1"/>
  <c r="I82" i="1"/>
  <c r="J82" i="1" s="1"/>
  <c r="K82" i="1" s="1"/>
  <c r="N82" i="1" s="1"/>
  <c r="I83" i="1"/>
  <c r="J83" i="1" s="1"/>
  <c r="K83" i="1" s="1"/>
  <c r="N83" i="1" s="1"/>
  <c r="I84" i="1"/>
  <c r="J84" i="1" s="1"/>
  <c r="K84" i="1" s="1"/>
  <c r="N84" i="1" s="1"/>
  <c r="I85" i="1"/>
  <c r="J85" i="1" s="1"/>
  <c r="K85" i="1" s="1"/>
  <c r="N85" i="1" s="1"/>
  <c r="I86" i="1"/>
  <c r="J86" i="1" s="1"/>
  <c r="K86" i="1" s="1"/>
  <c r="N86" i="1" s="1"/>
  <c r="I87" i="1"/>
  <c r="J87" i="1" s="1"/>
  <c r="K87" i="1" s="1"/>
  <c r="N87" i="1" s="1"/>
  <c r="I88" i="1"/>
  <c r="J88" i="1" s="1"/>
  <c r="K88" i="1" s="1"/>
  <c r="N88" i="1" s="1"/>
  <c r="I89" i="1"/>
  <c r="J89" i="1" s="1"/>
  <c r="K89" i="1" s="1"/>
  <c r="N89" i="1" s="1"/>
  <c r="I90" i="1"/>
  <c r="J90" i="1" s="1"/>
  <c r="K90" i="1" s="1"/>
  <c r="N90" i="1" s="1"/>
  <c r="I91" i="1"/>
  <c r="J91" i="1" s="1"/>
  <c r="K91" i="1" s="1"/>
  <c r="N91" i="1" s="1"/>
  <c r="I92" i="1"/>
  <c r="J92" i="1" s="1"/>
  <c r="K92" i="1" s="1"/>
  <c r="N92" i="1" s="1"/>
  <c r="I93" i="1"/>
  <c r="J93" i="1" s="1"/>
  <c r="K93" i="1" s="1"/>
  <c r="N93" i="1" s="1"/>
  <c r="I94" i="1"/>
  <c r="J94" i="1" s="1"/>
  <c r="K94" i="1" s="1"/>
  <c r="N94" i="1" s="1"/>
  <c r="I95" i="1"/>
  <c r="J95" i="1" s="1"/>
  <c r="K95" i="1" s="1"/>
  <c r="N95" i="1" s="1"/>
  <c r="I96" i="1"/>
  <c r="J96" i="1" s="1"/>
  <c r="K96" i="1" s="1"/>
  <c r="N96" i="1" s="1"/>
  <c r="I97" i="1"/>
  <c r="J97" i="1" s="1"/>
  <c r="K97" i="1" s="1"/>
  <c r="N97" i="1" s="1"/>
  <c r="I98" i="1"/>
  <c r="J98" i="1" s="1"/>
  <c r="K98" i="1" s="1"/>
  <c r="N98" i="1" s="1"/>
  <c r="I99" i="1"/>
  <c r="J99" i="1" s="1"/>
  <c r="K99" i="1" s="1"/>
  <c r="N99" i="1" s="1"/>
  <c r="I100" i="1"/>
  <c r="J100" i="1" s="1"/>
  <c r="K100" i="1" s="1"/>
  <c r="N100" i="1" s="1"/>
  <c r="I101" i="1"/>
  <c r="J101" i="1" s="1"/>
  <c r="K101" i="1" s="1"/>
  <c r="N101" i="1" s="1"/>
  <c r="I102" i="1"/>
  <c r="J102" i="1" s="1"/>
  <c r="K102" i="1" s="1"/>
  <c r="N102" i="1" s="1"/>
  <c r="I103" i="1"/>
  <c r="J103" i="1" s="1"/>
  <c r="K103" i="1" s="1"/>
  <c r="N103" i="1" s="1"/>
  <c r="I104" i="1"/>
  <c r="J104" i="1" s="1"/>
  <c r="K104" i="1" s="1"/>
  <c r="N104" i="1" s="1"/>
  <c r="I105" i="1"/>
  <c r="J105" i="1" s="1"/>
  <c r="K105" i="1" s="1"/>
  <c r="N105" i="1" s="1"/>
  <c r="I106" i="1"/>
  <c r="J106" i="1" s="1"/>
  <c r="K106" i="1" s="1"/>
  <c r="N106" i="1" s="1"/>
  <c r="I107" i="1"/>
  <c r="J107" i="1" s="1"/>
  <c r="K107" i="1" s="1"/>
  <c r="N107" i="1" s="1"/>
  <c r="I108" i="1"/>
  <c r="J108" i="1" s="1"/>
  <c r="K108" i="1" s="1"/>
  <c r="N108" i="1" s="1"/>
  <c r="I109" i="1"/>
  <c r="J109" i="1" s="1"/>
  <c r="K109" i="1" s="1"/>
  <c r="N109" i="1" s="1"/>
  <c r="I110" i="1"/>
  <c r="J110" i="1" s="1"/>
  <c r="K110" i="1" s="1"/>
  <c r="N110" i="1" s="1"/>
  <c r="I111" i="1"/>
  <c r="J111" i="1" s="1"/>
  <c r="K111" i="1" s="1"/>
  <c r="N111" i="1" s="1"/>
  <c r="I112" i="1"/>
  <c r="J112" i="1" s="1"/>
  <c r="K112" i="1" s="1"/>
  <c r="N112" i="1" s="1"/>
  <c r="I113" i="1"/>
  <c r="J113" i="1" s="1"/>
  <c r="K113" i="1" s="1"/>
  <c r="N113" i="1" s="1"/>
  <c r="I114" i="1"/>
  <c r="J114" i="1" s="1"/>
  <c r="K114" i="1" s="1"/>
  <c r="N114" i="1" s="1"/>
  <c r="I115" i="1"/>
  <c r="J115" i="1" s="1"/>
  <c r="K115" i="1" s="1"/>
  <c r="N115" i="1" s="1"/>
  <c r="I116" i="1"/>
  <c r="J116" i="1" s="1"/>
  <c r="K116" i="1" s="1"/>
  <c r="N116" i="1" s="1"/>
  <c r="I117" i="1"/>
  <c r="J117" i="1" s="1"/>
  <c r="K117" i="1" s="1"/>
  <c r="N117" i="1" s="1"/>
  <c r="I118" i="1"/>
  <c r="J118" i="1" s="1"/>
  <c r="K118" i="1" s="1"/>
  <c r="N118" i="1" s="1"/>
  <c r="I119" i="1"/>
  <c r="J119" i="1" s="1"/>
  <c r="K119" i="1" s="1"/>
  <c r="N119" i="1" s="1"/>
  <c r="I120" i="1"/>
  <c r="J120" i="1" s="1"/>
  <c r="K120" i="1" s="1"/>
  <c r="N120" i="1" s="1"/>
  <c r="I121" i="1"/>
  <c r="J121" i="1" s="1"/>
  <c r="K121" i="1" s="1"/>
  <c r="N121" i="1" s="1"/>
  <c r="I122" i="1"/>
  <c r="J122" i="1" s="1"/>
  <c r="K122" i="1" s="1"/>
  <c r="N122" i="1" s="1"/>
  <c r="I123" i="1"/>
  <c r="J123" i="1" s="1"/>
  <c r="K123" i="1" s="1"/>
  <c r="N123" i="1" s="1"/>
  <c r="I124" i="1"/>
  <c r="J124" i="1" s="1"/>
  <c r="K124" i="1" s="1"/>
  <c r="N124" i="1" s="1"/>
  <c r="I125" i="1"/>
  <c r="J125" i="1" s="1"/>
  <c r="K125" i="1" s="1"/>
  <c r="N125" i="1" s="1"/>
  <c r="I126" i="1"/>
  <c r="J126" i="1" s="1"/>
  <c r="K126" i="1" s="1"/>
  <c r="N126" i="1" s="1"/>
  <c r="I127" i="1"/>
  <c r="J127" i="1" s="1"/>
  <c r="K127" i="1" s="1"/>
  <c r="N127" i="1" s="1"/>
  <c r="I128" i="1"/>
  <c r="J128" i="1" s="1"/>
  <c r="K128" i="1" s="1"/>
  <c r="N128" i="1" s="1"/>
  <c r="I129" i="1"/>
  <c r="J129" i="1" s="1"/>
  <c r="K129" i="1" s="1"/>
  <c r="N129" i="1" s="1"/>
  <c r="I130" i="1"/>
  <c r="J130" i="1" s="1"/>
  <c r="K130" i="1" s="1"/>
  <c r="N130" i="1" s="1"/>
  <c r="I131" i="1"/>
  <c r="J131" i="1" s="1"/>
  <c r="K131" i="1" s="1"/>
  <c r="N131" i="1" s="1"/>
  <c r="I132" i="1"/>
  <c r="J132" i="1" s="1"/>
  <c r="K132" i="1" s="1"/>
  <c r="N132" i="1" s="1"/>
  <c r="I133" i="1"/>
  <c r="J133" i="1" s="1"/>
  <c r="K133" i="1" s="1"/>
  <c r="N133" i="1" s="1"/>
  <c r="I134" i="1"/>
  <c r="J134" i="1" s="1"/>
  <c r="K134" i="1" s="1"/>
  <c r="N134" i="1" s="1"/>
  <c r="I135" i="1"/>
  <c r="J135" i="1" s="1"/>
  <c r="K135" i="1" s="1"/>
  <c r="N135" i="1" s="1"/>
  <c r="I136" i="1"/>
  <c r="J136" i="1" s="1"/>
  <c r="K136" i="1" s="1"/>
  <c r="N136" i="1" s="1"/>
  <c r="I137" i="1"/>
  <c r="J137" i="1" s="1"/>
  <c r="K137" i="1" s="1"/>
  <c r="N137" i="1" s="1"/>
  <c r="I138" i="1"/>
  <c r="J138" i="1" s="1"/>
  <c r="K138" i="1" s="1"/>
  <c r="N138" i="1" s="1"/>
  <c r="I139" i="1"/>
  <c r="J139" i="1" s="1"/>
  <c r="K139" i="1" s="1"/>
  <c r="N139" i="1" s="1"/>
  <c r="I140" i="1"/>
  <c r="J140" i="1" s="1"/>
  <c r="K140" i="1" s="1"/>
  <c r="N140" i="1" s="1"/>
  <c r="I141" i="1"/>
  <c r="J141" i="1" s="1"/>
  <c r="K141" i="1" s="1"/>
  <c r="N141" i="1" s="1"/>
  <c r="I142" i="1"/>
  <c r="J142" i="1" s="1"/>
  <c r="K142" i="1" s="1"/>
  <c r="N142" i="1" s="1"/>
  <c r="I143" i="1"/>
  <c r="J143" i="1" s="1"/>
  <c r="K143" i="1" s="1"/>
  <c r="N143" i="1" s="1"/>
  <c r="I144" i="1"/>
  <c r="J144" i="1" s="1"/>
  <c r="K144" i="1" s="1"/>
  <c r="N144" i="1" s="1"/>
  <c r="I145" i="1"/>
  <c r="J145" i="1" s="1"/>
  <c r="K145" i="1" s="1"/>
  <c r="N145" i="1" s="1"/>
  <c r="I146" i="1"/>
  <c r="J146" i="1" s="1"/>
  <c r="K146" i="1" s="1"/>
  <c r="N146" i="1" s="1"/>
  <c r="I147" i="1"/>
  <c r="J147" i="1" s="1"/>
  <c r="K147" i="1" s="1"/>
  <c r="N147" i="1" s="1"/>
  <c r="I148" i="1"/>
  <c r="J148" i="1" s="1"/>
  <c r="K148" i="1" s="1"/>
  <c r="N148" i="1" s="1"/>
  <c r="I149" i="1"/>
  <c r="J149" i="1" s="1"/>
  <c r="K149" i="1" s="1"/>
  <c r="N149" i="1" s="1"/>
  <c r="I150" i="1"/>
  <c r="J150" i="1" s="1"/>
  <c r="K150" i="1" s="1"/>
  <c r="N150" i="1" s="1"/>
  <c r="I151" i="1"/>
  <c r="J151" i="1" s="1"/>
  <c r="K151" i="1" s="1"/>
  <c r="N151" i="1" s="1"/>
  <c r="I152" i="1"/>
  <c r="J152" i="1" s="1"/>
  <c r="K152" i="1" s="1"/>
  <c r="N152" i="1" s="1"/>
  <c r="I153" i="1"/>
  <c r="J153" i="1" s="1"/>
  <c r="K153" i="1" s="1"/>
  <c r="N153" i="1" s="1"/>
  <c r="I154" i="1"/>
  <c r="J154" i="1" s="1"/>
  <c r="K154" i="1" s="1"/>
  <c r="N154" i="1" s="1"/>
  <c r="I155" i="1"/>
  <c r="J155" i="1" s="1"/>
  <c r="K155" i="1" s="1"/>
  <c r="N155" i="1" s="1"/>
  <c r="I156" i="1"/>
  <c r="J156" i="1" s="1"/>
  <c r="K156" i="1" s="1"/>
  <c r="N156" i="1" s="1"/>
  <c r="I157" i="1"/>
  <c r="J157" i="1" s="1"/>
  <c r="K157" i="1" s="1"/>
  <c r="N157" i="1" s="1"/>
  <c r="I158" i="1"/>
  <c r="J158" i="1" s="1"/>
  <c r="K158" i="1" s="1"/>
  <c r="N158" i="1" s="1"/>
  <c r="I159" i="1"/>
  <c r="J159" i="1" s="1"/>
  <c r="K159" i="1" s="1"/>
  <c r="N159" i="1" s="1"/>
  <c r="I160" i="1"/>
  <c r="J160" i="1" s="1"/>
  <c r="K160" i="1" s="1"/>
  <c r="N160" i="1" s="1"/>
  <c r="I161" i="1"/>
  <c r="J161" i="1" s="1"/>
  <c r="K161" i="1" s="1"/>
  <c r="N161" i="1" s="1"/>
  <c r="I162" i="1"/>
  <c r="J162" i="1" s="1"/>
  <c r="K162" i="1" s="1"/>
  <c r="N162" i="1" s="1"/>
  <c r="I163" i="1"/>
  <c r="J163" i="1" s="1"/>
  <c r="K163" i="1" s="1"/>
  <c r="N163" i="1" s="1"/>
  <c r="I164" i="1"/>
  <c r="J164" i="1" s="1"/>
  <c r="K164" i="1" s="1"/>
  <c r="N164" i="1" s="1"/>
  <c r="I165" i="1"/>
  <c r="J165" i="1" s="1"/>
  <c r="K165" i="1" s="1"/>
  <c r="N165" i="1" s="1"/>
  <c r="I166" i="1"/>
  <c r="J166" i="1" s="1"/>
  <c r="K166" i="1" s="1"/>
  <c r="N166" i="1" s="1"/>
  <c r="I167" i="1"/>
  <c r="J167" i="1" s="1"/>
  <c r="K167" i="1" s="1"/>
  <c r="N167" i="1" s="1"/>
  <c r="I168" i="1"/>
  <c r="J168" i="1" s="1"/>
  <c r="K168" i="1" s="1"/>
  <c r="N168" i="1" s="1"/>
  <c r="I169" i="1"/>
  <c r="J169" i="1" s="1"/>
  <c r="K169" i="1" s="1"/>
  <c r="N169" i="1" s="1"/>
  <c r="I170" i="1"/>
  <c r="J170" i="1" s="1"/>
  <c r="K170" i="1" s="1"/>
  <c r="N170" i="1" s="1"/>
  <c r="I171" i="1"/>
  <c r="J171" i="1" s="1"/>
  <c r="K171" i="1" s="1"/>
  <c r="N171" i="1" s="1"/>
  <c r="I172" i="1"/>
  <c r="J172" i="1" s="1"/>
  <c r="K172" i="1" s="1"/>
  <c r="N172" i="1" s="1"/>
  <c r="I173" i="1"/>
  <c r="J173" i="1" s="1"/>
  <c r="K173" i="1" s="1"/>
  <c r="N173" i="1" s="1"/>
  <c r="I174" i="1"/>
  <c r="J174" i="1" s="1"/>
  <c r="K174" i="1" s="1"/>
  <c r="N174" i="1" s="1"/>
  <c r="I175" i="1"/>
  <c r="J175" i="1" s="1"/>
  <c r="K175" i="1" s="1"/>
  <c r="N175" i="1" s="1"/>
  <c r="I176" i="1"/>
  <c r="J176" i="1" s="1"/>
  <c r="K176" i="1" s="1"/>
  <c r="N176" i="1" s="1"/>
  <c r="I177" i="1"/>
  <c r="J177" i="1" s="1"/>
  <c r="K177" i="1" s="1"/>
  <c r="N177" i="1" s="1"/>
  <c r="I178" i="1"/>
  <c r="J178" i="1" s="1"/>
  <c r="K178" i="1" s="1"/>
  <c r="N178" i="1" s="1"/>
  <c r="I179" i="1"/>
  <c r="J179" i="1" s="1"/>
  <c r="K179" i="1" s="1"/>
  <c r="N179" i="1" s="1"/>
  <c r="I180" i="1"/>
  <c r="J180" i="1" s="1"/>
  <c r="K180" i="1" s="1"/>
  <c r="N180" i="1" s="1"/>
  <c r="I181" i="1"/>
  <c r="J181" i="1" s="1"/>
  <c r="K181" i="1" s="1"/>
  <c r="N181" i="1" s="1"/>
  <c r="I182" i="1"/>
  <c r="J182" i="1" s="1"/>
  <c r="K182" i="1" s="1"/>
  <c r="N182" i="1" s="1"/>
  <c r="I183" i="1"/>
  <c r="J183" i="1" s="1"/>
  <c r="K183" i="1" s="1"/>
  <c r="N183" i="1" s="1"/>
  <c r="I184" i="1"/>
  <c r="J184" i="1" s="1"/>
  <c r="K184" i="1" s="1"/>
  <c r="N184" i="1" s="1"/>
  <c r="I185" i="1"/>
  <c r="J185" i="1" s="1"/>
  <c r="K185" i="1" s="1"/>
  <c r="N185" i="1" s="1"/>
  <c r="I186" i="1"/>
  <c r="J186" i="1" s="1"/>
  <c r="K186" i="1" s="1"/>
  <c r="N186" i="1" s="1"/>
  <c r="I187" i="1"/>
  <c r="J187" i="1" s="1"/>
  <c r="K187" i="1" s="1"/>
  <c r="N187" i="1" s="1"/>
  <c r="I188" i="1"/>
  <c r="J188" i="1" s="1"/>
  <c r="K188" i="1" s="1"/>
  <c r="N188" i="1" s="1"/>
  <c r="I189" i="1"/>
  <c r="J189" i="1" s="1"/>
  <c r="K189" i="1" s="1"/>
  <c r="N189" i="1" s="1"/>
  <c r="I190" i="1"/>
  <c r="J190" i="1" s="1"/>
  <c r="K190" i="1" s="1"/>
  <c r="N190" i="1" s="1"/>
  <c r="I191" i="1"/>
  <c r="J191" i="1" s="1"/>
  <c r="K191" i="1" s="1"/>
  <c r="N191" i="1" s="1"/>
  <c r="I192" i="1"/>
  <c r="J192" i="1" s="1"/>
  <c r="K192" i="1" s="1"/>
  <c r="N192" i="1" s="1"/>
  <c r="I193" i="1"/>
  <c r="J193" i="1" s="1"/>
  <c r="K193" i="1" s="1"/>
  <c r="N193" i="1" s="1"/>
  <c r="I194" i="1"/>
  <c r="J194" i="1" s="1"/>
  <c r="K194" i="1" s="1"/>
  <c r="N194" i="1" s="1"/>
  <c r="I195" i="1"/>
  <c r="J195" i="1" s="1"/>
  <c r="K195" i="1" s="1"/>
  <c r="N195" i="1" s="1"/>
  <c r="I196" i="1"/>
  <c r="J196" i="1" s="1"/>
  <c r="K196" i="1" s="1"/>
  <c r="N196" i="1" s="1"/>
  <c r="I197" i="1"/>
  <c r="J197" i="1" s="1"/>
  <c r="K197" i="1" s="1"/>
  <c r="N197" i="1" s="1"/>
  <c r="I198" i="1"/>
  <c r="J198" i="1" s="1"/>
  <c r="K198" i="1" s="1"/>
  <c r="N198" i="1" s="1"/>
  <c r="I199" i="1"/>
  <c r="J199" i="1" s="1"/>
  <c r="K199" i="1" s="1"/>
  <c r="N199" i="1" s="1"/>
  <c r="I200" i="1"/>
  <c r="J200" i="1" s="1"/>
  <c r="K200" i="1" s="1"/>
  <c r="N200" i="1" s="1"/>
  <c r="I201" i="1"/>
  <c r="J201" i="1" s="1"/>
  <c r="K201" i="1" s="1"/>
  <c r="N201" i="1" s="1"/>
  <c r="I202" i="1"/>
  <c r="J202" i="1" s="1"/>
  <c r="K202" i="1" s="1"/>
  <c r="N202" i="1" s="1"/>
  <c r="I203" i="1"/>
  <c r="J203" i="1" s="1"/>
  <c r="K203" i="1" s="1"/>
  <c r="N203" i="1" s="1"/>
  <c r="I204" i="1"/>
  <c r="J204" i="1" s="1"/>
  <c r="K204" i="1" s="1"/>
  <c r="N204" i="1" s="1"/>
  <c r="I205" i="1"/>
  <c r="J205" i="1" s="1"/>
  <c r="K205" i="1" s="1"/>
  <c r="N205" i="1" s="1"/>
  <c r="I206" i="1"/>
  <c r="J206" i="1" s="1"/>
  <c r="K206" i="1" s="1"/>
  <c r="N206" i="1" s="1"/>
  <c r="I207" i="1"/>
  <c r="J207" i="1" s="1"/>
  <c r="K207" i="1" s="1"/>
  <c r="N207" i="1" s="1"/>
  <c r="I208" i="1"/>
  <c r="J208" i="1" s="1"/>
  <c r="K208" i="1" s="1"/>
  <c r="N208" i="1" s="1"/>
  <c r="I209" i="1"/>
  <c r="J209" i="1" s="1"/>
  <c r="K209" i="1" s="1"/>
  <c r="N209" i="1" s="1"/>
  <c r="I210" i="1"/>
  <c r="J210" i="1" s="1"/>
  <c r="K210" i="1" s="1"/>
  <c r="N210" i="1" s="1"/>
  <c r="I211" i="1"/>
  <c r="J211" i="1" s="1"/>
  <c r="K211" i="1" s="1"/>
  <c r="N211" i="1" s="1"/>
  <c r="I212" i="1"/>
  <c r="J212" i="1" s="1"/>
  <c r="K212" i="1" s="1"/>
  <c r="N212" i="1" s="1"/>
  <c r="I213" i="1"/>
  <c r="J213" i="1" s="1"/>
  <c r="K213" i="1" s="1"/>
  <c r="N213" i="1" s="1"/>
  <c r="I214" i="1"/>
  <c r="J214" i="1" s="1"/>
  <c r="K214" i="1" s="1"/>
  <c r="N214" i="1" s="1"/>
  <c r="I215" i="1"/>
  <c r="J215" i="1" s="1"/>
  <c r="K215" i="1" s="1"/>
  <c r="N215" i="1" s="1"/>
  <c r="I216" i="1"/>
  <c r="J216" i="1" s="1"/>
  <c r="K216" i="1" s="1"/>
  <c r="N216" i="1" s="1"/>
  <c r="I217" i="1"/>
  <c r="J217" i="1" s="1"/>
  <c r="K217" i="1" s="1"/>
  <c r="N217" i="1" s="1"/>
  <c r="I218" i="1"/>
  <c r="J218" i="1" s="1"/>
  <c r="K218" i="1" s="1"/>
  <c r="N218" i="1" s="1"/>
  <c r="I219" i="1"/>
  <c r="J219" i="1" s="1"/>
  <c r="K219" i="1" s="1"/>
  <c r="N219" i="1" s="1"/>
  <c r="I220" i="1"/>
  <c r="J220" i="1" s="1"/>
  <c r="K220" i="1" s="1"/>
  <c r="N220" i="1" s="1"/>
  <c r="I221" i="1"/>
  <c r="J221" i="1" s="1"/>
  <c r="K221" i="1" s="1"/>
  <c r="N221" i="1" s="1"/>
  <c r="I222" i="1"/>
  <c r="J222" i="1" s="1"/>
  <c r="K222" i="1" s="1"/>
  <c r="N222" i="1" s="1"/>
  <c r="I223" i="1"/>
  <c r="J223" i="1" s="1"/>
  <c r="K223" i="1" s="1"/>
  <c r="N223" i="1" s="1"/>
  <c r="I224" i="1"/>
  <c r="J224" i="1" s="1"/>
  <c r="K224" i="1" s="1"/>
  <c r="N224" i="1" s="1"/>
  <c r="I225" i="1"/>
  <c r="J225" i="1" s="1"/>
  <c r="K225" i="1" s="1"/>
  <c r="N225" i="1" s="1"/>
  <c r="I226" i="1"/>
  <c r="J226" i="1" s="1"/>
  <c r="K226" i="1" s="1"/>
  <c r="N226" i="1" s="1"/>
  <c r="I227" i="1"/>
  <c r="J227" i="1" s="1"/>
  <c r="K227" i="1" s="1"/>
  <c r="N227" i="1" s="1"/>
  <c r="I228" i="1"/>
  <c r="J228" i="1" s="1"/>
  <c r="K228" i="1" s="1"/>
  <c r="N228" i="1" s="1"/>
  <c r="I229" i="1"/>
  <c r="J229" i="1" s="1"/>
  <c r="K229" i="1" s="1"/>
  <c r="N229" i="1" s="1"/>
  <c r="I230" i="1"/>
  <c r="J230" i="1" s="1"/>
  <c r="K230" i="1" s="1"/>
  <c r="N230" i="1" s="1"/>
  <c r="I231" i="1"/>
  <c r="J231" i="1" s="1"/>
  <c r="K231" i="1" s="1"/>
  <c r="N231" i="1" s="1"/>
  <c r="I232" i="1"/>
  <c r="J232" i="1" s="1"/>
  <c r="K232" i="1" s="1"/>
  <c r="N232" i="1" s="1"/>
  <c r="I233" i="1"/>
  <c r="J233" i="1" s="1"/>
  <c r="K233" i="1" s="1"/>
  <c r="N233" i="1" s="1"/>
  <c r="I234" i="1"/>
  <c r="J234" i="1" s="1"/>
  <c r="K234" i="1" s="1"/>
  <c r="N234" i="1" s="1"/>
  <c r="I235" i="1"/>
  <c r="J235" i="1" s="1"/>
  <c r="K235" i="1" s="1"/>
  <c r="N235" i="1" s="1"/>
  <c r="I236" i="1"/>
  <c r="J236" i="1" s="1"/>
  <c r="K236" i="1" s="1"/>
  <c r="N236" i="1" s="1"/>
  <c r="I237" i="1"/>
  <c r="J237" i="1" s="1"/>
  <c r="K237" i="1" s="1"/>
  <c r="N237" i="1" s="1"/>
  <c r="I238" i="1"/>
  <c r="J238" i="1" s="1"/>
  <c r="K238" i="1" s="1"/>
  <c r="N238" i="1" s="1"/>
  <c r="I239" i="1"/>
  <c r="J239" i="1" s="1"/>
  <c r="K239" i="1" s="1"/>
  <c r="N239" i="1" s="1"/>
  <c r="I240" i="1"/>
  <c r="J240" i="1" s="1"/>
  <c r="K240" i="1" s="1"/>
  <c r="N240" i="1" s="1"/>
  <c r="I241" i="1"/>
  <c r="J241" i="1" s="1"/>
  <c r="K241" i="1" s="1"/>
  <c r="N241" i="1" s="1"/>
  <c r="I242" i="1"/>
  <c r="J242" i="1" s="1"/>
  <c r="K242" i="1" s="1"/>
  <c r="N242" i="1" s="1"/>
  <c r="I243" i="1"/>
  <c r="J243" i="1" s="1"/>
  <c r="K243" i="1" s="1"/>
  <c r="N243" i="1" s="1"/>
  <c r="I244" i="1"/>
  <c r="J244" i="1" s="1"/>
  <c r="K244" i="1" s="1"/>
  <c r="N244" i="1" s="1"/>
  <c r="I245" i="1"/>
  <c r="J245" i="1" s="1"/>
  <c r="K245" i="1" s="1"/>
  <c r="N245" i="1" s="1"/>
  <c r="I246" i="1"/>
  <c r="J246" i="1" s="1"/>
  <c r="K246" i="1" s="1"/>
  <c r="N246" i="1" s="1"/>
  <c r="I247" i="1"/>
  <c r="J247" i="1" s="1"/>
  <c r="K247" i="1" s="1"/>
  <c r="N247" i="1" s="1"/>
  <c r="I248" i="1"/>
  <c r="J248" i="1" s="1"/>
  <c r="K248" i="1" s="1"/>
  <c r="N248" i="1" s="1"/>
  <c r="I249" i="1"/>
  <c r="J249" i="1" s="1"/>
  <c r="K249" i="1" s="1"/>
  <c r="N249" i="1" s="1"/>
  <c r="I250" i="1"/>
  <c r="J250" i="1" s="1"/>
  <c r="K250" i="1" s="1"/>
  <c r="N250" i="1" s="1"/>
  <c r="I251" i="1"/>
  <c r="J251" i="1" s="1"/>
  <c r="K251" i="1" s="1"/>
  <c r="N251" i="1" s="1"/>
  <c r="I252" i="1"/>
  <c r="J252" i="1" s="1"/>
  <c r="K252" i="1" s="1"/>
  <c r="N252" i="1" s="1"/>
  <c r="I253" i="1"/>
  <c r="J253" i="1" s="1"/>
  <c r="K253" i="1" s="1"/>
  <c r="N253" i="1" s="1"/>
  <c r="I254" i="1"/>
  <c r="J254" i="1" s="1"/>
  <c r="K254" i="1" s="1"/>
  <c r="N254" i="1" s="1"/>
  <c r="I255" i="1"/>
  <c r="J255" i="1" s="1"/>
  <c r="K255" i="1" s="1"/>
  <c r="N255" i="1" s="1"/>
  <c r="I256" i="1"/>
  <c r="J256" i="1" s="1"/>
  <c r="K256" i="1" s="1"/>
  <c r="N256" i="1" s="1"/>
  <c r="I257" i="1"/>
  <c r="J257" i="1" s="1"/>
  <c r="K257" i="1" s="1"/>
  <c r="N257" i="1" s="1"/>
  <c r="I258" i="1"/>
  <c r="J258" i="1" s="1"/>
  <c r="K258" i="1" s="1"/>
  <c r="N258" i="1" s="1"/>
  <c r="I259" i="1"/>
  <c r="J259" i="1" s="1"/>
  <c r="K259" i="1" s="1"/>
  <c r="N259" i="1" s="1"/>
  <c r="I260" i="1"/>
  <c r="J260" i="1" s="1"/>
  <c r="K260" i="1" s="1"/>
  <c r="N260" i="1" s="1"/>
  <c r="I261" i="1"/>
  <c r="J261" i="1" s="1"/>
  <c r="K261" i="1" s="1"/>
  <c r="N261" i="1" s="1"/>
  <c r="I262" i="1"/>
  <c r="J262" i="1" s="1"/>
  <c r="K262" i="1" s="1"/>
  <c r="N262" i="1" s="1"/>
  <c r="I263" i="1"/>
  <c r="J263" i="1" s="1"/>
  <c r="K263" i="1" s="1"/>
  <c r="N263" i="1" s="1"/>
  <c r="I264" i="1"/>
  <c r="J264" i="1" s="1"/>
  <c r="K264" i="1" s="1"/>
  <c r="N264" i="1" s="1"/>
  <c r="I265" i="1"/>
  <c r="J265" i="1" s="1"/>
  <c r="K265" i="1" s="1"/>
  <c r="N265" i="1" s="1"/>
  <c r="I266" i="1"/>
  <c r="J266" i="1" s="1"/>
  <c r="K266" i="1" s="1"/>
  <c r="N266" i="1" s="1"/>
  <c r="I267" i="1"/>
  <c r="J267" i="1" s="1"/>
  <c r="K267" i="1" s="1"/>
  <c r="N267" i="1" s="1"/>
  <c r="I268" i="1"/>
  <c r="J268" i="1" s="1"/>
  <c r="K268" i="1" s="1"/>
  <c r="N268" i="1" s="1"/>
  <c r="I269" i="1"/>
  <c r="J269" i="1" s="1"/>
  <c r="K269" i="1" s="1"/>
  <c r="N269" i="1" s="1"/>
  <c r="I270" i="1"/>
  <c r="J270" i="1" s="1"/>
  <c r="K270" i="1" s="1"/>
  <c r="N270" i="1" s="1"/>
  <c r="I271" i="1"/>
  <c r="J271" i="1" s="1"/>
  <c r="K271" i="1" s="1"/>
  <c r="N271" i="1" s="1"/>
  <c r="I272" i="1"/>
  <c r="J272" i="1" s="1"/>
  <c r="K272" i="1" s="1"/>
  <c r="N272" i="1" s="1"/>
  <c r="I273" i="1"/>
  <c r="J273" i="1" s="1"/>
  <c r="K273" i="1" s="1"/>
  <c r="N273" i="1" s="1"/>
  <c r="I274" i="1"/>
  <c r="J274" i="1" s="1"/>
  <c r="K274" i="1" s="1"/>
  <c r="N274" i="1" s="1"/>
  <c r="I275" i="1"/>
  <c r="J275" i="1" s="1"/>
  <c r="K275" i="1" s="1"/>
  <c r="N275" i="1" s="1"/>
  <c r="I276" i="1"/>
  <c r="J276" i="1" s="1"/>
  <c r="K276" i="1" s="1"/>
  <c r="N276" i="1" s="1"/>
  <c r="I277" i="1"/>
  <c r="J277" i="1" s="1"/>
  <c r="K277" i="1" s="1"/>
  <c r="N277" i="1" s="1"/>
  <c r="I278" i="1"/>
  <c r="J278" i="1" s="1"/>
  <c r="K278" i="1" s="1"/>
  <c r="N278" i="1" s="1"/>
  <c r="I279" i="1"/>
  <c r="J279" i="1" s="1"/>
  <c r="K279" i="1" s="1"/>
  <c r="N279" i="1" s="1"/>
  <c r="I280" i="1"/>
  <c r="J280" i="1" s="1"/>
  <c r="K280" i="1" s="1"/>
  <c r="N280" i="1" s="1"/>
  <c r="I281" i="1"/>
  <c r="J281" i="1" s="1"/>
  <c r="K281" i="1" s="1"/>
  <c r="N281" i="1" s="1"/>
  <c r="I282" i="1"/>
  <c r="J282" i="1" s="1"/>
  <c r="K282" i="1" s="1"/>
  <c r="N282" i="1" s="1"/>
  <c r="I283" i="1"/>
  <c r="J283" i="1" s="1"/>
  <c r="K283" i="1" s="1"/>
  <c r="N283" i="1" s="1"/>
  <c r="I284" i="1"/>
  <c r="J284" i="1" s="1"/>
  <c r="K284" i="1" s="1"/>
  <c r="N284" i="1" s="1"/>
  <c r="I285" i="1"/>
  <c r="J285" i="1" s="1"/>
  <c r="K285" i="1" s="1"/>
  <c r="N285" i="1" s="1"/>
  <c r="I286" i="1"/>
  <c r="J286" i="1" s="1"/>
  <c r="K286" i="1" s="1"/>
  <c r="N286" i="1" s="1"/>
  <c r="I287" i="1"/>
  <c r="J287" i="1" s="1"/>
  <c r="K287" i="1" s="1"/>
  <c r="N287" i="1" s="1"/>
  <c r="I288" i="1"/>
  <c r="J288" i="1" s="1"/>
  <c r="K288" i="1" s="1"/>
  <c r="N288" i="1" s="1"/>
  <c r="I289" i="1"/>
  <c r="J289" i="1" s="1"/>
  <c r="K289" i="1" s="1"/>
  <c r="N289" i="1" s="1"/>
  <c r="I290" i="1"/>
  <c r="J290" i="1" s="1"/>
  <c r="K290" i="1" s="1"/>
  <c r="N290" i="1" s="1"/>
  <c r="I291" i="1"/>
  <c r="J291" i="1" s="1"/>
  <c r="K291" i="1" s="1"/>
  <c r="N291" i="1" s="1"/>
  <c r="I292" i="1"/>
  <c r="J292" i="1" s="1"/>
  <c r="K292" i="1" s="1"/>
  <c r="N292" i="1" s="1"/>
  <c r="I293" i="1"/>
  <c r="J293" i="1" s="1"/>
  <c r="K293" i="1" s="1"/>
  <c r="N293" i="1" s="1"/>
  <c r="I294" i="1"/>
  <c r="J294" i="1" s="1"/>
  <c r="K294" i="1" s="1"/>
  <c r="N294" i="1" s="1"/>
  <c r="I295" i="1"/>
  <c r="J295" i="1" s="1"/>
  <c r="K295" i="1" s="1"/>
  <c r="N295" i="1" s="1"/>
  <c r="I296" i="1"/>
  <c r="J296" i="1" s="1"/>
  <c r="K296" i="1" s="1"/>
  <c r="N296" i="1" s="1"/>
  <c r="I297" i="1"/>
  <c r="J297" i="1" s="1"/>
  <c r="K297" i="1" s="1"/>
  <c r="N297" i="1" s="1"/>
  <c r="I298" i="1"/>
  <c r="J298" i="1" s="1"/>
  <c r="K298" i="1" s="1"/>
  <c r="N298" i="1" s="1"/>
  <c r="I299" i="1"/>
  <c r="J299" i="1" s="1"/>
  <c r="K299" i="1" s="1"/>
  <c r="N299" i="1" s="1"/>
  <c r="I300" i="1"/>
  <c r="J300" i="1" s="1"/>
  <c r="K300" i="1" s="1"/>
  <c r="N300" i="1" s="1"/>
  <c r="I301" i="1"/>
  <c r="J301" i="1" s="1"/>
  <c r="K301" i="1" s="1"/>
  <c r="N301" i="1" s="1"/>
  <c r="I302" i="1"/>
  <c r="J302" i="1" s="1"/>
  <c r="K302" i="1" s="1"/>
  <c r="N302" i="1" s="1"/>
  <c r="I303" i="1"/>
  <c r="J303" i="1" s="1"/>
  <c r="K303" i="1" s="1"/>
  <c r="N303" i="1" s="1"/>
  <c r="I304" i="1"/>
  <c r="J304" i="1" s="1"/>
  <c r="K304" i="1" s="1"/>
  <c r="N304" i="1" s="1"/>
  <c r="I305" i="1"/>
  <c r="J305" i="1" s="1"/>
  <c r="K305" i="1" s="1"/>
  <c r="N305" i="1" s="1"/>
  <c r="I306" i="1"/>
  <c r="J306" i="1" s="1"/>
  <c r="K306" i="1" s="1"/>
  <c r="N306" i="1" s="1"/>
  <c r="I307" i="1"/>
  <c r="J307" i="1" s="1"/>
  <c r="K307" i="1" s="1"/>
  <c r="N307" i="1" s="1"/>
  <c r="I308" i="1"/>
  <c r="J308" i="1" s="1"/>
  <c r="K308" i="1" s="1"/>
  <c r="N308" i="1" s="1"/>
  <c r="I309" i="1"/>
  <c r="J309" i="1" s="1"/>
  <c r="K309" i="1" s="1"/>
  <c r="N309" i="1" s="1"/>
  <c r="I310" i="1"/>
  <c r="J310" i="1" s="1"/>
  <c r="K310" i="1" s="1"/>
  <c r="N310" i="1" s="1"/>
  <c r="I311" i="1"/>
  <c r="J311" i="1" s="1"/>
  <c r="K311" i="1" s="1"/>
  <c r="N311" i="1" s="1"/>
  <c r="I312" i="1"/>
  <c r="J312" i="1" s="1"/>
  <c r="K312" i="1" s="1"/>
  <c r="N312" i="1" s="1"/>
  <c r="I313" i="1"/>
  <c r="J313" i="1" s="1"/>
  <c r="K313" i="1" s="1"/>
  <c r="N313" i="1" s="1"/>
  <c r="I314" i="1"/>
  <c r="J314" i="1" s="1"/>
  <c r="K314" i="1" s="1"/>
  <c r="N314" i="1" s="1"/>
  <c r="I315" i="1"/>
  <c r="J315" i="1" s="1"/>
  <c r="K315" i="1" s="1"/>
  <c r="N315" i="1" s="1"/>
  <c r="I316" i="1"/>
  <c r="J316" i="1" s="1"/>
  <c r="K316" i="1" s="1"/>
  <c r="N316" i="1" s="1"/>
  <c r="I317" i="1"/>
  <c r="J317" i="1" s="1"/>
  <c r="K317" i="1" s="1"/>
  <c r="N317" i="1" s="1"/>
  <c r="I318" i="1"/>
  <c r="J318" i="1" s="1"/>
  <c r="K318" i="1" s="1"/>
  <c r="N318" i="1" s="1"/>
  <c r="I319" i="1"/>
  <c r="J319" i="1" s="1"/>
  <c r="K319" i="1" s="1"/>
  <c r="N319" i="1" s="1"/>
  <c r="I320" i="1"/>
  <c r="J320" i="1" s="1"/>
  <c r="K320" i="1" s="1"/>
  <c r="N320" i="1" s="1"/>
  <c r="I321" i="1"/>
  <c r="J321" i="1" s="1"/>
  <c r="K321" i="1" s="1"/>
  <c r="N321" i="1" s="1"/>
  <c r="I322" i="1"/>
  <c r="J322" i="1" s="1"/>
  <c r="K322" i="1" s="1"/>
  <c r="N322" i="1" s="1"/>
  <c r="I323" i="1"/>
  <c r="J323" i="1" s="1"/>
  <c r="K323" i="1" s="1"/>
  <c r="N323" i="1" s="1"/>
  <c r="I324" i="1"/>
  <c r="J324" i="1" s="1"/>
  <c r="K324" i="1" s="1"/>
  <c r="N324" i="1" s="1"/>
  <c r="I325" i="1"/>
  <c r="J325" i="1" s="1"/>
  <c r="K325" i="1" s="1"/>
  <c r="N325" i="1" s="1"/>
  <c r="I326" i="1"/>
  <c r="J326" i="1" s="1"/>
  <c r="K326" i="1" s="1"/>
  <c r="N326" i="1" s="1"/>
  <c r="I327" i="1"/>
  <c r="J327" i="1" s="1"/>
  <c r="K327" i="1" s="1"/>
  <c r="N327" i="1" s="1"/>
  <c r="I328" i="1"/>
  <c r="J328" i="1" s="1"/>
  <c r="K328" i="1" s="1"/>
  <c r="N328" i="1" s="1"/>
  <c r="I329" i="1"/>
  <c r="J329" i="1" s="1"/>
  <c r="K329" i="1" s="1"/>
  <c r="N329" i="1" s="1"/>
  <c r="I330" i="1"/>
  <c r="J330" i="1" s="1"/>
  <c r="K330" i="1" s="1"/>
  <c r="N330" i="1" s="1"/>
  <c r="I331" i="1"/>
  <c r="J331" i="1" s="1"/>
  <c r="K331" i="1" s="1"/>
  <c r="N331" i="1" s="1"/>
  <c r="I332" i="1"/>
  <c r="J332" i="1" s="1"/>
  <c r="K332" i="1" s="1"/>
  <c r="N332" i="1" s="1"/>
  <c r="I333" i="1"/>
  <c r="J333" i="1" s="1"/>
  <c r="K333" i="1" s="1"/>
  <c r="N333" i="1" s="1"/>
  <c r="I334" i="1"/>
  <c r="J334" i="1" s="1"/>
  <c r="K334" i="1" s="1"/>
  <c r="N334" i="1" s="1"/>
  <c r="I335" i="1"/>
  <c r="J335" i="1" s="1"/>
  <c r="K335" i="1" s="1"/>
  <c r="N335" i="1" s="1"/>
  <c r="I336" i="1"/>
  <c r="J336" i="1" s="1"/>
  <c r="K336" i="1" s="1"/>
  <c r="N336" i="1" s="1"/>
  <c r="I337" i="1"/>
  <c r="J337" i="1" s="1"/>
  <c r="K337" i="1" s="1"/>
  <c r="N337" i="1" s="1"/>
  <c r="I338" i="1"/>
  <c r="J338" i="1" s="1"/>
  <c r="K338" i="1" s="1"/>
  <c r="N338" i="1" s="1"/>
  <c r="I339" i="1"/>
  <c r="J339" i="1" s="1"/>
  <c r="K339" i="1" s="1"/>
  <c r="N339" i="1" s="1"/>
  <c r="I340" i="1"/>
  <c r="J340" i="1" s="1"/>
  <c r="K340" i="1" s="1"/>
  <c r="N340" i="1" s="1"/>
  <c r="I341" i="1"/>
  <c r="J341" i="1" s="1"/>
  <c r="K341" i="1" s="1"/>
  <c r="N341" i="1" s="1"/>
  <c r="I342" i="1"/>
  <c r="J342" i="1" s="1"/>
  <c r="K342" i="1" s="1"/>
  <c r="N342" i="1" s="1"/>
  <c r="I343" i="1"/>
  <c r="J343" i="1" s="1"/>
  <c r="K343" i="1" s="1"/>
  <c r="N343" i="1" s="1"/>
  <c r="I344" i="1"/>
  <c r="J344" i="1" s="1"/>
  <c r="K344" i="1" s="1"/>
  <c r="N344" i="1" s="1"/>
  <c r="I345" i="1"/>
  <c r="J345" i="1" s="1"/>
  <c r="K345" i="1" s="1"/>
  <c r="N345" i="1" s="1"/>
  <c r="I346" i="1"/>
  <c r="J346" i="1" s="1"/>
  <c r="K346" i="1" s="1"/>
  <c r="N346" i="1" s="1"/>
  <c r="I347" i="1"/>
  <c r="J347" i="1" s="1"/>
  <c r="K347" i="1" s="1"/>
  <c r="N347" i="1" s="1"/>
  <c r="I348" i="1"/>
  <c r="J348" i="1" s="1"/>
  <c r="K348" i="1" s="1"/>
  <c r="N348" i="1" s="1"/>
  <c r="I349" i="1"/>
  <c r="J349" i="1" s="1"/>
  <c r="K349" i="1" s="1"/>
  <c r="N349" i="1" s="1"/>
  <c r="I350" i="1"/>
  <c r="J350" i="1" s="1"/>
  <c r="K350" i="1" s="1"/>
  <c r="N350" i="1" s="1"/>
  <c r="I351" i="1"/>
  <c r="J351" i="1" s="1"/>
  <c r="K351" i="1" s="1"/>
  <c r="N351" i="1" s="1"/>
  <c r="I352" i="1"/>
  <c r="J352" i="1" s="1"/>
  <c r="K352" i="1" s="1"/>
  <c r="N352" i="1" s="1"/>
  <c r="I353" i="1"/>
  <c r="J353" i="1" s="1"/>
  <c r="K353" i="1" s="1"/>
  <c r="N353" i="1" s="1"/>
  <c r="I354" i="1"/>
  <c r="J354" i="1" s="1"/>
  <c r="K354" i="1" s="1"/>
  <c r="N354" i="1" s="1"/>
  <c r="I355" i="1"/>
  <c r="J355" i="1" s="1"/>
  <c r="K355" i="1" s="1"/>
  <c r="N355" i="1" s="1"/>
  <c r="I356" i="1"/>
  <c r="J356" i="1" s="1"/>
  <c r="K356" i="1" s="1"/>
  <c r="N356" i="1" s="1"/>
  <c r="I357" i="1"/>
  <c r="J357" i="1" s="1"/>
  <c r="K357" i="1" s="1"/>
  <c r="N357" i="1" s="1"/>
  <c r="I358" i="1"/>
  <c r="J358" i="1" s="1"/>
  <c r="K358" i="1" s="1"/>
  <c r="N358" i="1" s="1"/>
  <c r="I359" i="1"/>
  <c r="J359" i="1" s="1"/>
  <c r="K359" i="1" s="1"/>
  <c r="N359" i="1" s="1"/>
  <c r="I360" i="1"/>
  <c r="J360" i="1" s="1"/>
  <c r="K360" i="1" s="1"/>
  <c r="N360" i="1" s="1"/>
  <c r="I361" i="1"/>
  <c r="J361" i="1" s="1"/>
  <c r="K361" i="1" s="1"/>
  <c r="N361" i="1" s="1"/>
  <c r="I362" i="1"/>
  <c r="J362" i="1" s="1"/>
  <c r="K362" i="1" s="1"/>
  <c r="N362" i="1" s="1"/>
  <c r="I363" i="1"/>
  <c r="J363" i="1" s="1"/>
  <c r="K363" i="1" s="1"/>
  <c r="N363" i="1" s="1"/>
  <c r="I364" i="1"/>
  <c r="J364" i="1" s="1"/>
  <c r="K364" i="1" s="1"/>
  <c r="N364" i="1" s="1"/>
  <c r="I365" i="1"/>
  <c r="J365" i="1" s="1"/>
  <c r="K365" i="1" s="1"/>
  <c r="N365" i="1" s="1"/>
  <c r="I366" i="1"/>
  <c r="J366" i="1" s="1"/>
  <c r="K366" i="1" s="1"/>
  <c r="N366" i="1" s="1"/>
  <c r="I367" i="1"/>
  <c r="J367" i="1" s="1"/>
  <c r="K367" i="1" s="1"/>
  <c r="N367" i="1" s="1"/>
  <c r="I368" i="1"/>
  <c r="J368" i="1" s="1"/>
  <c r="K368" i="1" s="1"/>
  <c r="N368" i="1" s="1"/>
  <c r="I369" i="1"/>
  <c r="J369" i="1" s="1"/>
  <c r="K369" i="1" s="1"/>
  <c r="N369" i="1" s="1"/>
  <c r="I370" i="1"/>
  <c r="J370" i="1" s="1"/>
  <c r="K370" i="1" s="1"/>
  <c r="N370" i="1" s="1"/>
  <c r="I371" i="1"/>
  <c r="J371" i="1" s="1"/>
  <c r="K371" i="1" s="1"/>
  <c r="N371" i="1" s="1"/>
  <c r="I372" i="1"/>
  <c r="J372" i="1" s="1"/>
  <c r="K372" i="1" s="1"/>
  <c r="N372" i="1" s="1"/>
  <c r="I373" i="1"/>
  <c r="J373" i="1" s="1"/>
  <c r="K373" i="1" s="1"/>
  <c r="N373" i="1" s="1"/>
  <c r="I374" i="1"/>
  <c r="J374" i="1" s="1"/>
  <c r="K374" i="1" s="1"/>
  <c r="N374" i="1" s="1"/>
  <c r="I375" i="1"/>
  <c r="J375" i="1" s="1"/>
  <c r="K375" i="1" s="1"/>
  <c r="N375" i="1" s="1"/>
  <c r="I376" i="1"/>
  <c r="J376" i="1" s="1"/>
  <c r="K376" i="1" s="1"/>
  <c r="N376" i="1" s="1"/>
  <c r="I377" i="1"/>
  <c r="J377" i="1" s="1"/>
  <c r="K377" i="1" s="1"/>
  <c r="N377" i="1" s="1"/>
  <c r="I378" i="1"/>
  <c r="J378" i="1" s="1"/>
  <c r="K378" i="1" s="1"/>
  <c r="N378" i="1" s="1"/>
  <c r="I379" i="1"/>
  <c r="J379" i="1" s="1"/>
  <c r="K379" i="1" s="1"/>
  <c r="N379" i="1" s="1"/>
  <c r="I380" i="1"/>
  <c r="J380" i="1" s="1"/>
  <c r="K380" i="1" s="1"/>
  <c r="N380" i="1" s="1"/>
  <c r="I381" i="1"/>
  <c r="J381" i="1" s="1"/>
  <c r="K381" i="1" s="1"/>
  <c r="N381" i="1" s="1"/>
  <c r="I382" i="1"/>
  <c r="J382" i="1" s="1"/>
  <c r="K382" i="1" s="1"/>
  <c r="N382" i="1" s="1"/>
  <c r="I383" i="1"/>
  <c r="J383" i="1" s="1"/>
  <c r="K383" i="1" s="1"/>
  <c r="N383" i="1" s="1"/>
  <c r="I384" i="1"/>
  <c r="J384" i="1" s="1"/>
  <c r="K384" i="1" s="1"/>
  <c r="N384" i="1" s="1"/>
  <c r="I385" i="1"/>
  <c r="J385" i="1" s="1"/>
  <c r="K385" i="1" s="1"/>
  <c r="N385" i="1" s="1"/>
  <c r="I386" i="1"/>
  <c r="J386" i="1" s="1"/>
  <c r="K386" i="1" s="1"/>
  <c r="N386" i="1" s="1"/>
  <c r="I387" i="1"/>
  <c r="J387" i="1" s="1"/>
  <c r="K387" i="1" s="1"/>
  <c r="N387" i="1" s="1"/>
  <c r="I388" i="1"/>
  <c r="J388" i="1" s="1"/>
  <c r="K388" i="1" s="1"/>
  <c r="N388" i="1" s="1"/>
  <c r="I389" i="1"/>
  <c r="J389" i="1" s="1"/>
  <c r="K389" i="1" s="1"/>
  <c r="N389" i="1" s="1"/>
  <c r="I390" i="1"/>
  <c r="J390" i="1" s="1"/>
  <c r="K390" i="1" s="1"/>
  <c r="N390" i="1" s="1"/>
  <c r="I391" i="1"/>
  <c r="J391" i="1" s="1"/>
  <c r="K391" i="1" s="1"/>
  <c r="N391" i="1" s="1"/>
  <c r="I392" i="1"/>
  <c r="J392" i="1" s="1"/>
  <c r="K392" i="1" s="1"/>
  <c r="N392" i="1" s="1"/>
  <c r="I393" i="1"/>
  <c r="J393" i="1" s="1"/>
  <c r="K393" i="1" s="1"/>
  <c r="N393" i="1" s="1"/>
  <c r="I394" i="1"/>
  <c r="J394" i="1" s="1"/>
  <c r="K394" i="1" s="1"/>
  <c r="N394" i="1" s="1"/>
  <c r="I395" i="1"/>
  <c r="J395" i="1" s="1"/>
  <c r="K395" i="1" s="1"/>
  <c r="N395" i="1" s="1"/>
  <c r="I396" i="1"/>
  <c r="J396" i="1" s="1"/>
  <c r="K396" i="1" s="1"/>
  <c r="N396" i="1" s="1"/>
  <c r="I397" i="1"/>
  <c r="J397" i="1" s="1"/>
  <c r="K397" i="1" s="1"/>
  <c r="N397" i="1" s="1"/>
  <c r="I398" i="1"/>
  <c r="J398" i="1" s="1"/>
  <c r="K398" i="1" s="1"/>
  <c r="N398" i="1" s="1"/>
  <c r="I399" i="1"/>
  <c r="J399" i="1" s="1"/>
  <c r="K399" i="1" s="1"/>
  <c r="N399" i="1" s="1"/>
  <c r="I400" i="1"/>
  <c r="J400" i="1" s="1"/>
  <c r="K400" i="1" s="1"/>
  <c r="N400" i="1" s="1"/>
  <c r="I401" i="1"/>
  <c r="J401" i="1" s="1"/>
  <c r="K401" i="1" s="1"/>
  <c r="N401" i="1" s="1"/>
  <c r="I402" i="1"/>
  <c r="J402" i="1" s="1"/>
  <c r="K402" i="1" s="1"/>
  <c r="N402" i="1" s="1"/>
  <c r="I403" i="1"/>
  <c r="J403" i="1" s="1"/>
  <c r="K403" i="1" s="1"/>
  <c r="N403" i="1" s="1"/>
  <c r="I404" i="1"/>
  <c r="J404" i="1" s="1"/>
  <c r="K404" i="1" s="1"/>
  <c r="N404" i="1" s="1"/>
  <c r="I405" i="1"/>
  <c r="J405" i="1" s="1"/>
  <c r="K405" i="1" s="1"/>
  <c r="N405" i="1" s="1"/>
  <c r="I406" i="1"/>
  <c r="J406" i="1" s="1"/>
  <c r="K406" i="1" s="1"/>
  <c r="N406" i="1" s="1"/>
  <c r="I407" i="1"/>
  <c r="J407" i="1" s="1"/>
  <c r="K407" i="1" s="1"/>
  <c r="N407" i="1" s="1"/>
  <c r="I408" i="1"/>
  <c r="J408" i="1" s="1"/>
  <c r="K408" i="1" s="1"/>
  <c r="N408" i="1" s="1"/>
  <c r="I409" i="1"/>
  <c r="J409" i="1" s="1"/>
  <c r="K409" i="1" s="1"/>
  <c r="N409" i="1" s="1"/>
  <c r="I410" i="1"/>
  <c r="J410" i="1" s="1"/>
  <c r="K410" i="1" s="1"/>
  <c r="N410" i="1" s="1"/>
  <c r="I411" i="1"/>
  <c r="J411" i="1" s="1"/>
  <c r="K411" i="1" s="1"/>
  <c r="N411" i="1" s="1"/>
  <c r="I412" i="1"/>
  <c r="J412" i="1" s="1"/>
  <c r="K412" i="1" s="1"/>
  <c r="N412" i="1" s="1"/>
  <c r="I413" i="1"/>
  <c r="J413" i="1" s="1"/>
  <c r="K413" i="1" s="1"/>
  <c r="N413" i="1" s="1"/>
  <c r="I414" i="1"/>
  <c r="J414" i="1" s="1"/>
  <c r="K414" i="1" s="1"/>
  <c r="N414" i="1" s="1"/>
  <c r="I415" i="1"/>
  <c r="J415" i="1" s="1"/>
  <c r="K415" i="1" s="1"/>
  <c r="N415" i="1" s="1"/>
  <c r="I416" i="1"/>
  <c r="J416" i="1" s="1"/>
  <c r="K416" i="1" s="1"/>
  <c r="N416" i="1" s="1"/>
  <c r="I417" i="1"/>
  <c r="J417" i="1" s="1"/>
  <c r="K417" i="1" s="1"/>
  <c r="N417" i="1" s="1"/>
  <c r="I418" i="1"/>
  <c r="J418" i="1" s="1"/>
  <c r="K418" i="1" s="1"/>
  <c r="N418" i="1" s="1"/>
  <c r="I419" i="1"/>
  <c r="J419" i="1" s="1"/>
  <c r="K419" i="1" s="1"/>
  <c r="N419" i="1" s="1"/>
  <c r="I420" i="1"/>
  <c r="J420" i="1" s="1"/>
  <c r="K420" i="1" s="1"/>
  <c r="N420" i="1" s="1"/>
  <c r="I421" i="1"/>
  <c r="J421" i="1" s="1"/>
  <c r="K421" i="1" s="1"/>
  <c r="N421" i="1" s="1"/>
  <c r="I422" i="1"/>
  <c r="J422" i="1" s="1"/>
  <c r="K422" i="1" s="1"/>
  <c r="N422" i="1" s="1"/>
  <c r="I423" i="1"/>
  <c r="J423" i="1" s="1"/>
  <c r="K423" i="1" s="1"/>
  <c r="N423" i="1" s="1"/>
  <c r="I424" i="1"/>
  <c r="J424" i="1" s="1"/>
  <c r="K424" i="1" s="1"/>
  <c r="N424" i="1" s="1"/>
  <c r="I425" i="1"/>
  <c r="J425" i="1" s="1"/>
  <c r="K425" i="1" s="1"/>
  <c r="N425" i="1" s="1"/>
  <c r="I426" i="1"/>
  <c r="J426" i="1" s="1"/>
  <c r="K426" i="1" s="1"/>
  <c r="N426" i="1" s="1"/>
  <c r="I427" i="1"/>
  <c r="J427" i="1" s="1"/>
  <c r="K427" i="1" s="1"/>
  <c r="N427" i="1" s="1"/>
  <c r="I428" i="1"/>
  <c r="J428" i="1" s="1"/>
  <c r="K428" i="1" s="1"/>
  <c r="N428" i="1" s="1"/>
  <c r="I429" i="1"/>
  <c r="J429" i="1" s="1"/>
  <c r="K429" i="1" s="1"/>
  <c r="N429" i="1" s="1"/>
  <c r="I430" i="1"/>
  <c r="J430" i="1" s="1"/>
  <c r="K430" i="1" s="1"/>
  <c r="N430" i="1" s="1"/>
  <c r="I431" i="1"/>
  <c r="J431" i="1" s="1"/>
  <c r="K431" i="1" s="1"/>
  <c r="N431" i="1" s="1"/>
  <c r="I432" i="1"/>
  <c r="J432" i="1" s="1"/>
  <c r="K432" i="1" s="1"/>
  <c r="N432" i="1" s="1"/>
  <c r="I433" i="1"/>
  <c r="J433" i="1" s="1"/>
  <c r="K433" i="1" s="1"/>
  <c r="N433" i="1" s="1"/>
  <c r="I434" i="1"/>
  <c r="J434" i="1" s="1"/>
  <c r="K434" i="1" s="1"/>
  <c r="N434" i="1" s="1"/>
  <c r="I435" i="1"/>
  <c r="J435" i="1" s="1"/>
  <c r="K435" i="1" s="1"/>
  <c r="N435" i="1" s="1"/>
  <c r="I436" i="1"/>
  <c r="J436" i="1" s="1"/>
  <c r="K436" i="1" s="1"/>
  <c r="N436" i="1" s="1"/>
  <c r="I437" i="1"/>
  <c r="J437" i="1" s="1"/>
  <c r="K437" i="1" s="1"/>
  <c r="N437" i="1" s="1"/>
  <c r="I438" i="1"/>
  <c r="J438" i="1" s="1"/>
  <c r="K438" i="1" s="1"/>
  <c r="N438" i="1" s="1"/>
  <c r="I439" i="1"/>
  <c r="J439" i="1" s="1"/>
  <c r="K439" i="1" s="1"/>
  <c r="N439" i="1" s="1"/>
  <c r="I440" i="1"/>
  <c r="J440" i="1" s="1"/>
  <c r="K440" i="1" s="1"/>
  <c r="N440" i="1" s="1"/>
  <c r="I441" i="1"/>
  <c r="J441" i="1" s="1"/>
  <c r="K441" i="1" s="1"/>
  <c r="N441" i="1" s="1"/>
  <c r="I442" i="1"/>
  <c r="J442" i="1" s="1"/>
  <c r="K442" i="1" s="1"/>
  <c r="N442" i="1" s="1"/>
  <c r="I443" i="1"/>
  <c r="J443" i="1" s="1"/>
  <c r="K443" i="1" s="1"/>
  <c r="N443" i="1" s="1"/>
  <c r="I444" i="1"/>
  <c r="J444" i="1" s="1"/>
  <c r="K444" i="1" s="1"/>
  <c r="N444" i="1" s="1"/>
  <c r="I445" i="1"/>
  <c r="J445" i="1" s="1"/>
  <c r="K445" i="1" s="1"/>
  <c r="N445" i="1" s="1"/>
  <c r="I446" i="1"/>
  <c r="J446" i="1" s="1"/>
  <c r="K446" i="1" s="1"/>
  <c r="N446" i="1" s="1"/>
  <c r="I447" i="1"/>
  <c r="J447" i="1" s="1"/>
  <c r="K447" i="1" s="1"/>
  <c r="N447" i="1" s="1"/>
  <c r="I448" i="1"/>
  <c r="J448" i="1" s="1"/>
  <c r="K448" i="1" s="1"/>
  <c r="N448" i="1" s="1"/>
  <c r="I449" i="1"/>
  <c r="J449" i="1" s="1"/>
  <c r="K449" i="1" s="1"/>
  <c r="N449" i="1" s="1"/>
  <c r="I450" i="1"/>
  <c r="J450" i="1" s="1"/>
  <c r="K450" i="1" s="1"/>
  <c r="N450" i="1" s="1"/>
  <c r="I451" i="1"/>
  <c r="J451" i="1" s="1"/>
  <c r="K451" i="1" s="1"/>
  <c r="N451" i="1" s="1"/>
  <c r="I452" i="1"/>
  <c r="J452" i="1" s="1"/>
  <c r="K452" i="1" s="1"/>
  <c r="N452" i="1" s="1"/>
  <c r="I453" i="1"/>
  <c r="J453" i="1" s="1"/>
  <c r="K453" i="1" s="1"/>
  <c r="N453" i="1" s="1"/>
  <c r="I454" i="1"/>
  <c r="J454" i="1" s="1"/>
  <c r="K454" i="1" s="1"/>
  <c r="N454" i="1" s="1"/>
  <c r="I455" i="1"/>
  <c r="J455" i="1" s="1"/>
  <c r="K455" i="1" s="1"/>
  <c r="N455" i="1" s="1"/>
  <c r="I456" i="1"/>
  <c r="J456" i="1" s="1"/>
  <c r="K456" i="1" s="1"/>
  <c r="N456" i="1" s="1"/>
  <c r="I457" i="1"/>
  <c r="J457" i="1" s="1"/>
  <c r="K457" i="1" s="1"/>
  <c r="N457" i="1" s="1"/>
  <c r="I458" i="1"/>
  <c r="J458" i="1" s="1"/>
  <c r="K458" i="1" s="1"/>
  <c r="N458" i="1" s="1"/>
  <c r="I459" i="1"/>
  <c r="J459" i="1" s="1"/>
  <c r="K459" i="1" s="1"/>
  <c r="N459" i="1" s="1"/>
  <c r="I460" i="1"/>
  <c r="J460" i="1" s="1"/>
  <c r="K460" i="1" s="1"/>
  <c r="N460" i="1" s="1"/>
  <c r="I461" i="1"/>
  <c r="J461" i="1" s="1"/>
  <c r="K461" i="1" s="1"/>
  <c r="N461" i="1" s="1"/>
  <c r="I462" i="1"/>
  <c r="J462" i="1" s="1"/>
  <c r="K462" i="1" s="1"/>
  <c r="N462" i="1" s="1"/>
  <c r="I463" i="1"/>
  <c r="J463" i="1" s="1"/>
  <c r="K463" i="1" s="1"/>
  <c r="N463" i="1" s="1"/>
  <c r="I464" i="1"/>
  <c r="J464" i="1" s="1"/>
  <c r="K464" i="1" s="1"/>
  <c r="N464" i="1" s="1"/>
  <c r="I465" i="1"/>
  <c r="J465" i="1" s="1"/>
  <c r="K465" i="1" s="1"/>
  <c r="N465" i="1" s="1"/>
  <c r="I466" i="1"/>
  <c r="J466" i="1" s="1"/>
  <c r="K466" i="1" s="1"/>
  <c r="N466" i="1" s="1"/>
  <c r="I467" i="1"/>
  <c r="J467" i="1" s="1"/>
  <c r="K467" i="1" s="1"/>
  <c r="N467" i="1" s="1"/>
  <c r="I468" i="1"/>
  <c r="J468" i="1" s="1"/>
  <c r="K468" i="1" s="1"/>
  <c r="N468" i="1" s="1"/>
  <c r="I469" i="1"/>
  <c r="J469" i="1" s="1"/>
  <c r="K469" i="1" s="1"/>
  <c r="N469" i="1" s="1"/>
  <c r="I470" i="1"/>
  <c r="J470" i="1" s="1"/>
  <c r="K470" i="1" s="1"/>
  <c r="N470" i="1" s="1"/>
  <c r="I471" i="1"/>
  <c r="J471" i="1" s="1"/>
  <c r="K471" i="1" s="1"/>
  <c r="N471" i="1" s="1"/>
  <c r="I472" i="1"/>
  <c r="J472" i="1" s="1"/>
  <c r="K472" i="1" s="1"/>
  <c r="N472" i="1" s="1"/>
  <c r="I473" i="1"/>
  <c r="J473" i="1" s="1"/>
  <c r="K473" i="1" s="1"/>
  <c r="N473" i="1" s="1"/>
  <c r="I474" i="1"/>
  <c r="J474" i="1" s="1"/>
  <c r="K474" i="1" s="1"/>
  <c r="N474" i="1" s="1"/>
  <c r="I475" i="1"/>
  <c r="J475" i="1" s="1"/>
  <c r="K475" i="1" s="1"/>
  <c r="N475" i="1" s="1"/>
  <c r="I476" i="1"/>
  <c r="J476" i="1" s="1"/>
  <c r="K476" i="1" s="1"/>
  <c r="N476" i="1" s="1"/>
  <c r="I477" i="1"/>
  <c r="J477" i="1" s="1"/>
  <c r="K477" i="1" s="1"/>
  <c r="N477" i="1" s="1"/>
  <c r="I478" i="1"/>
  <c r="J478" i="1" s="1"/>
  <c r="K478" i="1" s="1"/>
  <c r="N478" i="1" s="1"/>
  <c r="I479" i="1"/>
  <c r="J479" i="1" s="1"/>
  <c r="K479" i="1" s="1"/>
  <c r="N479" i="1" s="1"/>
  <c r="I480" i="1"/>
  <c r="J480" i="1" s="1"/>
  <c r="K480" i="1" s="1"/>
  <c r="N480" i="1" s="1"/>
  <c r="I481" i="1"/>
  <c r="J481" i="1" s="1"/>
  <c r="K481" i="1" s="1"/>
  <c r="N481" i="1" s="1"/>
  <c r="I482" i="1"/>
  <c r="J482" i="1" s="1"/>
  <c r="K482" i="1" s="1"/>
  <c r="N482" i="1" s="1"/>
  <c r="I483" i="1"/>
  <c r="J483" i="1" s="1"/>
  <c r="K483" i="1" s="1"/>
  <c r="N483" i="1" s="1"/>
  <c r="I484" i="1"/>
  <c r="J484" i="1" s="1"/>
  <c r="K484" i="1" s="1"/>
  <c r="N484" i="1" s="1"/>
  <c r="I485" i="1"/>
  <c r="J485" i="1" s="1"/>
  <c r="K485" i="1" s="1"/>
  <c r="N485" i="1" s="1"/>
  <c r="I486" i="1"/>
  <c r="J486" i="1" s="1"/>
  <c r="K486" i="1" s="1"/>
  <c r="N486" i="1" s="1"/>
  <c r="I487" i="1"/>
  <c r="J487" i="1" s="1"/>
  <c r="K487" i="1" s="1"/>
  <c r="N487" i="1" s="1"/>
  <c r="I488" i="1"/>
  <c r="J488" i="1" s="1"/>
  <c r="K488" i="1" s="1"/>
  <c r="N488" i="1" s="1"/>
  <c r="I489" i="1"/>
  <c r="J489" i="1" s="1"/>
  <c r="K489" i="1" s="1"/>
  <c r="N489" i="1" s="1"/>
  <c r="I490" i="1"/>
  <c r="J490" i="1" s="1"/>
  <c r="K490" i="1" s="1"/>
  <c r="N490" i="1" s="1"/>
  <c r="I491" i="1"/>
  <c r="J491" i="1" s="1"/>
  <c r="K491" i="1" s="1"/>
  <c r="N491" i="1" s="1"/>
  <c r="I492" i="1"/>
  <c r="J492" i="1" s="1"/>
  <c r="K492" i="1" s="1"/>
  <c r="N492" i="1" s="1"/>
  <c r="I493" i="1"/>
  <c r="J493" i="1" s="1"/>
  <c r="K493" i="1" s="1"/>
  <c r="N493" i="1" s="1"/>
  <c r="I494" i="1"/>
  <c r="J494" i="1" s="1"/>
  <c r="K494" i="1" s="1"/>
  <c r="N494" i="1" s="1"/>
  <c r="I495" i="1"/>
  <c r="J495" i="1" s="1"/>
  <c r="K495" i="1" s="1"/>
  <c r="N495" i="1" s="1"/>
  <c r="I496" i="1"/>
  <c r="J496" i="1" s="1"/>
  <c r="K496" i="1" s="1"/>
  <c r="N496" i="1" s="1"/>
  <c r="I497" i="1"/>
  <c r="J497" i="1" s="1"/>
  <c r="K497" i="1" s="1"/>
  <c r="N497" i="1" s="1"/>
  <c r="I498" i="1"/>
  <c r="J498" i="1" s="1"/>
  <c r="K498" i="1" s="1"/>
  <c r="N498" i="1" s="1"/>
  <c r="I499" i="1"/>
  <c r="J499" i="1" s="1"/>
  <c r="K499" i="1" s="1"/>
  <c r="N499" i="1" s="1"/>
  <c r="I500" i="1"/>
  <c r="J500" i="1" s="1"/>
  <c r="K500" i="1" s="1"/>
  <c r="N500" i="1" s="1"/>
  <c r="I501" i="1"/>
  <c r="J501" i="1" s="1"/>
  <c r="K501" i="1" s="1"/>
  <c r="N501" i="1" s="1"/>
  <c r="I502" i="1"/>
  <c r="J502" i="1" s="1"/>
  <c r="K502" i="1" s="1"/>
  <c r="N502" i="1" s="1"/>
  <c r="I503" i="1"/>
  <c r="J503" i="1" s="1"/>
  <c r="K503" i="1" s="1"/>
  <c r="N503" i="1" s="1"/>
  <c r="I504" i="1"/>
  <c r="J504" i="1" s="1"/>
  <c r="K504" i="1" s="1"/>
  <c r="N504" i="1" s="1"/>
  <c r="I505" i="1"/>
  <c r="J505" i="1" s="1"/>
  <c r="K505" i="1" s="1"/>
  <c r="N505" i="1" s="1"/>
  <c r="I506" i="1"/>
  <c r="J506" i="1" s="1"/>
  <c r="K506" i="1" s="1"/>
  <c r="N506" i="1" s="1"/>
  <c r="I507" i="1"/>
  <c r="J507" i="1" s="1"/>
  <c r="K507" i="1" s="1"/>
  <c r="N507" i="1" s="1"/>
  <c r="I508" i="1"/>
  <c r="J508" i="1" s="1"/>
  <c r="K508" i="1" s="1"/>
  <c r="N508" i="1" s="1"/>
  <c r="I509" i="1"/>
  <c r="J509" i="1" s="1"/>
  <c r="K509" i="1" s="1"/>
  <c r="N509" i="1" s="1"/>
  <c r="I510" i="1"/>
  <c r="J510" i="1" s="1"/>
  <c r="K510" i="1" s="1"/>
  <c r="N510" i="1" s="1"/>
  <c r="I511" i="1"/>
  <c r="J511" i="1" s="1"/>
  <c r="K511" i="1" s="1"/>
  <c r="N511" i="1" s="1"/>
  <c r="I512" i="1"/>
  <c r="J512" i="1" s="1"/>
  <c r="K512" i="1" s="1"/>
  <c r="N512" i="1" s="1"/>
  <c r="I513" i="1"/>
  <c r="J513" i="1" s="1"/>
  <c r="K513" i="1" s="1"/>
  <c r="N513" i="1" s="1"/>
  <c r="I514" i="1"/>
  <c r="J514" i="1" s="1"/>
  <c r="K514" i="1" s="1"/>
  <c r="N514" i="1" s="1"/>
  <c r="I515" i="1"/>
  <c r="J515" i="1" s="1"/>
  <c r="K515" i="1" s="1"/>
  <c r="N515" i="1" s="1"/>
  <c r="I516" i="1"/>
  <c r="J516" i="1" s="1"/>
  <c r="K516" i="1" s="1"/>
  <c r="N516" i="1" s="1"/>
  <c r="I517" i="1"/>
  <c r="J517" i="1" s="1"/>
  <c r="K517" i="1" s="1"/>
  <c r="N517" i="1" s="1"/>
  <c r="I518" i="1"/>
  <c r="J518" i="1" s="1"/>
  <c r="K518" i="1" s="1"/>
  <c r="N518" i="1" s="1"/>
  <c r="I519" i="1"/>
  <c r="J519" i="1" s="1"/>
  <c r="K519" i="1" s="1"/>
  <c r="N519" i="1" s="1"/>
  <c r="I520" i="1"/>
  <c r="J520" i="1" s="1"/>
  <c r="K520" i="1" s="1"/>
  <c r="N520" i="1" s="1"/>
  <c r="I521" i="1"/>
  <c r="J521" i="1" s="1"/>
  <c r="K521" i="1" s="1"/>
  <c r="N521" i="1" s="1"/>
  <c r="I522" i="1"/>
  <c r="J522" i="1" s="1"/>
  <c r="K522" i="1" s="1"/>
  <c r="N522" i="1" s="1"/>
  <c r="I523" i="1"/>
  <c r="J523" i="1" s="1"/>
  <c r="K523" i="1" s="1"/>
  <c r="N523" i="1" s="1"/>
  <c r="I524" i="1"/>
  <c r="J524" i="1" s="1"/>
  <c r="K524" i="1" s="1"/>
  <c r="N524" i="1" s="1"/>
  <c r="I525" i="1"/>
  <c r="J525" i="1" s="1"/>
  <c r="K525" i="1" s="1"/>
  <c r="N525" i="1" s="1"/>
  <c r="I526" i="1"/>
  <c r="J526" i="1" s="1"/>
  <c r="K526" i="1" s="1"/>
  <c r="N526" i="1" s="1"/>
  <c r="I527" i="1"/>
  <c r="J527" i="1" s="1"/>
  <c r="K527" i="1" s="1"/>
  <c r="N527" i="1" s="1"/>
  <c r="I528" i="1"/>
  <c r="J528" i="1" s="1"/>
  <c r="K528" i="1" s="1"/>
  <c r="N528" i="1" s="1"/>
  <c r="I529" i="1"/>
  <c r="J529" i="1" s="1"/>
  <c r="K529" i="1" s="1"/>
  <c r="N529" i="1" s="1"/>
  <c r="I530" i="1"/>
  <c r="J530" i="1" s="1"/>
  <c r="K530" i="1" s="1"/>
  <c r="N530" i="1" s="1"/>
  <c r="I531" i="1"/>
  <c r="J531" i="1" s="1"/>
  <c r="K531" i="1" s="1"/>
  <c r="N531" i="1" s="1"/>
  <c r="I532" i="1"/>
  <c r="J532" i="1" s="1"/>
  <c r="K532" i="1" s="1"/>
  <c r="N532" i="1" s="1"/>
  <c r="I533" i="1"/>
  <c r="J533" i="1" s="1"/>
  <c r="K533" i="1" s="1"/>
  <c r="N533" i="1" s="1"/>
  <c r="I534" i="1"/>
  <c r="J534" i="1" s="1"/>
  <c r="K534" i="1" s="1"/>
  <c r="N534" i="1" s="1"/>
  <c r="I535" i="1"/>
  <c r="J535" i="1" s="1"/>
  <c r="K535" i="1" s="1"/>
  <c r="N535" i="1" s="1"/>
  <c r="I536" i="1"/>
  <c r="J536" i="1" s="1"/>
  <c r="K536" i="1" s="1"/>
  <c r="N536" i="1" s="1"/>
  <c r="I537" i="1"/>
  <c r="J537" i="1" s="1"/>
  <c r="K537" i="1" s="1"/>
  <c r="N537" i="1" s="1"/>
  <c r="I538" i="1"/>
  <c r="J538" i="1" s="1"/>
  <c r="K538" i="1" s="1"/>
  <c r="N538" i="1" s="1"/>
  <c r="I539" i="1"/>
  <c r="J539" i="1" s="1"/>
  <c r="K539" i="1" s="1"/>
  <c r="N539" i="1" s="1"/>
  <c r="I540" i="1"/>
  <c r="J540" i="1" s="1"/>
  <c r="K540" i="1" s="1"/>
  <c r="N540" i="1" s="1"/>
  <c r="I541" i="1"/>
  <c r="J541" i="1" s="1"/>
  <c r="K541" i="1" s="1"/>
  <c r="N541" i="1" s="1"/>
  <c r="I542" i="1"/>
  <c r="J542" i="1" s="1"/>
  <c r="K542" i="1" s="1"/>
  <c r="N542" i="1" s="1"/>
  <c r="I543" i="1"/>
  <c r="J543" i="1" s="1"/>
  <c r="K543" i="1" s="1"/>
  <c r="N543" i="1" s="1"/>
  <c r="I544" i="1"/>
  <c r="J544" i="1" s="1"/>
  <c r="K544" i="1" s="1"/>
  <c r="N544" i="1" s="1"/>
  <c r="I545" i="1"/>
  <c r="J545" i="1" s="1"/>
  <c r="K545" i="1" s="1"/>
  <c r="N545" i="1" s="1"/>
  <c r="I546" i="1"/>
  <c r="J546" i="1" s="1"/>
  <c r="K546" i="1" s="1"/>
  <c r="N546" i="1" s="1"/>
  <c r="I547" i="1"/>
  <c r="J547" i="1" s="1"/>
  <c r="K547" i="1" s="1"/>
  <c r="N547" i="1" s="1"/>
  <c r="I548" i="1"/>
  <c r="J548" i="1" s="1"/>
  <c r="K548" i="1" s="1"/>
  <c r="N548" i="1" s="1"/>
  <c r="I549" i="1"/>
  <c r="J549" i="1" s="1"/>
  <c r="K549" i="1" s="1"/>
  <c r="N549" i="1" s="1"/>
  <c r="I550" i="1"/>
  <c r="J550" i="1" s="1"/>
  <c r="K550" i="1" s="1"/>
  <c r="N550" i="1" s="1"/>
  <c r="I551" i="1"/>
  <c r="J551" i="1" s="1"/>
  <c r="K551" i="1" s="1"/>
  <c r="N551" i="1" s="1"/>
  <c r="I552" i="1"/>
  <c r="J552" i="1" s="1"/>
  <c r="K552" i="1" s="1"/>
  <c r="N552" i="1" s="1"/>
  <c r="I553" i="1"/>
  <c r="J553" i="1" s="1"/>
  <c r="K553" i="1" s="1"/>
  <c r="N553" i="1" s="1"/>
  <c r="I554" i="1"/>
  <c r="J554" i="1" s="1"/>
  <c r="K554" i="1" s="1"/>
  <c r="N554" i="1" s="1"/>
  <c r="I555" i="1"/>
  <c r="J555" i="1" s="1"/>
  <c r="K555" i="1" s="1"/>
  <c r="N555" i="1" s="1"/>
  <c r="I556" i="1"/>
  <c r="J556" i="1" s="1"/>
  <c r="K556" i="1" s="1"/>
  <c r="N556" i="1" s="1"/>
  <c r="I557" i="1"/>
  <c r="J557" i="1" s="1"/>
  <c r="K557" i="1" s="1"/>
  <c r="N557" i="1" s="1"/>
  <c r="I558" i="1"/>
  <c r="J558" i="1" s="1"/>
  <c r="K558" i="1" s="1"/>
  <c r="N558" i="1" s="1"/>
  <c r="I559" i="1"/>
  <c r="J559" i="1" s="1"/>
  <c r="K559" i="1" s="1"/>
  <c r="N559" i="1" s="1"/>
  <c r="I560" i="1"/>
  <c r="J560" i="1" s="1"/>
  <c r="K560" i="1" s="1"/>
  <c r="N560" i="1" s="1"/>
  <c r="I561" i="1"/>
  <c r="J561" i="1" s="1"/>
  <c r="K561" i="1" s="1"/>
  <c r="N561" i="1" s="1"/>
  <c r="I562" i="1"/>
  <c r="J562" i="1" s="1"/>
  <c r="K562" i="1" s="1"/>
  <c r="N562" i="1" s="1"/>
  <c r="I563" i="1"/>
  <c r="J563" i="1" s="1"/>
  <c r="K563" i="1" s="1"/>
  <c r="N563" i="1" s="1"/>
  <c r="I564" i="1"/>
  <c r="J564" i="1" s="1"/>
  <c r="K564" i="1" s="1"/>
  <c r="N564" i="1" s="1"/>
  <c r="I565" i="1"/>
  <c r="J565" i="1" s="1"/>
  <c r="K565" i="1" s="1"/>
  <c r="N565" i="1" s="1"/>
  <c r="I566" i="1"/>
  <c r="J566" i="1" s="1"/>
  <c r="K566" i="1" s="1"/>
  <c r="N566" i="1" s="1"/>
  <c r="I567" i="1"/>
  <c r="J567" i="1" s="1"/>
  <c r="K567" i="1" s="1"/>
  <c r="N567" i="1" s="1"/>
  <c r="I568" i="1"/>
  <c r="J568" i="1" s="1"/>
  <c r="K568" i="1" s="1"/>
  <c r="N568" i="1" s="1"/>
  <c r="I569" i="1"/>
  <c r="J569" i="1" s="1"/>
  <c r="K569" i="1" s="1"/>
  <c r="N569" i="1" s="1"/>
  <c r="I570" i="1"/>
  <c r="J570" i="1" s="1"/>
  <c r="K570" i="1" s="1"/>
  <c r="N570" i="1" s="1"/>
  <c r="I571" i="1"/>
  <c r="J571" i="1" s="1"/>
  <c r="K571" i="1" s="1"/>
  <c r="N571" i="1" s="1"/>
  <c r="I572" i="1"/>
  <c r="J572" i="1" s="1"/>
  <c r="K572" i="1" s="1"/>
  <c r="N572" i="1" s="1"/>
  <c r="I573" i="1"/>
  <c r="J573" i="1" s="1"/>
  <c r="K573" i="1" s="1"/>
  <c r="N573" i="1" s="1"/>
  <c r="I574" i="1"/>
  <c r="J574" i="1" s="1"/>
  <c r="K574" i="1" s="1"/>
  <c r="N574" i="1" s="1"/>
  <c r="I575" i="1"/>
  <c r="J575" i="1" s="1"/>
  <c r="K575" i="1" s="1"/>
  <c r="N575" i="1" s="1"/>
  <c r="I576" i="1"/>
  <c r="J576" i="1" s="1"/>
  <c r="K576" i="1" s="1"/>
  <c r="N576" i="1" s="1"/>
  <c r="I577" i="1"/>
  <c r="J577" i="1" s="1"/>
  <c r="K577" i="1" s="1"/>
  <c r="N577" i="1" s="1"/>
  <c r="I578" i="1"/>
  <c r="J578" i="1" s="1"/>
  <c r="K578" i="1" s="1"/>
  <c r="N578" i="1" s="1"/>
  <c r="I579" i="1"/>
  <c r="J579" i="1" s="1"/>
  <c r="K579" i="1" s="1"/>
  <c r="N579" i="1" s="1"/>
  <c r="I580" i="1"/>
  <c r="J580" i="1" s="1"/>
  <c r="K580" i="1" s="1"/>
  <c r="N580" i="1" s="1"/>
  <c r="I581" i="1"/>
  <c r="J581" i="1" s="1"/>
  <c r="K581" i="1" s="1"/>
  <c r="N581" i="1" s="1"/>
  <c r="I582" i="1"/>
  <c r="J582" i="1" s="1"/>
  <c r="K582" i="1" s="1"/>
  <c r="N582" i="1" s="1"/>
  <c r="I583" i="1"/>
  <c r="J583" i="1" s="1"/>
  <c r="K583" i="1" s="1"/>
  <c r="N583" i="1" s="1"/>
  <c r="I584" i="1"/>
  <c r="J584" i="1" s="1"/>
  <c r="K584" i="1" s="1"/>
  <c r="N584" i="1" s="1"/>
  <c r="I585" i="1"/>
  <c r="J585" i="1" s="1"/>
  <c r="K585" i="1" s="1"/>
  <c r="N585" i="1" s="1"/>
  <c r="I586" i="1"/>
  <c r="J586" i="1" s="1"/>
  <c r="K586" i="1" s="1"/>
  <c r="N586" i="1" s="1"/>
  <c r="I587" i="1"/>
  <c r="J587" i="1" s="1"/>
  <c r="K587" i="1" s="1"/>
  <c r="N587" i="1" s="1"/>
  <c r="I588" i="1"/>
  <c r="J588" i="1" s="1"/>
  <c r="K588" i="1" s="1"/>
  <c r="N588" i="1" s="1"/>
  <c r="I589" i="1"/>
  <c r="J589" i="1" s="1"/>
  <c r="K589" i="1" s="1"/>
  <c r="N589" i="1" s="1"/>
  <c r="I590" i="1"/>
  <c r="J590" i="1" s="1"/>
  <c r="K590" i="1" s="1"/>
  <c r="N590" i="1" s="1"/>
  <c r="I591" i="1"/>
  <c r="J591" i="1" s="1"/>
  <c r="K591" i="1" s="1"/>
  <c r="N591" i="1" s="1"/>
  <c r="I592" i="1"/>
  <c r="J592" i="1" s="1"/>
  <c r="K592" i="1" s="1"/>
  <c r="N592" i="1" s="1"/>
  <c r="I593" i="1"/>
  <c r="J593" i="1" s="1"/>
  <c r="K593" i="1" s="1"/>
  <c r="N593" i="1" s="1"/>
  <c r="I594" i="1"/>
  <c r="J594" i="1" s="1"/>
  <c r="K594" i="1" s="1"/>
  <c r="N594" i="1" s="1"/>
  <c r="I595" i="1"/>
  <c r="J595" i="1" s="1"/>
  <c r="K595" i="1" s="1"/>
  <c r="N595" i="1" s="1"/>
  <c r="I596" i="1"/>
  <c r="J596" i="1" s="1"/>
  <c r="K596" i="1" s="1"/>
  <c r="N596" i="1" s="1"/>
  <c r="I597" i="1"/>
  <c r="J597" i="1" s="1"/>
  <c r="K597" i="1" s="1"/>
  <c r="N597" i="1" s="1"/>
  <c r="I598" i="1"/>
  <c r="J598" i="1" s="1"/>
  <c r="K598" i="1" s="1"/>
  <c r="N598" i="1" s="1"/>
  <c r="I599" i="1"/>
  <c r="J599" i="1" s="1"/>
  <c r="K599" i="1" s="1"/>
  <c r="N599" i="1" s="1"/>
  <c r="I600" i="1"/>
  <c r="J600" i="1" s="1"/>
  <c r="K600" i="1" s="1"/>
  <c r="N600" i="1" s="1"/>
  <c r="I601" i="1"/>
  <c r="J601" i="1" s="1"/>
  <c r="K601" i="1" s="1"/>
  <c r="N601" i="1" s="1"/>
  <c r="I602" i="1"/>
  <c r="J602" i="1" s="1"/>
  <c r="K602" i="1" s="1"/>
  <c r="N602" i="1" s="1"/>
  <c r="I603" i="1"/>
  <c r="J603" i="1" s="1"/>
  <c r="K603" i="1" s="1"/>
  <c r="N603" i="1" s="1"/>
  <c r="I604" i="1"/>
  <c r="J604" i="1" s="1"/>
  <c r="K604" i="1" s="1"/>
  <c r="N604" i="1" s="1"/>
  <c r="I605" i="1"/>
  <c r="J605" i="1" s="1"/>
  <c r="K605" i="1" s="1"/>
  <c r="N605" i="1" s="1"/>
  <c r="I606" i="1"/>
  <c r="J606" i="1" s="1"/>
  <c r="K606" i="1" s="1"/>
  <c r="N606" i="1" s="1"/>
  <c r="I607" i="1"/>
  <c r="J607" i="1" s="1"/>
  <c r="K607" i="1" s="1"/>
  <c r="N607" i="1" s="1"/>
  <c r="I608" i="1"/>
  <c r="J608" i="1" s="1"/>
  <c r="K608" i="1" s="1"/>
  <c r="N608" i="1" s="1"/>
  <c r="I609" i="1"/>
  <c r="J609" i="1" s="1"/>
  <c r="K609" i="1" s="1"/>
  <c r="N609" i="1" s="1"/>
  <c r="I610" i="1"/>
  <c r="J610" i="1" s="1"/>
  <c r="K610" i="1" s="1"/>
  <c r="N610" i="1" s="1"/>
  <c r="I611" i="1"/>
  <c r="J611" i="1" s="1"/>
  <c r="K611" i="1" s="1"/>
  <c r="N611" i="1" s="1"/>
  <c r="I612" i="1"/>
  <c r="J612" i="1" s="1"/>
  <c r="K612" i="1" s="1"/>
  <c r="N612" i="1" s="1"/>
  <c r="I613" i="1"/>
  <c r="J613" i="1" s="1"/>
  <c r="K613" i="1" s="1"/>
  <c r="N613" i="1" s="1"/>
  <c r="I614" i="1"/>
  <c r="J614" i="1" s="1"/>
  <c r="K614" i="1" s="1"/>
  <c r="N614" i="1" s="1"/>
  <c r="I615" i="1"/>
  <c r="J615" i="1" s="1"/>
  <c r="K615" i="1" s="1"/>
  <c r="N615" i="1" s="1"/>
  <c r="I616" i="1"/>
  <c r="J616" i="1" s="1"/>
  <c r="K616" i="1" s="1"/>
  <c r="N616" i="1" s="1"/>
  <c r="I617" i="1"/>
  <c r="J617" i="1" s="1"/>
  <c r="K617" i="1" s="1"/>
  <c r="N617" i="1" s="1"/>
  <c r="I618" i="1"/>
  <c r="J618" i="1" s="1"/>
  <c r="K618" i="1" s="1"/>
  <c r="N618" i="1" s="1"/>
  <c r="I619" i="1"/>
  <c r="J619" i="1" s="1"/>
  <c r="K619" i="1" s="1"/>
  <c r="N619" i="1" s="1"/>
  <c r="I620" i="1"/>
  <c r="J620" i="1" s="1"/>
  <c r="K620" i="1" s="1"/>
  <c r="N620" i="1" s="1"/>
  <c r="I621" i="1"/>
  <c r="J621" i="1" s="1"/>
  <c r="K621" i="1" s="1"/>
  <c r="N621" i="1" s="1"/>
  <c r="I622" i="1"/>
  <c r="J622" i="1" s="1"/>
  <c r="K622" i="1" s="1"/>
  <c r="N622" i="1" s="1"/>
  <c r="I623" i="1"/>
  <c r="J623" i="1" s="1"/>
  <c r="K623" i="1" s="1"/>
  <c r="N623" i="1" s="1"/>
  <c r="I624" i="1"/>
  <c r="J624" i="1" s="1"/>
  <c r="K624" i="1" s="1"/>
  <c r="N624" i="1" s="1"/>
  <c r="I625" i="1"/>
  <c r="J625" i="1" s="1"/>
  <c r="K625" i="1" s="1"/>
  <c r="N625" i="1" s="1"/>
  <c r="I626" i="1"/>
  <c r="J626" i="1" s="1"/>
  <c r="K626" i="1" s="1"/>
  <c r="N626" i="1" s="1"/>
  <c r="I627" i="1"/>
  <c r="J627" i="1" s="1"/>
  <c r="K627" i="1" s="1"/>
  <c r="N627" i="1" s="1"/>
  <c r="I628" i="1"/>
  <c r="J628" i="1" s="1"/>
  <c r="K628" i="1" s="1"/>
  <c r="N628" i="1" s="1"/>
  <c r="I629" i="1"/>
  <c r="J629" i="1" s="1"/>
  <c r="K629" i="1" s="1"/>
  <c r="N629" i="1" s="1"/>
  <c r="I630" i="1"/>
  <c r="J630" i="1" s="1"/>
  <c r="K630" i="1" s="1"/>
  <c r="N630" i="1" s="1"/>
  <c r="I631" i="1"/>
  <c r="J631" i="1" s="1"/>
  <c r="K631" i="1" s="1"/>
  <c r="N631" i="1" s="1"/>
  <c r="I632" i="1"/>
  <c r="J632" i="1" s="1"/>
  <c r="K632" i="1" s="1"/>
  <c r="N632" i="1" s="1"/>
  <c r="I633" i="1"/>
  <c r="J633" i="1" s="1"/>
  <c r="K633" i="1" s="1"/>
  <c r="N633" i="1" s="1"/>
  <c r="I634" i="1"/>
  <c r="J634" i="1" s="1"/>
  <c r="K634" i="1" s="1"/>
  <c r="N634" i="1" s="1"/>
  <c r="I635" i="1"/>
  <c r="J635" i="1" s="1"/>
  <c r="K635" i="1" s="1"/>
  <c r="N635" i="1" s="1"/>
  <c r="I636" i="1"/>
  <c r="J636" i="1" s="1"/>
  <c r="K636" i="1" s="1"/>
  <c r="N636" i="1" s="1"/>
  <c r="I637" i="1"/>
  <c r="J637" i="1" s="1"/>
  <c r="K637" i="1" s="1"/>
  <c r="N637" i="1" s="1"/>
  <c r="I638" i="1"/>
  <c r="J638" i="1" s="1"/>
  <c r="K638" i="1" s="1"/>
  <c r="N638" i="1" s="1"/>
  <c r="I639" i="1"/>
  <c r="J639" i="1" s="1"/>
  <c r="K639" i="1" s="1"/>
  <c r="N639" i="1" s="1"/>
  <c r="I640" i="1"/>
  <c r="J640" i="1" s="1"/>
  <c r="K640" i="1" s="1"/>
  <c r="N640" i="1" s="1"/>
  <c r="I641" i="1"/>
  <c r="J641" i="1" s="1"/>
  <c r="K641" i="1" s="1"/>
  <c r="N641" i="1" s="1"/>
  <c r="I642" i="1"/>
  <c r="J642" i="1" s="1"/>
  <c r="K642" i="1" s="1"/>
  <c r="N642" i="1" s="1"/>
  <c r="I643" i="1"/>
  <c r="J643" i="1" s="1"/>
  <c r="K643" i="1" s="1"/>
  <c r="N643" i="1" s="1"/>
  <c r="I644" i="1"/>
  <c r="J644" i="1" s="1"/>
  <c r="K644" i="1" s="1"/>
  <c r="N644" i="1" s="1"/>
  <c r="I645" i="1"/>
  <c r="J645" i="1" s="1"/>
  <c r="K645" i="1" s="1"/>
  <c r="N645" i="1" s="1"/>
  <c r="I646" i="1"/>
  <c r="J646" i="1" s="1"/>
  <c r="K646" i="1" s="1"/>
  <c r="N646" i="1" s="1"/>
  <c r="I647" i="1"/>
  <c r="J647" i="1" s="1"/>
  <c r="K647" i="1" s="1"/>
  <c r="N647" i="1" s="1"/>
  <c r="I648" i="1"/>
  <c r="J648" i="1" s="1"/>
  <c r="K648" i="1" s="1"/>
  <c r="N648" i="1" s="1"/>
  <c r="I649" i="1"/>
  <c r="J649" i="1" s="1"/>
  <c r="K649" i="1" s="1"/>
  <c r="N649" i="1" s="1"/>
  <c r="I650" i="1"/>
  <c r="J650" i="1" s="1"/>
  <c r="K650" i="1" s="1"/>
  <c r="N650" i="1" s="1"/>
  <c r="I651" i="1"/>
  <c r="J651" i="1" s="1"/>
  <c r="K651" i="1" s="1"/>
  <c r="N651" i="1" s="1"/>
  <c r="I652" i="1"/>
  <c r="J652" i="1" s="1"/>
  <c r="K652" i="1" s="1"/>
  <c r="N652" i="1" s="1"/>
  <c r="I653" i="1"/>
  <c r="J653" i="1" s="1"/>
  <c r="K653" i="1" s="1"/>
  <c r="N653" i="1" s="1"/>
  <c r="I654" i="1"/>
  <c r="J654" i="1" s="1"/>
  <c r="K654" i="1" s="1"/>
  <c r="N654" i="1" s="1"/>
  <c r="I655" i="1"/>
  <c r="J655" i="1" s="1"/>
  <c r="K655" i="1" s="1"/>
  <c r="N655" i="1" s="1"/>
  <c r="I656" i="1"/>
  <c r="J656" i="1" s="1"/>
  <c r="K656" i="1" s="1"/>
  <c r="N656" i="1" s="1"/>
  <c r="I657" i="1"/>
  <c r="J657" i="1" s="1"/>
  <c r="K657" i="1" s="1"/>
  <c r="N657" i="1" s="1"/>
  <c r="I658" i="1"/>
  <c r="J658" i="1" s="1"/>
  <c r="K658" i="1" s="1"/>
  <c r="N658" i="1" s="1"/>
  <c r="I659" i="1"/>
  <c r="J659" i="1" s="1"/>
  <c r="K659" i="1" s="1"/>
  <c r="N659" i="1" s="1"/>
  <c r="I660" i="1"/>
  <c r="J660" i="1" s="1"/>
  <c r="K660" i="1" s="1"/>
  <c r="N660" i="1" s="1"/>
  <c r="I661" i="1"/>
  <c r="J661" i="1" s="1"/>
  <c r="K661" i="1" s="1"/>
  <c r="N661" i="1" s="1"/>
  <c r="I662" i="1"/>
  <c r="J662" i="1" s="1"/>
  <c r="K662" i="1" s="1"/>
  <c r="N662" i="1" s="1"/>
  <c r="I663" i="1"/>
  <c r="J663" i="1" s="1"/>
  <c r="K663" i="1" s="1"/>
  <c r="N663" i="1" s="1"/>
  <c r="I664" i="1"/>
  <c r="J664" i="1" s="1"/>
  <c r="K664" i="1" s="1"/>
  <c r="N664" i="1" s="1"/>
  <c r="I665" i="1"/>
  <c r="J665" i="1" s="1"/>
  <c r="K665" i="1" s="1"/>
  <c r="N665" i="1" s="1"/>
  <c r="I666" i="1"/>
  <c r="J666" i="1" s="1"/>
  <c r="K666" i="1" s="1"/>
  <c r="N666" i="1" s="1"/>
  <c r="I667" i="1"/>
  <c r="J667" i="1" s="1"/>
  <c r="K667" i="1" s="1"/>
  <c r="N667" i="1" s="1"/>
  <c r="I668" i="1"/>
  <c r="J668" i="1" s="1"/>
  <c r="K668" i="1" s="1"/>
  <c r="N668" i="1" s="1"/>
  <c r="I669" i="1"/>
  <c r="J669" i="1" s="1"/>
  <c r="K669" i="1" s="1"/>
  <c r="N669" i="1" s="1"/>
  <c r="I670" i="1"/>
  <c r="J670" i="1" s="1"/>
  <c r="K670" i="1" s="1"/>
  <c r="N670" i="1" s="1"/>
  <c r="I671" i="1"/>
  <c r="J671" i="1" s="1"/>
  <c r="K671" i="1" s="1"/>
  <c r="N671" i="1" s="1"/>
  <c r="I672" i="1"/>
  <c r="J672" i="1" s="1"/>
  <c r="K672" i="1" s="1"/>
  <c r="N672" i="1" s="1"/>
  <c r="I673" i="1"/>
  <c r="J673" i="1" s="1"/>
  <c r="K673" i="1" s="1"/>
  <c r="N673" i="1" s="1"/>
  <c r="I674" i="1"/>
  <c r="J674" i="1" s="1"/>
  <c r="K674" i="1" s="1"/>
  <c r="N674" i="1" s="1"/>
  <c r="I675" i="1"/>
  <c r="J675" i="1" s="1"/>
  <c r="K675" i="1" s="1"/>
  <c r="N675" i="1" s="1"/>
  <c r="I676" i="1"/>
  <c r="J676" i="1" s="1"/>
  <c r="K676" i="1" s="1"/>
  <c r="N676" i="1" s="1"/>
  <c r="I677" i="1"/>
  <c r="J677" i="1" s="1"/>
  <c r="K677" i="1" s="1"/>
  <c r="N677" i="1" s="1"/>
  <c r="I678" i="1"/>
  <c r="J678" i="1" s="1"/>
  <c r="K678" i="1" s="1"/>
  <c r="N678" i="1" s="1"/>
  <c r="I679" i="1"/>
  <c r="J679" i="1" s="1"/>
  <c r="K679" i="1" s="1"/>
  <c r="N679" i="1" s="1"/>
  <c r="I680" i="1"/>
  <c r="J680" i="1" s="1"/>
  <c r="K680" i="1" s="1"/>
  <c r="N680" i="1" s="1"/>
  <c r="I681" i="1"/>
  <c r="J681" i="1" s="1"/>
  <c r="K681" i="1" s="1"/>
  <c r="N681" i="1" s="1"/>
  <c r="I682" i="1"/>
  <c r="J682" i="1" s="1"/>
  <c r="K682" i="1" s="1"/>
  <c r="N682" i="1" s="1"/>
  <c r="I683" i="1"/>
  <c r="J683" i="1" s="1"/>
  <c r="K683" i="1" s="1"/>
  <c r="N683" i="1" s="1"/>
  <c r="I684" i="1"/>
  <c r="J684" i="1" s="1"/>
  <c r="K684" i="1" s="1"/>
  <c r="N684" i="1" s="1"/>
  <c r="I685" i="1"/>
  <c r="J685" i="1" s="1"/>
  <c r="K685" i="1" s="1"/>
  <c r="N685" i="1" s="1"/>
  <c r="I686" i="1"/>
  <c r="J686" i="1" s="1"/>
  <c r="K686" i="1" s="1"/>
  <c r="N686" i="1" s="1"/>
  <c r="I687" i="1"/>
  <c r="J687" i="1" s="1"/>
  <c r="K687" i="1" s="1"/>
  <c r="N687" i="1" s="1"/>
  <c r="I688" i="1"/>
  <c r="J688" i="1" s="1"/>
  <c r="K688" i="1" s="1"/>
  <c r="N688" i="1" s="1"/>
  <c r="I689" i="1"/>
  <c r="J689" i="1" s="1"/>
  <c r="K689" i="1" s="1"/>
  <c r="N689" i="1" s="1"/>
  <c r="I690" i="1"/>
  <c r="J690" i="1" s="1"/>
  <c r="K690" i="1" s="1"/>
  <c r="N690" i="1" s="1"/>
  <c r="I691" i="1"/>
  <c r="J691" i="1" s="1"/>
  <c r="K691" i="1" s="1"/>
  <c r="N691" i="1" s="1"/>
  <c r="I692" i="1"/>
  <c r="J692" i="1" s="1"/>
  <c r="K692" i="1" s="1"/>
  <c r="N692" i="1" s="1"/>
  <c r="I693" i="1"/>
  <c r="J693" i="1" s="1"/>
  <c r="K693" i="1" s="1"/>
  <c r="N693" i="1" s="1"/>
  <c r="I694" i="1"/>
  <c r="J694" i="1" s="1"/>
  <c r="K694" i="1" s="1"/>
  <c r="N694" i="1" s="1"/>
  <c r="I695" i="1"/>
  <c r="J695" i="1" s="1"/>
  <c r="K695" i="1" s="1"/>
  <c r="N695" i="1" s="1"/>
  <c r="I696" i="1"/>
  <c r="J696" i="1" s="1"/>
  <c r="K696" i="1" s="1"/>
  <c r="N696" i="1" s="1"/>
  <c r="I697" i="1"/>
  <c r="J697" i="1" s="1"/>
  <c r="K697" i="1" s="1"/>
  <c r="N697" i="1" s="1"/>
  <c r="I698" i="1"/>
  <c r="J698" i="1" s="1"/>
  <c r="K698" i="1" s="1"/>
  <c r="N698" i="1" s="1"/>
  <c r="I699" i="1"/>
  <c r="J699" i="1" s="1"/>
  <c r="K699" i="1" s="1"/>
  <c r="N699" i="1" s="1"/>
  <c r="I700" i="1"/>
  <c r="J700" i="1" s="1"/>
  <c r="K700" i="1" s="1"/>
  <c r="N700" i="1" s="1"/>
  <c r="I701" i="1"/>
  <c r="J701" i="1" s="1"/>
  <c r="K701" i="1" s="1"/>
  <c r="N701" i="1" s="1"/>
  <c r="I702" i="1"/>
  <c r="J702" i="1" s="1"/>
  <c r="K702" i="1" s="1"/>
  <c r="N702" i="1" s="1"/>
  <c r="I703" i="1"/>
  <c r="J703" i="1" s="1"/>
  <c r="K703" i="1" s="1"/>
  <c r="N703" i="1" s="1"/>
  <c r="I704" i="1"/>
  <c r="J704" i="1" s="1"/>
  <c r="K704" i="1" s="1"/>
  <c r="N704" i="1" s="1"/>
  <c r="I705" i="1"/>
  <c r="J705" i="1" s="1"/>
  <c r="K705" i="1" s="1"/>
  <c r="N705" i="1" s="1"/>
  <c r="I706" i="1"/>
  <c r="J706" i="1" s="1"/>
  <c r="K706" i="1" s="1"/>
  <c r="N706" i="1" s="1"/>
  <c r="I707" i="1"/>
  <c r="J707" i="1" s="1"/>
  <c r="K707" i="1" s="1"/>
  <c r="N707" i="1" s="1"/>
  <c r="I708" i="1"/>
  <c r="J708" i="1" s="1"/>
  <c r="K708" i="1" s="1"/>
  <c r="N708" i="1" s="1"/>
  <c r="I709" i="1"/>
  <c r="J709" i="1" s="1"/>
  <c r="K709" i="1" s="1"/>
  <c r="N709" i="1" s="1"/>
  <c r="I710" i="1"/>
  <c r="J710" i="1" s="1"/>
  <c r="K710" i="1" s="1"/>
  <c r="N710" i="1" s="1"/>
  <c r="I711" i="1"/>
  <c r="J711" i="1" s="1"/>
  <c r="K711" i="1" s="1"/>
  <c r="N711" i="1" s="1"/>
  <c r="I712" i="1"/>
  <c r="J712" i="1" s="1"/>
  <c r="K712" i="1" s="1"/>
  <c r="N712" i="1" s="1"/>
  <c r="I713" i="1"/>
  <c r="J713" i="1" s="1"/>
  <c r="K713" i="1" s="1"/>
  <c r="N713" i="1" s="1"/>
  <c r="I714" i="1"/>
  <c r="J714" i="1" s="1"/>
  <c r="K714" i="1" s="1"/>
  <c r="N714" i="1" s="1"/>
  <c r="I715" i="1"/>
  <c r="J715" i="1" s="1"/>
  <c r="K715" i="1" s="1"/>
  <c r="N715" i="1" s="1"/>
  <c r="I716" i="1"/>
  <c r="J716" i="1" s="1"/>
  <c r="K716" i="1" s="1"/>
  <c r="N716" i="1" s="1"/>
  <c r="I717" i="1"/>
  <c r="J717" i="1" s="1"/>
  <c r="K717" i="1" s="1"/>
  <c r="N717" i="1" s="1"/>
  <c r="I718" i="1"/>
  <c r="J718" i="1" s="1"/>
  <c r="K718" i="1" s="1"/>
  <c r="N718" i="1" s="1"/>
  <c r="I719" i="1"/>
  <c r="J719" i="1" s="1"/>
  <c r="K719" i="1" s="1"/>
  <c r="N719" i="1" s="1"/>
  <c r="I720" i="1"/>
  <c r="J720" i="1" s="1"/>
  <c r="K720" i="1" s="1"/>
  <c r="N720" i="1" s="1"/>
  <c r="I721" i="1"/>
  <c r="J721" i="1" s="1"/>
  <c r="K721" i="1" s="1"/>
  <c r="N721" i="1" s="1"/>
  <c r="I722" i="1"/>
  <c r="J722" i="1" s="1"/>
  <c r="K722" i="1" s="1"/>
  <c r="N722" i="1" s="1"/>
  <c r="I723" i="1"/>
  <c r="J723" i="1" s="1"/>
  <c r="K723" i="1" s="1"/>
  <c r="N723" i="1" s="1"/>
  <c r="I724" i="1"/>
  <c r="J724" i="1" s="1"/>
  <c r="K724" i="1" s="1"/>
  <c r="N724" i="1" s="1"/>
  <c r="I725" i="1"/>
  <c r="J725" i="1" s="1"/>
  <c r="K725" i="1" s="1"/>
  <c r="N725" i="1" s="1"/>
  <c r="I726" i="1"/>
  <c r="J726" i="1" s="1"/>
  <c r="K726" i="1" s="1"/>
  <c r="N726" i="1" s="1"/>
  <c r="I727" i="1"/>
  <c r="J727" i="1" s="1"/>
  <c r="K727" i="1" s="1"/>
  <c r="N727" i="1" s="1"/>
  <c r="I728" i="1"/>
  <c r="J728" i="1" s="1"/>
  <c r="K728" i="1" s="1"/>
  <c r="N728" i="1" s="1"/>
  <c r="I729" i="1"/>
  <c r="J729" i="1" s="1"/>
  <c r="K729" i="1" s="1"/>
  <c r="N729" i="1" s="1"/>
  <c r="I730" i="1"/>
  <c r="J730" i="1" s="1"/>
  <c r="K730" i="1" s="1"/>
  <c r="N730" i="1" s="1"/>
  <c r="I731" i="1"/>
  <c r="J731" i="1" s="1"/>
  <c r="K731" i="1" s="1"/>
  <c r="N731" i="1" s="1"/>
  <c r="I732" i="1"/>
  <c r="J732" i="1" s="1"/>
  <c r="K732" i="1" s="1"/>
  <c r="N732" i="1" s="1"/>
  <c r="I733" i="1"/>
  <c r="J733" i="1" s="1"/>
  <c r="K733" i="1" s="1"/>
  <c r="N733" i="1" s="1"/>
  <c r="I734" i="1"/>
  <c r="J734" i="1" s="1"/>
  <c r="K734" i="1" s="1"/>
  <c r="N734" i="1" s="1"/>
  <c r="I735" i="1"/>
  <c r="J735" i="1" s="1"/>
  <c r="K735" i="1" s="1"/>
  <c r="N735" i="1" s="1"/>
  <c r="I736" i="1"/>
  <c r="J736" i="1" s="1"/>
  <c r="K736" i="1" s="1"/>
  <c r="N736" i="1" s="1"/>
  <c r="I737" i="1"/>
  <c r="J737" i="1" s="1"/>
  <c r="K737" i="1" s="1"/>
  <c r="N737" i="1" s="1"/>
  <c r="I738" i="1"/>
  <c r="J738" i="1" s="1"/>
  <c r="K738" i="1" s="1"/>
  <c r="N738" i="1" s="1"/>
  <c r="I739" i="1"/>
  <c r="J739" i="1" s="1"/>
  <c r="K739" i="1" s="1"/>
  <c r="N739" i="1" s="1"/>
  <c r="I740" i="1"/>
  <c r="J740" i="1" s="1"/>
  <c r="K740" i="1" s="1"/>
  <c r="N740" i="1" s="1"/>
  <c r="I741" i="1"/>
  <c r="J741" i="1" s="1"/>
  <c r="K741" i="1" s="1"/>
  <c r="N741" i="1" s="1"/>
  <c r="I742" i="1"/>
  <c r="J742" i="1" s="1"/>
  <c r="K742" i="1" s="1"/>
  <c r="N742" i="1" s="1"/>
  <c r="I743" i="1"/>
  <c r="J743" i="1" s="1"/>
  <c r="K743" i="1" s="1"/>
  <c r="N743" i="1" s="1"/>
  <c r="I744" i="1"/>
  <c r="J744" i="1" s="1"/>
  <c r="K744" i="1" s="1"/>
  <c r="N744" i="1" s="1"/>
  <c r="I745" i="1"/>
  <c r="J745" i="1" s="1"/>
  <c r="K745" i="1" s="1"/>
  <c r="N745" i="1" s="1"/>
  <c r="I746" i="1"/>
  <c r="J746" i="1" s="1"/>
  <c r="K746" i="1" s="1"/>
  <c r="N746" i="1" s="1"/>
  <c r="I747" i="1"/>
  <c r="J747" i="1" s="1"/>
  <c r="K747" i="1" s="1"/>
  <c r="N747" i="1" s="1"/>
  <c r="I748" i="1"/>
  <c r="J748" i="1" s="1"/>
  <c r="K748" i="1" s="1"/>
  <c r="N748" i="1" s="1"/>
  <c r="I749" i="1"/>
  <c r="J749" i="1" s="1"/>
  <c r="K749" i="1" s="1"/>
  <c r="N749" i="1" s="1"/>
  <c r="I750" i="1"/>
  <c r="J750" i="1" s="1"/>
  <c r="K750" i="1" s="1"/>
  <c r="N750" i="1" s="1"/>
  <c r="I751" i="1"/>
  <c r="J751" i="1" s="1"/>
  <c r="K751" i="1" s="1"/>
  <c r="N751" i="1" s="1"/>
  <c r="I752" i="1"/>
  <c r="J752" i="1" s="1"/>
  <c r="K752" i="1" s="1"/>
  <c r="N752" i="1" s="1"/>
  <c r="I753" i="1"/>
  <c r="J753" i="1" s="1"/>
  <c r="K753" i="1" s="1"/>
  <c r="N753" i="1" s="1"/>
  <c r="I754" i="1"/>
  <c r="J754" i="1" s="1"/>
  <c r="K754" i="1" s="1"/>
  <c r="N754" i="1" s="1"/>
  <c r="I755" i="1"/>
  <c r="J755" i="1" s="1"/>
  <c r="K755" i="1" s="1"/>
  <c r="N755" i="1" s="1"/>
  <c r="I756" i="1"/>
  <c r="J756" i="1" s="1"/>
  <c r="K756" i="1" s="1"/>
  <c r="N756" i="1" s="1"/>
  <c r="I757" i="1"/>
  <c r="J757" i="1" s="1"/>
  <c r="K757" i="1" s="1"/>
  <c r="N757" i="1" s="1"/>
  <c r="I758" i="1"/>
  <c r="J758" i="1" s="1"/>
  <c r="K758" i="1" s="1"/>
  <c r="N758" i="1" s="1"/>
  <c r="I759" i="1"/>
  <c r="J759" i="1" s="1"/>
  <c r="K759" i="1" s="1"/>
  <c r="N759" i="1" s="1"/>
  <c r="I760" i="1"/>
  <c r="J760" i="1" s="1"/>
  <c r="K760" i="1" s="1"/>
  <c r="N760" i="1" s="1"/>
  <c r="I761" i="1"/>
  <c r="J761" i="1" s="1"/>
  <c r="K761" i="1" s="1"/>
  <c r="N761" i="1" s="1"/>
  <c r="I762" i="1"/>
  <c r="J762" i="1" s="1"/>
  <c r="K762" i="1" s="1"/>
  <c r="N762" i="1" s="1"/>
  <c r="I763" i="1"/>
  <c r="J763" i="1" s="1"/>
  <c r="K763" i="1" s="1"/>
  <c r="N763" i="1" s="1"/>
  <c r="I764" i="1"/>
  <c r="J764" i="1" s="1"/>
  <c r="K764" i="1" s="1"/>
  <c r="N764" i="1" s="1"/>
  <c r="I765" i="1"/>
  <c r="J765" i="1" s="1"/>
  <c r="K765" i="1" s="1"/>
  <c r="N765" i="1" s="1"/>
  <c r="I766" i="1"/>
  <c r="J766" i="1" s="1"/>
  <c r="K766" i="1" s="1"/>
  <c r="N766" i="1" s="1"/>
  <c r="I767" i="1"/>
  <c r="J767" i="1" s="1"/>
  <c r="K767" i="1" s="1"/>
  <c r="N767" i="1" s="1"/>
  <c r="I768" i="1"/>
  <c r="J768" i="1" s="1"/>
  <c r="K768" i="1" s="1"/>
  <c r="N768" i="1" s="1"/>
  <c r="I769" i="1"/>
  <c r="J769" i="1" s="1"/>
  <c r="K769" i="1" s="1"/>
  <c r="N769" i="1" s="1"/>
  <c r="I770" i="1"/>
  <c r="J770" i="1" s="1"/>
  <c r="K770" i="1" s="1"/>
  <c r="N770" i="1" s="1"/>
  <c r="I771" i="1"/>
  <c r="J771" i="1" s="1"/>
  <c r="K771" i="1" s="1"/>
  <c r="N771" i="1" s="1"/>
  <c r="I772" i="1"/>
  <c r="J772" i="1" s="1"/>
  <c r="K772" i="1" s="1"/>
  <c r="N772" i="1" s="1"/>
  <c r="I773" i="1"/>
  <c r="J773" i="1" s="1"/>
  <c r="K773" i="1" s="1"/>
  <c r="N773" i="1" s="1"/>
  <c r="I774" i="1"/>
  <c r="J774" i="1" s="1"/>
  <c r="K774" i="1" s="1"/>
  <c r="N774" i="1" s="1"/>
  <c r="I775" i="1"/>
  <c r="J775" i="1" s="1"/>
  <c r="K775" i="1" s="1"/>
  <c r="N775" i="1" s="1"/>
  <c r="I776" i="1"/>
  <c r="J776" i="1" s="1"/>
  <c r="K776" i="1" s="1"/>
  <c r="N776" i="1" s="1"/>
  <c r="I777" i="1"/>
  <c r="J777" i="1" s="1"/>
  <c r="K777" i="1" s="1"/>
  <c r="N777" i="1" s="1"/>
  <c r="I778" i="1"/>
  <c r="J778" i="1" s="1"/>
  <c r="K778" i="1" s="1"/>
  <c r="N778" i="1" s="1"/>
  <c r="I779" i="1"/>
  <c r="J779" i="1" s="1"/>
  <c r="K779" i="1" s="1"/>
  <c r="N779" i="1" s="1"/>
  <c r="I780" i="1"/>
  <c r="J780" i="1" s="1"/>
  <c r="K780" i="1" s="1"/>
  <c r="N780" i="1" s="1"/>
  <c r="I781" i="1"/>
  <c r="J781" i="1" s="1"/>
  <c r="K781" i="1" s="1"/>
  <c r="N781" i="1" s="1"/>
  <c r="I782" i="1"/>
  <c r="J782" i="1" s="1"/>
  <c r="K782" i="1" s="1"/>
  <c r="N782" i="1" s="1"/>
  <c r="I783" i="1"/>
  <c r="J783" i="1" s="1"/>
  <c r="K783" i="1" s="1"/>
  <c r="N783" i="1" s="1"/>
  <c r="I784" i="1"/>
  <c r="J784" i="1" s="1"/>
  <c r="K784" i="1" s="1"/>
  <c r="N784" i="1" s="1"/>
  <c r="I785" i="1"/>
  <c r="J785" i="1" s="1"/>
  <c r="K785" i="1" s="1"/>
  <c r="N785" i="1" s="1"/>
  <c r="I786" i="1"/>
  <c r="J786" i="1" s="1"/>
  <c r="K786" i="1" s="1"/>
  <c r="N786" i="1" s="1"/>
  <c r="I787" i="1"/>
  <c r="J787" i="1" s="1"/>
  <c r="K787" i="1" s="1"/>
  <c r="N787" i="1" s="1"/>
  <c r="I788" i="1"/>
  <c r="J788" i="1" s="1"/>
  <c r="K788" i="1" s="1"/>
  <c r="N788" i="1" s="1"/>
  <c r="I789" i="1"/>
  <c r="J789" i="1" s="1"/>
  <c r="K789" i="1" s="1"/>
  <c r="N789" i="1" s="1"/>
  <c r="I790" i="1"/>
  <c r="J790" i="1" s="1"/>
  <c r="K790" i="1" s="1"/>
  <c r="N790" i="1" s="1"/>
  <c r="I791" i="1"/>
  <c r="J791" i="1" s="1"/>
  <c r="K791" i="1" s="1"/>
  <c r="N791" i="1" s="1"/>
  <c r="I792" i="1"/>
  <c r="J792" i="1" s="1"/>
  <c r="K792" i="1" s="1"/>
  <c r="N792" i="1" s="1"/>
  <c r="I793" i="1"/>
  <c r="J793" i="1" s="1"/>
  <c r="K793" i="1" s="1"/>
  <c r="N793" i="1" s="1"/>
  <c r="I794" i="1"/>
  <c r="J794" i="1" s="1"/>
  <c r="K794" i="1" s="1"/>
  <c r="N794" i="1" s="1"/>
  <c r="I795" i="1"/>
  <c r="J795" i="1" s="1"/>
  <c r="K795" i="1" s="1"/>
  <c r="N795" i="1" s="1"/>
  <c r="I796" i="1"/>
  <c r="J796" i="1" s="1"/>
  <c r="K796" i="1" s="1"/>
  <c r="N796" i="1" s="1"/>
  <c r="I797" i="1"/>
  <c r="J797" i="1" s="1"/>
  <c r="K797" i="1" s="1"/>
  <c r="N797" i="1" s="1"/>
  <c r="I798" i="1"/>
  <c r="J798" i="1" s="1"/>
  <c r="K798" i="1" s="1"/>
  <c r="N798" i="1" s="1"/>
  <c r="I799" i="1"/>
  <c r="J799" i="1" s="1"/>
  <c r="K799" i="1" s="1"/>
  <c r="N799" i="1" s="1"/>
  <c r="I800" i="1"/>
  <c r="J800" i="1" s="1"/>
  <c r="K800" i="1" s="1"/>
  <c r="N800" i="1" s="1"/>
  <c r="I801" i="1"/>
  <c r="J801" i="1" s="1"/>
  <c r="K801" i="1" s="1"/>
  <c r="N801" i="1" s="1"/>
  <c r="I802" i="1"/>
  <c r="J802" i="1" s="1"/>
  <c r="K802" i="1" s="1"/>
  <c r="N802" i="1" s="1"/>
  <c r="I803" i="1"/>
  <c r="J803" i="1" s="1"/>
  <c r="K803" i="1" s="1"/>
  <c r="N803" i="1" s="1"/>
  <c r="I804" i="1"/>
  <c r="J804" i="1" s="1"/>
  <c r="K804" i="1" s="1"/>
  <c r="N804" i="1" s="1"/>
  <c r="I805" i="1"/>
  <c r="J805" i="1" s="1"/>
  <c r="K805" i="1" s="1"/>
  <c r="N805" i="1" s="1"/>
  <c r="I806" i="1"/>
  <c r="J806" i="1" s="1"/>
  <c r="K806" i="1" s="1"/>
  <c r="N806" i="1" s="1"/>
  <c r="I807" i="1"/>
  <c r="J807" i="1" s="1"/>
  <c r="K807" i="1" s="1"/>
  <c r="N807" i="1" s="1"/>
  <c r="I808" i="1"/>
  <c r="J808" i="1" s="1"/>
  <c r="K808" i="1" s="1"/>
  <c r="N808" i="1" s="1"/>
  <c r="I809" i="1"/>
  <c r="J809" i="1" s="1"/>
  <c r="K809" i="1" s="1"/>
  <c r="N809" i="1" s="1"/>
  <c r="I810" i="1"/>
  <c r="J810" i="1" s="1"/>
  <c r="K810" i="1" s="1"/>
  <c r="N810" i="1" s="1"/>
  <c r="I811" i="1"/>
  <c r="J811" i="1" s="1"/>
  <c r="K811" i="1" s="1"/>
  <c r="N811" i="1" s="1"/>
  <c r="I812" i="1"/>
  <c r="J812" i="1" s="1"/>
  <c r="K812" i="1" s="1"/>
  <c r="N812" i="1" s="1"/>
  <c r="I813" i="1"/>
  <c r="J813" i="1" s="1"/>
  <c r="K813" i="1" s="1"/>
  <c r="N813" i="1" s="1"/>
  <c r="I814" i="1"/>
  <c r="J814" i="1" s="1"/>
  <c r="K814" i="1" s="1"/>
  <c r="N814" i="1" s="1"/>
  <c r="I815" i="1"/>
  <c r="J815" i="1" s="1"/>
  <c r="K815" i="1" s="1"/>
  <c r="N815" i="1" s="1"/>
  <c r="I816" i="1"/>
  <c r="J816" i="1" s="1"/>
  <c r="K816" i="1" s="1"/>
  <c r="N816" i="1" s="1"/>
  <c r="I817" i="1"/>
  <c r="J817" i="1" s="1"/>
  <c r="K817" i="1" s="1"/>
  <c r="N817" i="1" s="1"/>
  <c r="I818" i="1"/>
  <c r="J818" i="1" s="1"/>
  <c r="K818" i="1" s="1"/>
  <c r="N818" i="1" s="1"/>
  <c r="I819" i="1"/>
  <c r="J819" i="1" s="1"/>
  <c r="K819" i="1" s="1"/>
  <c r="N819" i="1" s="1"/>
  <c r="I820" i="1"/>
  <c r="J820" i="1" s="1"/>
  <c r="K820" i="1" s="1"/>
  <c r="N820" i="1" s="1"/>
  <c r="I821" i="1"/>
  <c r="J821" i="1" s="1"/>
  <c r="K821" i="1" s="1"/>
  <c r="N821" i="1" s="1"/>
  <c r="I822" i="1"/>
  <c r="J822" i="1" s="1"/>
  <c r="K822" i="1" s="1"/>
  <c r="N822" i="1" s="1"/>
  <c r="I823" i="1"/>
  <c r="J823" i="1" s="1"/>
  <c r="K823" i="1" s="1"/>
  <c r="N823" i="1" s="1"/>
  <c r="I824" i="1"/>
  <c r="J824" i="1" s="1"/>
  <c r="K824" i="1" s="1"/>
  <c r="N824" i="1" s="1"/>
  <c r="I825" i="1"/>
  <c r="J825" i="1" s="1"/>
  <c r="K825" i="1" s="1"/>
  <c r="N825" i="1" s="1"/>
  <c r="I826" i="1"/>
  <c r="J826" i="1" s="1"/>
  <c r="K826" i="1" s="1"/>
  <c r="N826" i="1" s="1"/>
  <c r="I827" i="1"/>
  <c r="J827" i="1" s="1"/>
  <c r="K827" i="1" s="1"/>
  <c r="N827" i="1" s="1"/>
  <c r="I828" i="1"/>
  <c r="J828" i="1" s="1"/>
  <c r="K828" i="1" s="1"/>
  <c r="N828" i="1" s="1"/>
  <c r="I829" i="1"/>
  <c r="J829" i="1" s="1"/>
  <c r="K829" i="1" s="1"/>
  <c r="N829" i="1" s="1"/>
  <c r="I830" i="1"/>
  <c r="J830" i="1" s="1"/>
  <c r="K830" i="1" s="1"/>
  <c r="N830" i="1" s="1"/>
  <c r="I831" i="1"/>
  <c r="J831" i="1" s="1"/>
  <c r="K831" i="1" s="1"/>
  <c r="N831" i="1" s="1"/>
  <c r="I832" i="1"/>
  <c r="J832" i="1" s="1"/>
  <c r="K832" i="1" s="1"/>
  <c r="N832" i="1" s="1"/>
  <c r="I833" i="1"/>
  <c r="J833" i="1" s="1"/>
  <c r="K833" i="1" s="1"/>
  <c r="N833" i="1" s="1"/>
  <c r="I834" i="1"/>
  <c r="J834" i="1" s="1"/>
  <c r="K834" i="1" s="1"/>
  <c r="N834" i="1" s="1"/>
  <c r="I835" i="1"/>
  <c r="J835" i="1" s="1"/>
  <c r="K835" i="1" s="1"/>
  <c r="N835" i="1" s="1"/>
  <c r="I836" i="1"/>
  <c r="J836" i="1" s="1"/>
  <c r="K836" i="1" s="1"/>
  <c r="N836" i="1" s="1"/>
  <c r="I837" i="1"/>
  <c r="J837" i="1" s="1"/>
  <c r="K837" i="1" s="1"/>
  <c r="N837" i="1" s="1"/>
  <c r="I838" i="1"/>
  <c r="J838" i="1" s="1"/>
  <c r="K838" i="1" s="1"/>
  <c r="N838" i="1" s="1"/>
  <c r="I839" i="1"/>
  <c r="J839" i="1" s="1"/>
  <c r="K839" i="1" s="1"/>
  <c r="N839" i="1" s="1"/>
  <c r="I840" i="1"/>
  <c r="J840" i="1" s="1"/>
  <c r="K840" i="1" s="1"/>
  <c r="N840" i="1" s="1"/>
  <c r="I841" i="1"/>
  <c r="J841" i="1" s="1"/>
  <c r="K841" i="1" s="1"/>
  <c r="N841" i="1" s="1"/>
  <c r="I842" i="1"/>
  <c r="J842" i="1" s="1"/>
  <c r="K842" i="1" s="1"/>
  <c r="N842" i="1" s="1"/>
  <c r="I843" i="1"/>
  <c r="J843" i="1" s="1"/>
  <c r="K843" i="1" s="1"/>
  <c r="N843" i="1" s="1"/>
  <c r="I844" i="1"/>
  <c r="J844" i="1" s="1"/>
  <c r="K844" i="1" s="1"/>
  <c r="N844" i="1" s="1"/>
  <c r="I845" i="1"/>
  <c r="J845" i="1" s="1"/>
  <c r="K845" i="1" s="1"/>
  <c r="N845" i="1" s="1"/>
  <c r="I846" i="1"/>
  <c r="J846" i="1" s="1"/>
  <c r="K846" i="1" s="1"/>
  <c r="N846" i="1" s="1"/>
  <c r="I847" i="1"/>
  <c r="J847" i="1" s="1"/>
  <c r="K847" i="1" s="1"/>
  <c r="N847" i="1" s="1"/>
  <c r="I848" i="1"/>
  <c r="J848" i="1" s="1"/>
  <c r="K848" i="1" s="1"/>
  <c r="N848" i="1" s="1"/>
  <c r="I849" i="1"/>
  <c r="J849" i="1" s="1"/>
  <c r="K849" i="1" s="1"/>
  <c r="N849" i="1" s="1"/>
  <c r="I850" i="1"/>
  <c r="J850" i="1" s="1"/>
  <c r="K850" i="1" s="1"/>
  <c r="N850" i="1" s="1"/>
  <c r="I851" i="1"/>
  <c r="J851" i="1" s="1"/>
  <c r="K851" i="1" s="1"/>
  <c r="N851" i="1" s="1"/>
  <c r="I852" i="1"/>
  <c r="J852" i="1" s="1"/>
  <c r="K852" i="1" s="1"/>
  <c r="N852" i="1" s="1"/>
  <c r="I853" i="1"/>
  <c r="J853" i="1" s="1"/>
  <c r="K853" i="1" s="1"/>
  <c r="N853" i="1" s="1"/>
  <c r="I854" i="1"/>
  <c r="J854" i="1" s="1"/>
  <c r="K854" i="1" s="1"/>
  <c r="N854" i="1" s="1"/>
  <c r="I855" i="1"/>
  <c r="J855" i="1" s="1"/>
  <c r="K855" i="1" s="1"/>
  <c r="N855" i="1" s="1"/>
  <c r="I856" i="1"/>
  <c r="J856" i="1" s="1"/>
  <c r="K856" i="1" s="1"/>
  <c r="N856" i="1" s="1"/>
  <c r="I857" i="1"/>
  <c r="J857" i="1" s="1"/>
  <c r="K857" i="1" s="1"/>
  <c r="N857" i="1" s="1"/>
  <c r="I858" i="1"/>
  <c r="J858" i="1" s="1"/>
  <c r="K858" i="1" s="1"/>
  <c r="N858" i="1" s="1"/>
  <c r="I859" i="1"/>
  <c r="J859" i="1" s="1"/>
  <c r="K859" i="1" s="1"/>
  <c r="N859" i="1" s="1"/>
  <c r="I860" i="1"/>
  <c r="J860" i="1" s="1"/>
  <c r="K860" i="1" s="1"/>
  <c r="N860" i="1" s="1"/>
  <c r="I861" i="1"/>
  <c r="J861" i="1" s="1"/>
  <c r="K861" i="1" s="1"/>
  <c r="N861" i="1" s="1"/>
  <c r="I862" i="1"/>
  <c r="J862" i="1" s="1"/>
  <c r="K862" i="1" s="1"/>
  <c r="N862" i="1" s="1"/>
  <c r="I863" i="1"/>
  <c r="J863" i="1" s="1"/>
  <c r="K863" i="1" s="1"/>
  <c r="N863" i="1" s="1"/>
  <c r="I864" i="1"/>
  <c r="J864" i="1" s="1"/>
  <c r="K864" i="1" s="1"/>
  <c r="N864" i="1" s="1"/>
  <c r="I865" i="1"/>
  <c r="J865" i="1" s="1"/>
  <c r="K865" i="1" s="1"/>
  <c r="N865" i="1" s="1"/>
  <c r="I866" i="1"/>
  <c r="J866" i="1" s="1"/>
  <c r="K866" i="1" s="1"/>
  <c r="N866" i="1" s="1"/>
  <c r="I867" i="1"/>
  <c r="J867" i="1" s="1"/>
  <c r="K867" i="1" s="1"/>
  <c r="N867" i="1" s="1"/>
  <c r="I868" i="1"/>
  <c r="J868" i="1" s="1"/>
  <c r="K868" i="1" s="1"/>
  <c r="N868" i="1" s="1"/>
  <c r="I869" i="1"/>
  <c r="J869" i="1" s="1"/>
  <c r="K869" i="1" s="1"/>
  <c r="N869" i="1" s="1"/>
  <c r="I870" i="1"/>
  <c r="J870" i="1" s="1"/>
  <c r="K870" i="1" s="1"/>
  <c r="N870" i="1" s="1"/>
  <c r="I871" i="1"/>
  <c r="J871" i="1" s="1"/>
  <c r="K871" i="1" s="1"/>
  <c r="N871" i="1" s="1"/>
  <c r="I872" i="1"/>
  <c r="J872" i="1" s="1"/>
  <c r="K872" i="1" s="1"/>
  <c r="N872" i="1" s="1"/>
  <c r="I873" i="1"/>
  <c r="J873" i="1" s="1"/>
  <c r="K873" i="1" s="1"/>
  <c r="N873" i="1" s="1"/>
  <c r="I874" i="1"/>
  <c r="J874" i="1" s="1"/>
  <c r="K874" i="1" s="1"/>
  <c r="N874" i="1" s="1"/>
  <c r="I875" i="1"/>
  <c r="J875" i="1" s="1"/>
  <c r="K875" i="1" s="1"/>
  <c r="N875" i="1" s="1"/>
  <c r="I876" i="1"/>
  <c r="J876" i="1" s="1"/>
  <c r="K876" i="1" s="1"/>
  <c r="N876" i="1" s="1"/>
  <c r="I877" i="1"/>
  <c r="J877" i="1" s="1"/>
  <c r="K877" i="1" s="1"/>
  <c r="N877" i="1" s="1"/>
  <c r="I878" i="1"/>
  <c r="J878" i="1" s="1"/>
  <c r="K878" i="1" s="1"/>
  <c r="N878" i="1" s="1"/>
  <c r="I879" i="1"/>
  <c r="J879" i="1" s="1"/>
  <c r="K879" i="1" s="1"/>
  <c r="N879" i="1" s="1"/>
  <c r="I880" i="1"/>
  <c r="J880" i="1" s="1"/>
  <c r="K880" i="1" s="1"/>
  <c r="N880" i="1" s="1"/>
  <c r="I881" i="1"/>
  <c r="J881" i="1" s="1"/>
  <c r="K881" i="1" s="1"/>
  <c r="N881" i="1" s="1"/>
  <c r="I882" i="1"/>
  <c r="J882" i="1" s="1"/>
  <c r="K882" i="1" s="1"/>
  <c r="N882" i="1" s="1"/>
  <c r="I883" i="1"/>
  <c r="J883" i="1" s="1"/>
  <c r="K883" i="1" s="1"/>
  <c r="N883" i="1" s="1"/>
  <c r="I884" i="1"/>
  <c r="J884" i="1" s="1"/>
  <c r="K884" i="1" s="1"/>
  <c r="N884" i="1" s="1"/>
  <c r="I885" i="1"/>
  <c r="J885" i="1" s="1"/>
  <c r="K885" i="1" s="1"/>
  <c r="N885" i="1" s="1"/>
  <c r="I886" i="1"/>
  <c r="J886" i="1" s="1"/>
  <c r="K886" i="1" s="1"/>
  <c r="N886" i="1" s="1"/>
  <c r="I887" i="1"/>
  <c r="J887" i="1" s="1"/>
  <c r="K887" i="1" s="1"/>
  <c r="N887" i="1" s="1"/>
  <c r="I888" i="1"/>
  <c r="J888" i="1" s="1"/>
  <c r="K888" i="1" s="1"/>
  <c r="N888" i="1" s="1"/>
  <c r="I889" i="1"/>
  <c r="J889" i="1" s="1"/>
  <c r="K889" i="1" s="1"/>
  <c r="N889" i="1" s="1"/>
  <c r="I890" i="1"/>
  <c r="J890" i="1" s="1"/>
  <c r="K890" i="1" s="1"/>
  <c r="N890" i="1" s="1"/>
  <c r="I891" i="1"/>
  <c r="J891" i="1" s="1"/>
  <c r="K891" i="1" s="1"/>
  <c r="N891" i="1" s="1"/>
  <c r="I892" i="1"/>
  <c r="J892" i="1" s="1"/>
  <c r="K892" i="1" s="1"/>
  <c r="N892" i="1" s="1"/>
  <c r="I893" i="1"/>
  <c r="J893" i="1" s="1"/>
  <c r="K893" i="1" s="1"/>
  <c r="N893" i="1" s="1"/>
  <c r="I894" i="1"/>
  <c r="J894" i="1" s="1"/>
  <c r="K894" i="1" s="1"/>
  <c r="N894" i="1" s="1"/>
  <c r="I895" i="1"/>
  <c r="J895" i="1" s="1"/>
  <c r="K895" i="1" s="1"/>
  <c r="N895" i="1" s="1"/>
  <c r="I896" i="1"/>
  <c r="J896" i="1" s="1"/>
  <c r="K896" i="1" s="1"/>
  <c r="N896" i="1" s="1"/>
  <c r="I897" i="1"/>
  <c r="J897" i="1" s="1"/>
  <c r="K897" i="1" s="1"/>
  <c r="N897" i="1" s="1"/>
  <c r="I898" i="1"/>
  <c r="J898" i="1" s="1"/>
  <c r="K898" i="1" s="1"/>
  <c r="N898" i="1" s="1"/>
  <c r="I899" i="1"/>
  <c r="J899" i="1" s="1"/>
  <c r="K899" i="1" s="1"/>
  <c r="N899" i="1" s="1"/>
  <c r="I900" i="1"/>
  <c r="J900" i="1" s="1"/>
  <c r="K900" i="1" s="1"/>
  <c r="N900" i="1" s="1"/>
  <c r="I901" i="1"/>
  <c r="J901" i="1" s="1"/>
  <c r="K901" i="1" s="1"/>
  <c r="N901" i="1" s="1"/>
  <c r="I902" i="1"/>
  <c r="J902" i="1" s="1"/>
  <c r="K902" i="1" s="1"/>
  <c r="N902" i="1" s="1"/>
  <c r="I903" i="1"/>
  <c r="J903" i="1" s="1"/>
  <c r="K903" i="1" s="1"/>
  <c r="N903" i="1" s="1"/>
  <c r="I904" i="1"/>
  <c r="J904" i="1" s="1"/>
  <c r="K904" i="1" s="1"/>
  <c r="N904" i="1" s="1"/>
  <c r="I905" i="1"/>
  <c r="J905" i="1" s="1"/>
  <c r="K905" i="1" s="1"/>
  <c r="N905" i="1" s="1"/>
  <c r="I906" i="1"/>
  <c r="J906" i="1" s="1"/>
  <c r="K906" i="1" s="1"/>
  <c r="N906" i="1" s="1"/>
  <c r="I907" i="1"/>
  <c r="J907" i="1" s="1"/>
  <c r="K907" i="1" s="1"/>
  <c r="N907" i="1" s="1"/>
  <c r="I908" i="1"/>
  <c r="J908" i="1" s="1"/>
  <c r="K908" i="1" s="1"/>
  <c r="N908" i="1" s="1"/>
  <c r="I909" i="1"/>
  <c r="J909" i="1" s="1"/>
  <c r="K909" i="1" s="1"/>
  <c r="N909" i="1" s="1"/>
  <c r="I910" i="1"/>
  <c r="J910" i="1" s="1"/>
  <c r="K910" i="1" s="1"/>
  <c r="N910" i="1" s="1"/>
  <c r="I911" i="1"/>
  <c r="J911" i="1" s="1"/>
  <c r="K911" i="1" s="1"/>
  <c r="N911" i="1" s="1"/>
  <c r="I912" i="1"/>
  <c r="J912" i="1" s="1"/>
  <c r="K912" i="1" s="1"/>
  <c r="N912" i="1" s="1"/>
  <c r="I913" i="1"/>
  <c r="J913" i="1" s="1"/>
  <c r="K913" i="1" s="1"/>
  <c r="N913" i="1" s="1"/>
  <c r="I914" i="1"/>
  <c r="J914" i="1" s="1"/>
  <c r="K914" i="1" s="1"/>
  <c r="N914" i="1" s="1"/>
  <c r="I915" i="1"/>
  <c r="J915" i="1" s="1"/>
  <c r="K915" i="1" s="1"/>
  <c r="N915" i="1" s="1"/>
  <c r="I916" i="1"/>
  <c r="J916" i="1" s="1"/>
  <c r="K916" i="1" s="1"/>
  <c r="N916" i="1" s="1"/>
  <c r="I917" i="1"/>
  <c r="J917" i="1" s="1"/>
  <c r="K917" i="1" s="1"/>
  <c r="N917" i="1" s="1"/>
  <c r="I918" i="1"/>
  <c r="J918" i="1" s="1"/>
  <c r="K918" i="1" s="1"/>
  <c r="N918" i="1" s="1"/>
  <c r="I919" i="1"/>
  <c r="J919" i="1" s="1"/>
  <c r="K919" i="1" s="1"/>
  <c r="N919" i="1" s="1"/>
  <c r="I920" i="1"/>
  <c r="J920" i="1" s="1"/>
  <c r="K920" i="1" s="1"/>
  <c r="N920" i="1" s="1"/>
  <c r="I921" i="1"/>
  <c r="J921" i="1" s="1"/>
  <c r="K921" i="1" s="1"/>
  <c r="N921" i="1" s="1"/>
  <c r="I922" i="1"/>
  <c r="J922" i="1" s="1"/>
  <c r="K922" i="1" s="1"/>
  <c r="N922" i="1" s="1"/>
  <c r="I923" i="1"/>
  <c r="J923" i="1" s="1"/>
  <c r="K923" i="1" s="1"/>
  <c r="N923" i="1" s="1"/>
  <c r="I924" i="1"/>
  <c r="J924" i="1" s="1"/>
  <c r="K924" i="1" s="1"/>
  <c r="N924" i="1" s="1"/>
  <c r="I925" i="1"/>
  <c r="J925" i="1" s="1"/>
  <c r="K925" i="1" s="1"/>
  <c r="N925" i="1" s="1"/>
  <c r="I926" i="1"/>
  <c r="J926" i="1" s="1"/>
  <c r="K926" i="1" s="1"/>
  <c r="N926" i="1" s="1"/>
  <c r="I927" i="1"/>
  <c r="J927" i="1" s="1"/>
  <c r="K927" i="1" s="1"/>
  <c r="N927" i="1" s="1"/>
  <c r="I928" i="1"/>
  <c r="J928" i="1" s="1"/>
  <c r="K928" i="1" s="1"/>
  <c r="N928" i="1" s="1"/>
  <c r="I929" i="1"/>
  <c r="J929" i="1" s="1"/>
  <c r="K929" i="1" s="1"/>
  <c r="N929" i="1" s="1"/>
  <c r="I930" i="1"/>
  <c r="J930" i="1" s="1"/>
  <c r="K930" i="1" s="1"/>
  <c r="N930" i="1" s="1"/>
  <c r="I931" i="1"/>
  <c r="J931" i="1" s="1"/>
  <c r="K931" i="1" s="1"/>
  <c r="N931" i="1" s="1"/>
  <c r="I932" i="1"/>
  <c r="J932" i="1" s="1"/>
  <c r="K932" i="1" s="1"/>
  <c r="N932" i="1" s="1"/>
  <c r="I933" i="1"/>
  <c r="J933" i="1" s="1"/>
  <c r="K933" i="1" s="1"/>
  <c r="N933" i="1" s="1"/>
  <c r="I934" i="1"/>
  <c r="J934" i="1" s="1"/>
  <c r="K934" i="1" s="1"/>
  <c r="N934" i="1" s="1"/>
  <c r="I935" i="1"/>
  <c r="J935" i="1" s="1"/>
  <c r="K935" i="1" s="1"/>
  <c r="N935" i="1" s="1"/>
  <c r="I936" i="1"/>
  <c r="J936" i="1" s="1"/>
  <c r="K936" i="1" s="1"/>
  <c r="N936" i="1" s="1"/>
  <c r="I937" i="1"/>
  <c r="J937" i="1" s="1"/>
  <c r="K937" i="1" s="1"/>
  <c r="N937" i="1" s="1"/>
  <c r="I938" i="1"/>
  <c r="J938" i="1" s="1"/>
  <c r="K938" i="1" s="1"/>
  <c r="N938" i="1" s="1"/>
  <c r="I939" i="1"/>
  <c r="J939" i="1" s="1"/>
  <c r="K939" i="1" s="1"/>
  <c r="N939" i="1" s="1"/>
  <c r="I940" i="1"/>
  <c r="J940" i="1" s="1"/>
  <c r="K940" i="1" s="1"/>
  <c r="N940" i="1" s="1"/>
  <c r="I941" i="1"/>
  <c r="J941" i="1" s="1"/>
  <c r="K941" i="1" s="1"/>
  <c r="N941" i="1" s="1"/>
  <c r="I942" i="1"/>
  <c r="J942" i="1" s="1"/>
  <c r="K942" i="1" s="1"/>
  <c r="N942" i="1" s="1"/>
  <c r="I943" i="1"/>
  <c r="J943" i="1" s="1"/>
  <c r="K943" i="1" s="1"/>
  <c r="N943" i="1" s="1"/>
  <c r="I944" i="1"/>
  <c r="J944" i="1" s="1"/>
  <c r="K944" i="1" s="1"/>
  <c r="N944" i="1" s="1"/>
  <c r="I945" i="1"/>
  <c r="J945" i="1" s="1"/>
  <c r="K945" i="1" s="1"/>
  <c r="N945" i="1" s="1"/>
  <c r="I946" i="1"/>
  <c r="J946" i="1" s="1"/>
  <c r="K946" i="1" s="1"/>
  <c r="N946" i="1" s="1"/>
  <c r="I947" i="1"/>
  <c r="J947" i="1" s="1"/>
  <c r="K947" i="1" s="1"/>
  <c r="N947" i="1" s="1"/>
  <c r="I948" i="1"/>
  <c r="J948" i="1" s="1"/>
  <c r="K948" i="1" s="1"/>
  <c r="N948" i="1" s="1"/>
  <c r="I949" i="1"/>
  <c r="J949" i="1" s="1"/>
  <c r="K949" i="1" s="1"/>
  <c r="N949" i="1" s="1"/>
  <c r="I950" i="1"/>
  <c r="J950" i="1" s="1"/>
  <c r="K950" i="1" s="1"/>
  <c r="N950" i="1" s="1"/>
  <c r="I951" i="1"/>
  <c r="J951" i="1" s="1"/>
  <c r="K951" i="1" s="1"/>
  <c r="N951" i="1" s="1"/>
  <c r="I952" i="1"/>
  <c r="J952" i="1" s="1"/>
  <c r="K952" i="1" s="1"/>
  <c r="N952" i="1" s="1"/>
  <c r="I953" i="1"/>
  <c r="J953" i="1" s="1"/>
  <c r="K953" i="1" s="1"/>
  <c r="N953" i="1" s="1"/>
  <c r="I954" i="1"/>
  <c r="J954" i="1" s="1"/>
  <c r="K954" i="1" s="1"/>
  <c r="N954" i="1" s="1"/>
  <c r="I955" i="1"/>
  <c r="J955" i="1" s="1"/>
  <c r="K955" i="1" s="1"/>
  <c r="N955" i="1" s="1"/>
  <c r="I956" i="1"/>
  <c r="J956" i="1" s="1"/>
  <c r="K956" i="1" s="1"/>
  <c r="N956" i="1" s="1"/>
  <c r="I957" i="1"/>
  <c r="J957" i="1" s="1"/>
  <c r="K957" i="1" s="1"/>
  <c r="N957" i="1" s="1"/>
  <c r="I958" i="1"/>
  <c r="J958" i="1" s="1"/>
  <c r="K958" i="1" s="1"/>
  <c r="N958" i="1" s="1"/>
  <c r="I959" i="1"/>
  <c r="J959" i="1" s="1"/>
  <c r="K959" i="1" s="1"/>
  <c r="N959" i="1" s="1"/>
  <c r="I960" i="1"/>
  <c r="J960" i="1" s="1"/>
  <c r="K960" i="1" s="1"/>
  <c r="N960" i="1" s="1"/>
  <c r="I961" i="1"/>
  <c r="J961" i="1" s="1"/>
  <c r="K961" i="1" s="1"/>
  <c r="N961" i="1" s="1"/>
  <c r="I962" i="1"/>
  <c r="J962" i="1" s="1"/>
  <c r="K962" i="1" s="1"/>
  <c r="N962" i="1" s="1"/>
  <c r="I963" i="1"/>
  <c r="J963" i="1" s="1"/>
  <c r="K963" i="1" s="1"/>
  <c r="N963" i="1" s="1"/>
  <c r="I964" i="1"/>
  <c r="J964" i="1" s="1"/>
  <c r="K964" i="1" s="1"/>
  <c r="N964" i="1" s="1"/>
  <c r="I965" i="1"/>
  <c r="J965" i="1" s="1"/>
  <c r="K965" i="1" s="1"/>
  <c r="N965" i="1" s="1"/>
  <c r="I966" i="1"/>
  <c r="J966" i="1" s="1"/>
  <c r="K966" i="1" s="1"/>
  <c r="N966" i="1" s="1"/>
  <c r="I967" i="1"/>
  <c r="J967" i="1" s="1"/>
  <c r="K967" i="1" s="1"/>
  <c r="N967" i="1" s="1"/>
  <c r="I968" i="1"/>
  <c r="J968" i="1" s="1"/>
  <c r="K968" i="1" s="1"/>
  <c r="N968" i="1" s="1"/>
  <c r="I969" i="1"/>
  <c r="J969" i="1" s="1"/>
  <c r="K969" i="1" s="1"/>
  <c r="N969" i="1" s="1"/>
  <c r="I970" i="1"/>
  <c r="J970" i="1" s="1"/>
  <c r="K970" i="1" s="1"/>
  <c r="N970" i="1" s="1"/>
  <c r="I971" i="1"/>
  <c r="J971" i="1" s="1"/>
  <c r="K971" i="1" s="1"/>
  <c r="N971" i="1" s="1"/>
  <c r="I972" i="1"/>
  <c r="J972" i="1" s="1"/>
  <c r="K972" i="1" s="1"/>
  <c r="N972" i="1" s="1"/>
  <c r="I973" i="1"/>
  <c r="J973" i="1" s="1"/>
  <c r="K973" i="1" s="1"/>
  <c r="N973" i="1" s="1"/>
  <c r="I974" i="1"/>
  <c r="J974" i="1" s="1"/>
  <c r="K974" i="1" s="1"/>
  <c r="N974" i="1" s="1"/>
  <c r="I975" i="1"/>
  <c r="J975" i="1" s="1"/>
  <c r="K975" i="1" s="1"/>
  <c r="N975" i="1" s="1"/>
  <c r="I976" i="1"/>
  <c r="J976" i="1" s="1"/>
  <c r="K976" i="1" s="1"/>
  <c r="N976" i="1" s="1"/>
  <c r="I977" i="1"/>
  <c r="J977" i="1" s="1"/>
  <c r="K977" i="1" s="1"/>
  <c r="N977" i="1" s="1"/>
  <c r="I978" i="1"/>
  <c r="J978" i="1" s="1"/>
  <c r="K978" i="1" s="1"/>
  <c r="N978" i="1" s="1"/>
  <c r="I979" i="1"/>
  <c r="J979" i="1" s="1"/>
  <c r="K979" i="1" s="1"/>
  <c r="N979" i="1" s="1"/>
  <c r="I980" i="1"/>
  <c r="J980" i="1" s="1"/>
  <c r="K980" i="1" s="1"/>
  <c r="N980" i="1" s="1"/>
  <c r="I981" i="1"/>
  <c r="J981" i="1" s="1"/>
  <c r="K981" i="1" s="1"/>
  <c r="N981" i="1" s="1"/>
  <c r="I982" i="1"/>
  <c r="J982" i="1" s="1"/>
  <c r="K982" i="1" s="1"/>
  <c r="N982" i="1" s="1"/>
  <c r="I983" i="1"/>
  <c r="J983" i="1" s="1"/>
  <c r="K983" i="1" s="1"/>
  <c r="N983" i="1" s="1"/>
  <c r="I984" i="1"/>
  <c r="J984" i="1" s="1"/>
  <c r="K984" i="1" s="1"/>
  <c r="N984" i="1" s="1"/>
  <c r="I985" i="1"/>
  <c r="J985" i="1" s="1"/>
  <c r="K985" i="1" s="1"/>
  <c r="N985" i="1" s="1"/>
  <c r="I986" i="1"/>
  <c r="J986" i="1" s="1"/>
  <c r="K986" i="1" s="1"/>
  <c r="N986" i="1" s="1"/>
  <c r="I987" i="1"/>
  <c r="J987" i="1" s="1"/>
  <c r="K987" i="1" s="1"/>
  <c r="N987" i="1" s="1"/>
  <c r="I988" i="1"/>
  <c r="J988" i="1" s="1"/>
  <c r="K988" i="1" s="1"/>
  <c r="N988" i="1" s="1"/>
  <c r="I989" i="1"/>
  <c r="J989" i="1" s="1"/>
  <c r="K989" i="1" s="1"/>
  <c r="N989" i="1" s="1"/>
  <c r="I990" i="1"/>
  <c r="J990" i="1" s="1"/>
  <c r="K990" i="1" s="1"/>
  <c r="N990" i="1" s="1"/>
  <c r="I991" i="1"/>
  <c r="J991" i="1" s="1"/>
  <c r="K991" i="1" s="1"/>
  <c r="N991" i="1" s="1"/>
  <c r="I992" i="1"/>
  <c r="J992" i="1" s="1"/>
  <c r="K992" i="1" s="1"/>
  <c r="N992" i="1" s="1"/>
  <c r="I993" i="1"/>
  <c r="J993" i="1" s="1"/>
  <c r="K993" i="1" s="1"/>
  <c r="N993" i="1" s="1"/>
  <c r="I994" i="1"/>
  <c r="J994" i="1" s="1"/>
  <c r="K994" i="1" s="1"/>
  <c r="N994" i="1" s="1"/>
  <c r="I995" i="1"/>
  <c r="J995" i="1" s="1"/>
  <c r="K995" i="1" s="1"/>
  <c r="N995" i="1" s="1"/>
  <c r="I996" i="1"/>
  <c r="J996" i="1" s="1"/>
  <c r="K996" i="1" s="1"/>
  <c r="N996" i="1" s="1"/>
  <c r="I997" i="1"/>
  <c r="J997" i="1" s="1"/>
  <c r="K997" i="1" s="1"/>
  <c r="N997" i="1" s="1"/>
  <c r="I998" i="1"/>
  <c r="J998" i="1" s="1"/>
  <c r="K998" i="1" s="1"/>
  <c r="N998" i="1" s="1"/>
  <c r="I999" i="1"/>
  <c r="J999" i="1" s="1"/>
  <c r="K999" i="1" s="1"/>
  <c r="N999" i="1" s="1"/>
  <c r="I1000" i="1"/>
  <c r="J1000" i="1" s="1"/>
  <c r="K1000" i="1" s="1"/>
  <c r="N1000" i="1" s="1"/>
  <c r="I1001" i="1"/>
  <c r="J1001" i="1" s="1"/>
  <c r="K1001" i="1" s="1"/>
  <c r="N1001" i="1" s="1"/>
  <c r="I1002" i="1"/>
  <c r="J1002" i="1" s="1"/>
  <c r="K1002" i="1" s="1"/>
  <c r="N1002" i="1" s="1"/>
  <c r="I1003" i="1"/>
  <c r="J1003" i="1" s="1"/>
  <c r="K1003" i="1" s="1"/>
  <c r="N1003" i="1" s="1"/>
  <c r="I1004" i="1"/>
  <c r="J1004" i="1" s="1"/>
  <c r="K1004" i="1" s="1"/>
  <c r="N1004" i="1" s="1"/>
  <c r="I1005" i="1"/>
  <c r="J1005" i="1" s="1"/>
  <c r="K1005" i="1" s="1"/>
  <c r="N1005" i="1" s="1"/>
  <c r="I1006" i="1"/>
  <c r="J1006" i="1" s="1"/>
  <c r="K1006" i="1" s="1"/>
  <c r="N1006" i="1" s="1"/>
  <c r="I1007" i="1"/>
  <c r="J1007" i="1" s="1"/>
  <c r="K1007" i="1" s="1"/>
  <c r="N1007" i="1" s="1"/>
  <c r="I1008" i="1"/>
  <c r="J1008" i="1" s="1"/>
  <c r="K1008" i="1" s="1"/>
  <c r="N1008" i="1" s="1"/>
  <c r="I1009" i="1"/>
  <c r="J1009" i="1" s="1"/>
  <c r="K1009" i="1" s="1"/>
  <c r="N1009" i="1" s="1"/>
  <c r="I1010" i="1"/>
  <c r="J1010" i="1" s="1"/>
  <c r="K1010" i="1" s="1"/>
  <c r="N1010" i="1" s="1"/>
  <c r="I1011" i="1"/>
  <c r="J1011" i="1" s="1"/>
  <c r="K1011" i="1" s="1"/>
  <c r="N1011" i="1" s="1"/>
  <c r="I1012" i="1"/>
  <c r="J1012" i="1" s="1"/>
  <c r="K1012" i="1" s="1"/>
  <c r="N1012" i="1" s="1"/>
  <c r="I1013" i="1"/>
  <c r="J1013" i="1" s="1"/>
  <c r="K1013" i="1" s="1"/>
  <c r="N1013" i="1" s="1"/>
  <c r="I1014" i="1"/>
  <c r="J1014" i="1" s="1"/>
  <c r="K1014" i="1" s="1"/>
  <c r="N1014" i="1" s="1"/>
  <c r="I1015" i="1"/>
  <c r="J1015" i="1" s="1"/>
  <c r="K1015" i="1" s="1"/>
  <c r="N1015" i="1" s="1"/>
  <c r="I1016" i="1"/>
  <c r="J1016" i="1" s="1"/>
  <c r="K1016" i="1" s="1"/>
  <c r="N1016" i="1" s="1"/>
  <c r="I1017" i="1"/>
  <c r="J1017" i="1" s="1"/>
  <c r="K1017" i="1" s="1"/>
  <c r="N1017" i="1" s="1"/>
  <c r="I1018" i="1"/>
  <c r="J1018" i="1" s="1"/>
  <c r="K1018" i="1" s="1"/>
  <c r="N1018" i="1" s="1"/>
  <c r="I1019" i="1"/>
  <c r="J1019" i="1" s="1"/>
  <c r="K1019" i="1" s="1"/>
  <c r="N1019" i="1" s="1"/>
  <c r="I1020" i="1"/>
  <c r="J1020" i="1" s="1"/>
  <c r="K1020" i="1" s="1"/>
  <c r="N1020" i="1" s="1"/>
  <c r="I1021" i="1"/>
  <c r="J1021" i="1" s="1"/>
  <c r="K1021" i="1" s="1"/>
  <c r="N1021" i="1" s="1"/>
  <c r="I1022" i="1"/>
  <c r="J1022" i="1" s="1"/>
  <c r="K1022" i="1" s="1"/>
  <c r="N1022" i="1" s="1"/>
  <c r="I1023" i="1"/>
  <c r="J1023" i="1" s="1"/>
  <c r="K1023" i="1" s="1"/>
  <c r="N1023" i="1" s="1"/>
  <c r="I1024" i="1"/>
  <c r="J1024" i="1" s="1"/>
  <c r="K1024" i="1" s="1"/>
  <c r="N1024" i="1" s="1"/>
  <c r="I1025" i="1"/>
  <c r="J1025" i="1" s="1"/>
  <c r="K1025" i="1" s="1"/>
  <c r="N1025" i="1" s="1"/>
  <c r="I1026" i="1"/>
  <c r="J1026" i="1" s="1"/>
  <c r="K1026" i="1" s="1"/>
  <c r="N1026" i="1" s="1"/>
  <c r="I1027" i="1"/>
  <c r="J1027" i="1" s="1"/>
  <c r="K1027" i="1" s="1"/>
  <c r="N1027" i="1" s="1"/>
  <c r="I1028" i="1"/>
  <c r="J1028" i="1" s="1"/>
  <c r="K1028" i="1" s="1"/>
  <c r="N1028" i="1" s="1"/>
  <c r="I1029" i="1"/>
  <c r="J1029" i="1" s="1"/>
  <c r="K1029" i="1" s="1"/>
  <c r="N1029" i="1" s="1"/>
  <c r="I1030" i="1"/>
  <c r="J1030" i="1" s="1"/>
  <c r="K1030" i="1" s="1"/>
  <c r="N1030" i="1" s="1"/>
  <c r="I1031" i="1"/>
  <c r="J1031" i="1" s="1"/>
  <c r="K1031" i="1" s="1"/>
  <c r="N1031" i="1" s="1"/>
  <c r="I1032" i="1"/>
  <c r="J1032" i="1" s="1"/>
  <c r="K1032" i="1" s="1"/>
  <c r="N1032" i="1" s="1"/>
  <c r="I1033" i="1"/>
  <c r="J1033" i="1" s="1"/>
  <c r="K1033" i="1" s="1"/>
  <c r="N1033" i="1" s="1"/>
  <c r="I1034" i="1"/>
  <c r="J1034" i="1" s="1"/>
  <c r="K1034" i="1" s="1"/>
  <c r="N1034" i="1" s="1"/>
  <c r="I1035" i="1"/>
  <c r="J1035" i="1" s="1"/>
  <c r="K1035" i="1" s="1"/>
  <c r="N1035" i="1" s="1"/>
  <c r="I1036" i="1"/>
  <c r="J1036" i="1" s="1"/>
  <c r="K1036" i="1" s="1"/>
  <c r="N1036" i="1" s="1"/>
  <c r="I1037" i="1"/>
  <c r="J1037" i="1" s="1"/>
  <c r="K1037" i="1" s="1"/>
  <c r="N1037" i="1" s="1"/>
  <c r="I1038" i="1"/>
  <c r="J1038" i="1" s="1"/>
  <c r="K1038" i="1" s="1"/>
  <c r="N1038" i="1" s="1"/>
  <c r="I1039" i="1"/>
  <c r="J1039" i="1" s="1"/>
  <c r="K1039" i="1" s="1"/>
  <c r="N1039" i="1" s="1"/>
  <c r="I1040" i="1"/>
  <c r="J1040" i="1" s="1"/>
  <c r="K1040" i="1" s="1"/>
  <c r="N1040" i="1" s="1"/>
  <c r="I1041" i="1"/>
  <c r="J1041" i="1" s="1"/>
  <c r="K1041" i="1" s="1"/>
  <c r="N1041" i="1" s="1"/>
  <c r="I1042" i="1"/>
  <c r="J1042" i="1" s="1"/>
  <c r="K1042" i="1" s="1"/>
  <c r="N1042" i="1" s="1"/>
  <c r="I1043" i="1"/>
  <c r="J1043" i="1" s="1"/>
  <c r="K1043" i="1" s="1"/>
  <c r="N1043" i="1" s="1"/>
  <c r="I1044" i="1"/>
  <c r="J1044" i="1" s="1"/>
  <c r="K1044" i="1" s="1"/>
  <c r="N1044" i="1" s="1"/>
  <c r="I1045" i="1"/>
  <c r="J1045" i="1" s="1"/>
  <c r="K1045" i="1" s="1"/>
  <c r="N1045" i="1" s="1"/>
  <c r="I1046" i="1"/>
  <c r="J1046" i="1" s="1"/>
  <c r="K1046" i="1" s="1"/>
  <c r="N1046" i="1" s="1"/>
  <c r="I1047" i="1"/>
  <c r="J1047" i="1" s="1"/>
  <c r="K1047" i="1" s="1"/>
  <c r="N1047" i="1" s="1"/>
  <c r="I1048" i="1"/>
  <c r="J1048" i="1" s="1"/>
  <c r="K1048" i="1" s="1"/>
  <c r="N1048" i="1" s="1"/>
  <c r="I1049" i="1"/>
  <c r="J1049" i="1" s="1"/>
  <c r="K1049" i="1" s="1"/>
  <c r="N1049" i="1" s="1"/>
  <c r="I1050" i="1"/>
  <c r="J1050" i="1" s="1"/>
  <c r="K1050" i="1" s="1"/>
  <c r="N1050" i="1" s="1"/>
  <c r="I1051" i="1"/>
  <c r="J1051" i="1" s="1"/>
  <c r="K1051" i="1" s="1"/>
  <c r="N1051" i="1" s="1"/>
  <c r="I1052" i="1"/>
  <c r="J1052" i="1" s="1"/>
  <c r="K1052" i="1" s="1"/>
  <c r="N1052" i="1" s="1"/>
  <c r="I1053" i="1"/>
  <c r="J1053" i="1" s="1"/>
  <c r="K1053" i="1" s="1"/>
  <c r="N1053" i="1" s="1"/>
  <c r="I1054" i="1"/>
  <c r="J1054" i="1" s="1"/>
  <c r="K1054" i="1" s="1"/>
  <c r="N1054" i="1" s="1"/>
  <c r="I1055" i="1"/>
  <c r="J1055" i="1" s="1"/>
  <c r="K1055" i="1" s="1"/>
  <c r="N1055" i="1" s="1"/>
  <c r="I1056" i="1"/>
  <c r="J1056" i="1" s="1"/>
  <c r="K1056" i="1" s="1"/>
  <c r="N1056" i="1" s="1"/>
  <c r="I1057" i="1"/>
  <c r="J1057" i="1" s="1"/>
  <c r="K1057" i="1" s="1"/>
  <c r="N1057" i="1" s="1"/>
  <c r="I1058" i="1"/>
  <c r="J1058" i="1" s="1"/>
  <c r="K1058" i="1" s="1"/>
  <c r="N1058" i="1" s="1"/>
  <c r="I1059" i="1"/>
  <c r="J1059" i="1" s="1"/>
  <c r="K1059" i="1" s="1"/>
  <c r="N1059" i="1" s="1"/>
  <c r="I1060" i="1"/>
  <c r="J1060" i="1" s="1"/>
  <c r="K1060" i="1" s="1"/>
  <c r="N1060" i="1" s="1"/>
  <c r="I1061" i="1"/>
  <c r="J1061" i="1" s="1"/>
  <c r="K1061" i="1" s="1"/>
  <c r="N1061" i="1" s="1"/>
  <c r="I1062" i="1"/>
  <c r="J1062" i="1" s="1"/>
  <c r="K1062" i="1" s="1"/>
  <c r="N1062" i="1" s="1"/>
  <c r="I1063" i="1"/>
  <c r="J1063" i="1" s="1"/>
  <c r="K1063" i="1" s="1"/>
  <c r="N1063" i="1" s="1"/>
  <c r="I1064" i="1"/>
  <c r="J1064" i="1" s="1"/>
  <c r="K1064" i="1" s="1"/>
  <c r="N1064" i="1" s="1"/>
  <c r="I1065" i="1"/>
  <c r="J1065" i="1" s="1"/>
  <c r="K1065" i="1" s="1"/>
  <c r="N1065" i="1" s="1"/>
  <c r="I1066" i="1"/>
  <c r="J1066" i="1" s="1"/>
  <c r="K1066" i="1" s="1"/>
  <c r="N1066" i="1" s="1"/>
  <c r="I1067" i="1"/>
  <c r="J1067" i="1" s="1"/>
  <c r="K1067" i="1" s="1"/>
  <c r="N1067" i="1" s="1"/>
  <c r="I1068" i="1"/>
  <c r="J1068" i="1" s="1"/>
  <c r="K1068" i="1" s="1"/>
  <c r="N1068" i="1" s="1"/>
  <c r="I1069" i="1"/>
  <c r="J1069" i="1" s="1"/>
  <c r="K1069" i="1" s="1"/>
  <c r="N1069" i="1" s="1"/>
  <c r="I1070" i="1"/>
  <c r="J1070" i="1" s="1"/>
  <c r="K1070" i="1" s="1"/>
  <c r="N1070" i="1" s="1"/>
  <c r="I1071" i="1"/>
  <c r="J1071" i="1" s="1"/>
  <c r="K1071" i="1" s="1"/>
  <c r="N1071" i="1" s="1"/>
  <c r="I1072" i="1"/>
  <c r="J1072" i="1" s="1"/>
  <c r="K1072" i="1" s="1"/>
  <c r="N1072" i="1" s="1"/>
  <c r="I1073" i="1"/>
  <c r="J1073" i="1" s="1"/>
  <c r="K1073" i="1" s="1"/>
  <c r="N1073" i="1" s="1"/>
  <c r="I1074" i="1"/>
  <c r="J1074" i="1" s="1"/>
  <c r="K1074" i="1" s="1"/>
  <c r="N1074" i="1" s="1"/>
  <c r="I1075" i="1"/>
  <c r="J1075" i="1" s="1"/>
  <c r="K1075" i="1" s="1"/>
  <c r="N1075" i="1" s="1"/>
  <c r="I1076" i="1"/>
  <c r="J1076" i="1" s="1"/>
  <c r="K1076" i="1" s="1"/>
  <c r="N1076" i="1" s="1"/>
  <c r="I1077" i="1"/>
  <c r="J1077" i="1" s="1"/>
  <c r="K1077" i="1" s="1"/>
  <c r="N1077" i="1" s="1"/>
  <c r="I1078" i="1"/>
  <c r="J1078" i="1" s="1"/>
  <c r="K1078" i="1" s="1"/>
  <c r="N1078" i="1" s="1"/>
  <c r="I1079" i="1"/>
  <c r="J1079" i="1" s="1"/>
  <c r="K1079" i="1" s="1"/>
  <c r="N1079" i="1" s="1"/>
  <c r="I1080" i="1"/>
  <c r="J1080" i="1" s="1"/>
  <c r="K1080" i="1" s="1"/>
  <c r="N1080" i="1" s="1"/>
  <c r="I1081" i="1"/>
  <c r="J1081" i="1" s="1"/>
  <c r="K1081" i="1" s="1"/>
  <c r="N1081" i="1" s="1"/>
  <c r="I1082" i="1"/>
  <c r="J1082" i="1" s="1"/>
  <c r="K1082" i="1" s="1"/>
  <c r="N1082" i="1" s="1"/>
  <c r="I1083" i="1"/>
  <c r="J1083" i="1" s="1"/>
  <c r="K1083" i="1" s="1"/>
  <c r="N1083" i="1" s="1"/>
  <c r="I1084" i="1"/>
  <c r="J1084" i="1" s="1"/>
  <c r="K1084" i="1" s="1"/>
  <c r="N1084" i="1" s="1"/>
  <c r="I1085" i="1"/>
  <c r="J1085" i="1" s="1"/>
  <c r="K1085" i="1" s="1"/>
  <c r="N1085" i="1" s="1"/>
  <c r="I1086" i="1"/>
  <c r="J1086" i="1" s="1"/>
  <c r="K1086" i="1" s="1"/>
  <c r="N1086" i="1" s="1"/>
  <c r="I1087" i="1"/>
  <c r="J1087" i="1" s="1"/>
  <c r="K1087" i="1" s="1"/>
  <c r="N1087" i="1" s="1"/>
  <c r="I1088" i="1"/>
  <c r="J1088" i="1" s="1"/>
  <c r="K1088" i="1" s="1"/>
  <c r="N1088" i="1" s="1"/>
  <c r="I1089" i="1"/>
  <c r="J1089" i="1" s="1"/>
  <c r="K1089" i="1" s="1"/>
  <c r="N1089" i="1" s="1"/>
  <c r="I1090" i="1"/>
  <c r="J1090" i="1" s="1"/>
  <c r="K1090" i="1" s="1"/>
  <c r="N1090" i="1" s="1"/>
  <c r="I1091" i="1"/>
  <c r="J1091" i="1" s="1"/>
  <c r="K1091" i="1" s="1"/>
  <c r="N1091" i="1" s="1"/>
  <c r="I1092" i="1"/>
  <c r="J1092" i="1" s="1"/>
  <c r="K1092" i="1" s="1"/>
  <c r="N1092" i="1" s="1"/>
  <c r="I1093" i="1"/>
  <c r="J1093" i="1" s="1"/>
  <c r="K1093" i="1" s="1"/>
  <c r="N1093" i="1" s="1"/>
  <c r="I1094" i="1"/>
  <c r="J1094" i="1" s="1"/>
  <c r="K1094" i="1" s="1"/>
  <c r="N1094" i="1" s="1"/>
  <c r="I1095" i="1"/>
  <c r="J1095" i="1" s="1"/>
  <c r="K1095" i="1" s="1"/>
  <c r="N1095" i="1" s="1"/>
  <c r="I1096" i="1"/>
  <c r="J1096" i="1" s="1"/>
  <c r="K1096" i="1" s="1"/>
  <c r="N1096" i="1" s="1"/>
  <c r="I1097" i="1"/>
  <c r="J1097" i="1" s="1"/>
  <c r="K1097" i="1" s="1"/>
  <c r="N1097" i="1" s="1"/>
  <c r="I1098" i="1"/>
  <c r="J1098" i="1" s="1"/>
  <c r="K1098" i="1" s="1"/>
  <c r="N1098" i="1" s="1"/>
  <c r="I1099" i="1"/>
  <c r="J1099" i="1" s="1"/>
  <c r="K1099" i="1" s="1"/>
  <c r="N1099" i="1" s="1"/>
  <c r="I1100" i="1"/>
  <c r="J1100" i="1" s="1"/>
  <c r="K1100" i="1" s="1"/>
  <c r="N1100" i="1" s="1"/>
  <c r="I1101" i="1"/>
  <c r="J1101" i="1" s="1"/>
  <c r="K1101" i="1" s="1"/>
  <c r="N1101" i="1" s="1"/>
  <c r="I1102" i="1"/>
  <c r="J1102" i="1" s="1"/>
  <c r="K1102" i="1" s="1"/>
  <c r="N1102" i="1" s="1"/>
  <c r="I1103" i="1"/>
  <c r="J1103" i="1" s="1"/>
  <c r="K1103" i="1" s="1"/>
  <c r="N1103" i="1" s="1"/>
  <c r="I1104" i="1"/>
  <c r="J1104" i="1" s="1"/>
  <c r="K1104" i="1" s="1"/>
  <c r="N1104" i="1" s="1"/>
  <c r="I1105" i="1"/>
  <c r="J1105" i="1" s="1"/>
  <c r="K1105" i="1" s="1"/>
  <c r="N1105" i="1" s="1"/>
  <c r="I1106" i="1"/>
  <c r="J1106" i="1" s="1"/>
  <c r="K1106" i="1" s="1"/>
  <c r="N1106" i="1" s="1"/>
  <c r="I1107" i="1"/>
  <c r="J1107" i="1" s="1"/>
  <c r="K1107" i="1" s="1"/>
  <c r="N1107" i="1" s="1"/>
  <c r="I1108" i="1"/>
  <c r="J1108" i="1" s="1"/>
  <c r="K1108" i="1" s="1"/>
  <c r="N1108" i="1" s="1"/>
  <c r="I1109" i="1"/>
  <c r="J1109" i="1" s="1"/>
  <c r="K1109" i="1" s="1"/>
  <c r="N1109" i="1" s="1"/>
  <c r="I1110" i="1"/>
  <c r="J1110" i="1" s="1"/>
  <c r="K1110" i="1" s="1"/>
  <c r="N1110" i="1" s="1"/>
  <c r="I1111" i="1"/>
  <c r="J1111" i="1" s="1"/>
  <c r="K1111" i="1" s="1"/>
  <c r="N1111" i="1" s="1"/>
  <c r="I1112" i="1"/>
  <c r="J1112" i="1" s="1"/>
  <c r="K1112" i="1" s="1"/>
  <c r="N1112" i="1" s="1"/>
  <c r="I1113" i="1"/>
  <c r="J1113" i="1" s="1"/>
  <c r="K1113" i="1" s="1"/>
  <c r="N1113" i="1" s="1"/>
  <c r="I1114" i="1"/>
  <c r="J1114" i="1" s="1"/>
  <c r="K1114" i="1" s="1"/>
  <c r="N1114" i="1" s="1"/>
  <c r="I1115" i="1"/>
  <c r="J1115" i="1" s="1"/>
  <c r="K1115" i="1" s="1"/>
  <c r="N1115" i="1" s="1"/>
  <c r="I1116" i="1"/>
  <c r="J1116" i="1" s="1"/>
  <c r="K1116" i="1" s="1"/>
  <c r="N1116" i="1" s="1"/>
  <c r="I1117" i="1"/>
  <c r="J1117" i="1" s="1"/>
  <c r="K1117" i="1" s="1"/>
  <c r="N1117" i="1" s="1"/>
  <c r="I1118" i="1"/>
  <c r="J1118" i="1" s="1"/>
  <c r="K1118" i="1" s="1"/>
  <c r="N1118" i="1" s="1"/>
  <c r="I1119" i="1"/>
  <c r="J1119" i="1" s="1"/>
  <c r="K1119" i="1" s="1"/>
  <c r="N1119" i="1" s="1"/>
  <c r="I1120" i="1"/>
  <c r="J1120" i="1" s="1"/>
  <c r="K1120" i="1" s="1"/>
  <c r="N1120" i="1" s="1"/>
  <c r="I1121" i="1"/>
  <c r="J1121" i="1" s="1"/>
  <c r="K1121" i="1" s="1"/>
  <c r="N1121" i="1" s="1"/>
  <c r="I1122" i="1"/>
  <c r="J1122" i="1" s="1"/>
  <c r="K1122" i="1" s="1"/>
  <c r="N1122" i="1" s="1"/>
  <c r="I1123" i="1"/>
  <c r="J1123" i="1" s="1"/>
  <c r="K1123" i="1" s="1"/>
  <c r="N1123" i="1" s="1"/>
  <c r="I1124" i="1"/>
  <c r="J1124" i="1" s="1"/>
  <c r="K1124" i="1" s="1"/>
  <c r="N1124" i="1" s="1"/>
  <c r="I1125" i="1"/>
  <c r="J1125" i="1" s="1"/>
  <c r="K1125" i="1" s="1"/>
  <c r="N1125" i="1" s="1"/>
  <c r="I1126" i="1"/>
  <c r="J1126" i="1" s="1"/>
  <c r="K1126" i="1" s="1"/>
  <c r="N1126" i="1" s="1"/>
  <c r="I1127" i="1"/>
  <c r="J1127" i="1" s="1"/>
  <c r="K1127" i="1" s="1"/>
  <c r="N1127" i="1" s="1"/>
  <c r="I1128" i="1"/>
  <c r="J1128" i="1" s="1"/>
  <c r="K1128" i="1" s="1"/>
  <c r="N1128" i="1" s="1"/>
  <c r="I1129" i="1"/>
  <c r="J1129" i="1" s="1"/>
  <c r="K1129" i="1" s="1"/>
  <c r="N1129" i="1" s="1"/>
  <c r="I1130" i="1"/>
  <c r="J1130" i="1" s="1"/>
  <c r="K1130" i="1" s="1"/>
  <c r="N1130" i="1" s="1"/>
  <c r="I1131" i="1"/>
  <c r="J1131" i="1" s="1"/>
  <c r="K1131" i="1" s="1"/>
  <c r="N1131" i="1" s="1"/>
  <c r="I1132" i="1"/>
  <c r="J1132" i="1" s="1"/>
  <c r="K1132" i="1" s="1"/>
  <c r="N1132" i="1" s="1"/>
  <c r="I1133" i="1"/>
  <c r="J1133" i="1" s="1"/>
  <c r="K1133" i="1" s="1"/>
  <c r="N1133" i="1" s="1"/>
  <c r="I1134" i="1"/>
  <c r="J1134" i="1" s="1"/>
  <c r="K1134" i="1" s="1"/>
  <c r="N1134" i="1" s="1"/>
  <c r="I1135" i="1"/>
  <c r="J1135" i="1" s="1"/>
  <c r="K1135" i="1" s="1"/>
  <c r="N1135" i="1" s="1"/>
  <c r="I1136" i="1"/>
  <c r="J1136" i="1" s="1"/>
  <c r="K1136" i="1" s="1"/>
  <c r="N1136" i="1" s="1"/>
  <c r="I1137" i="1"/>
  <c r="J1137" i="1" s="1"/>
  <c r="K1137" i="1" s="1"/>
  <c r="N1137" i="1" s="1"/>
  <c r="I1138" i="1"/>
  <c r="J1138" i="1" s="1"/>
  <c r="K1138" i="1" s="1"/>
  <c r="N1138" i="1" s="1"/>
  <c r="I1139" i="1"/>
  <c r="J1139" i="1" s="1"/>
  <c r="K1139" i="1" s="1"/>
  <c r="N1139" i="1" s="1"/>
  <c r="I1140" i="1"/>
  <c r="J1140" i="1" s="1"/>
  <c r="K1140" i="1" s="1"/>
  <c r="N1140" i="1" s="1"/>
  <c r="I1141" i="1"/>
  <c r="J1141" i="1" s="1"/>
  <c r="K1141" i="1" s="1"/>
  <c r="N1141" i="1" s="1"/>
  <c r="I1142" i="1"/>
  <c r="J1142" i="1" s="1"/>
  <c r="K1142" i="1" s="1"/>
  <c r="N1142" i="1" s="1"/>
  <c r="I1143" i="1"/>
  <c r="J1143" i="1" s="1"/>
  <c r="K1143" i="1" s="1"/>
  <c r="N1143" i="1" s="1"/>
  <c r="I1144" i="1"/>
  <c r="J1144" i="1" s="1"/>
  <c r="K1144" i="1" s="1"/>
  <c r="N1144" i="1" s="1"/>
  <c r="I1145" i="1"/>
  <c r="J1145" i="1" s="1"/>
  <c r="K1145" i="1" s="1"/>
  <c r="N1145" i="1" s="1"/>
  <c r="I1146" i="1"/>
  <c r="J1146" i="1" s="1"/>
  <c r="K1146" i="1" s="1"/>
  <c r="N1146" i="1" s="1"/>
  <c r="I1147" i="1"/>
  <c r="J1147" i="1" s="1"/>
  <c r="K1147" i="1" s="1"/>
  <c r="N1147" i="1" s="1"/>
  <c r="I1148" i="1"/>
  <c r="J1148" i="1" s="1"/>
  <c r="K1148" i="1" s="1"/>
  <c r="N1148" i="1" s="1"/>
  <c r="I1149" i="1"/>
  <c r="J1149" i="1" s="1"/>
  <c r="K1149" i="1" s="1"/>
  <c r="N1149" i="1" s="1"/>
  <c r="I1150" i="1"/>
  <c r="J1150" i="1" s="1"/>
  <c r="K1150" i="1" s="1"/>
  <c r="N1150" i="1" s="1"/>
  <c r="I1151" i="1"/>
  <c r="J1151" i="1" s="1"/>
  <c r="K1151" i="1" s="1"/>
  <c r="N1151" i="1" s="1"/>
  <c r="I1152" i="1"/>
  <c r="J1152" i="1" s="1"/>
  <c r="K1152" i="1" s="1"/>
  <c r="N1152" i="1" s="1"/>
  <c r="I1153" i="1"/>
  <c r="J1153" i="1" s="1"/>
  <c r="K1153" i="1" s="1"/>
  <c r="N1153" i="1" s="1"/>
  <c r="I1154" i="1"/>
  <c r="J1154" i="1" s="1"/>
  <c r="K1154" i="1" s="1"/>
  <c r="N1154" i="1" s="1"/>
  <c r="I1155" i="1"/>
  <c r="J1155" i="1" s="1"/>
  <c r="K1155" i="1" s="1"/>
  <c r="N1155" i="1" s="1"/>
  <c r="I1156" i="1"/>
  <c r="J1156" i="1" s="1"/>
  <c r="K1156" i="1" s="1"/>
  <c r="N1156" i="1" s="1"/>
  <c r="I1157" i="1"/>
  <c r="J1157" i="1" s="1"/>
  <c r="K1157" i="1" s="1"/>
  <c r="N1157" i="1" s="1"/>
  <c r="I1158" i="1"/>
  <c r="J1158" i="1" s="1"/>
  <c r="K1158" i="1" s="1"/>
  <c r="N1158" i="1" s="1"/>
  <c r="I1159" i="1"/>
  <c r="J1159" i="1" s="1"/>
  <c r="K1159" i="1" s="1"/>
  <c r="N1159" i="1" s="1"/>
  <c r="I1160" i="1"/>
  <c r="J1160" i="1" s="1"/>
  <c r="K1160" i="1" s="1"/>
  <c r="N1160" i="1" s="1"/>
  <c r="I1161" i="1"/>
  <c r="J1161" i="1" s="1"/>
  <c r="K1161" i="1" s="1"/>
  <c r="N1161" i="1" s="1"/>
  <c r="I1162" i="1"/>
  <c r="J1162" i="1" s="1"/>
  <c r="K1162" i="1" s="1"/>
  <c r="N1162" i="1" s="1"/>
  <c r="I1163" i="1"/>
  <c r="J1163" i="1" s="1"/>
  <c r="K1163" i="1" s="1"/>
  <c r="N1163" i="1" s="1"/>
  <c r="I1164" i="1"/>
  <c r="J1164" i="1" s="1"/>
  <c r="K1164" i="1" s="1"/>
  <c r="N1164" i="1" s="1"/>
  <c r="I1165" i="1"/>
  <c r="J1165" i="1" s="1"/>
  <c r="K1165" i="1" s="1"/>
  <c r="N1165" i="1" s="1"/>
  <c r="I1166" i="1"/>
  <c r="J1166" i="1" s="1"/>
  <c r="K1166" i="1" s="1"/>
  <c r="N1166" i="1" s="1"/>
  <c r="I1167" i="1"/>
  <c r="J1167" i="1" s="1"/>
  <c r="K1167" i="1" s="1"/>
  <c r="N1167" i="1" s="1"/>
  <c r="I1168" i="1"/>
  <c r="J1168" i="1" s="1"/>
  <c r="K1168" i="1" s="1"/>
  <c r="N1168" i="1" s="1"/>
  <c r="I1169" i="1"/>
  <c r="J1169" i="1" s="1"/>
  <c r="K1169" i="1" s="1"/>
  <c r="N1169" i="1" s="1"/>
  <c r="I1170" i="1"/>
  <c r="J1170" i="1" s="1"/>
  <c r="K1170" i="1" s="1"/>
  <c r="N1170" i="1" s="1"/>
  <c r="I1171" i="1"/>
  <c r="J1171" i="1" s="1"/>
  <c r="K1171" i="1" s="1"/>
  <c r="N1171" i="1" s="1"/>
  <c r="I1172" i="1"/>
  <c r="J1172" i="1" s="1"/>
  <c r="K1172" i="1" s="1"/>
  <c r="N1172" i="1" s="1"/>
  <c r="I1173" i="1"/>
  <c r="J1173" i="1" s="1"/>
  <c r="K1173" i="1" s="1"/>
  <c r="N1173" i="1" s="1"/>
  <c r="I1174" i="1"/>
  <c r="J1174" i="1" s="1"/>
  <c r="K1174" i="1" s="1"/>
  <c r="N1174" i="1" s="1"/>
  <c r="I1175" i="1"/>
  <c r="J1175" i="1" s="1"/>
  <c r="K1175" i="1" s="1"/>
  <c r="N1175" i="1" s="1"/>
  <c r="I1176" i="1"/>
  <c r="J1176" i="1" s="1"/>
  <c r="K1176" i="1" s="1"/>
  <c r="N1176" i="1" s="1"/>
  <c r="I1177" i="1"/>
  <c r="J1177" i="1" s="1"/>
  <c r="K1177" i="1" s="1"/>
  <c r="N1177" i="1" s="1"/>
  <c r="I1178" i="1"/>
  <c r="J1178" i="1" s="1"/>
  <c r="K1178" i="1" s="1"/>
  <c r="N1178" i="1" s="1"/>
  <c r="I1179" i="1"/>
  <c r="J1179" i="1" s="1"/>
  <c r="K1179" i="1" s="1"/>
  <c r="N1179" i="1" s="1"/>
  <c r="I1180" i="1"/>
  <c r="J1180" i="1" s="1"/>
  <c r="K1180" i="1" s="1"/>
  <c r="N1180" i="1" s="1"/>
  <c r="I1181" i="1"/>
  <c r="J1181" i="1" s="1"/>
  <c r="K1181" i="1" s="1"/>
  <c r="N1181" i="1" s="1"/>
  <c r="I1182" i="1"/>
  <c r="J1182" i="1" s="1"/>
  <c r="K1182" i="1" s="1"/>
  <c r="N1182" i="1" s="1"/>
  <c r="I1183" i="1"/>
  <c r="J1183" i="1" s="1"/>
  <c r="K1183" i="1" s="1"/>
  <c r="N1183" i="1" s="1"/>
  <c r="I1184" i="1"/>
  <c r="J1184" i="1" s="1"/>
  <c r="K1184" i="1" s="1"/>
  <c r="N1184" i="1" s="1"/>
  <c r="I1185" i="1"/>
  <c r="J1185" i="1" s="1"/>
  <c r="K1185" i="1" s="1"/>
  <c r="N1185" i="1" s="1"/>
  <c r="I1186" i="1"/>
  <c r="J1186" i="1" s="1"/>
  <c r="K1186" i="1" s="1"/>
  <c r="N1186" i="1" s="1"/>
  <c r="I1187" i="1"/>
  <c r="J1187" i="1" s="1"/>
  <c r="K1187" i="1" s="1"/>
  <c r="N1187" i="1" s="1"/>
  <c r="I1188" i="1"/>
  <c r="J1188" i="1" s="1"/>
  <c r="K1188" i="1" s="1"/>
  <c r="N1188" i="1" s="1"/>
  <c r="I1189" i="1"/>
  <c r="J1189" i="1" s="1"/>
  <c r="K1189" i="1" s="1"/>
  <c r="N1189" i="1" s="1"/>
  <c r="I1190" i="1"/>
  <c r="J1190" i="1" s="1"/>
  <c r="K1190" i="1" s="1"/>
  <c r="N1190" i="1" s="1"/>
  <c r="I1191" i="1"/>
  <c r="J1191" i="1" s="1"/>
  <c r="K1191" i="1" s="1"/>
  <c r="N1191" i="1" s="1"/>
  <c r="I1192" i="1"/>
  <c r="J1192" i="1" s="1"/>
  <c r="K1192" i="1" s="1"/>
  <c r="N1192" i="1" s="1"/>
  <c r="I1193" i="1"/>
  <c r="J1193" i="1" s="1"/>
  <c r="K1193" i="1" s="1"/>
  <c r="N1193" i="1" s="1"/>
  <c r="I1194" i="1"/>
  <c r="J1194" i="1" s="1"/>
  <c r="K1194" i="1" s="1"/>
  <c r="N1194" i="1" s="1"/>
  <c r="I1195" i="1"/>
  <c r="J1195" i="1" s="1"/>
  <c r="K1195" i="1" s="1"/>
  <c r="N1195" i="1" s="1"/>
  <c r="I1196" i="1"/>
  <c r="J1196" i="1" s="1"/>
  <c r="K1196" i="1" s="1"/>
  <c r="N1196" i="1" s="1"/>
  <c r="I1197" i="1"/>
  <c r="J1197" i="1" s="1"/>
  <c r="K1197" i="1" s="1"/>
  <c r="N1197" i="1" s="1"/>
  <c r="I1198" i="1"/>
  <c r="J1198" i="1" s="1"/>
  <c r="K1198" i="1" s="1"/>
  <c r="N1198" i="1" s="1"/>
  <c r="I1199" i="1"/>
  <c r="J1199" i="1" s="1"/>
  <c r="K1199" i="1" s="1"/>
  <c r="N1199" i="1" s="1"/>
  <c r="I1200" i="1"/>
  <c r="J1200" i="1" s="1"/>
  <c r="K1200" i="1" s="1"/>
  <c r="N1200" i="1" s="1"/>
  <c r="I1201" i="1"/>
  <c r="J1201" i="1" s="1"/>
  <c r="K1201" i="1" s="1"/>
  <c r="N1201" i="1" s="1"/>
  <c r="I1202" i="1"/>
  <c r="J1202" i="1" s="1"/>
  <c r="K1202" i="1" s="1"/>
  <c r="N1202" i="1" s="1"/>
  <c r="I1203" i="1"/>
  <c r="J1203" i="1" s="1"/>
  <c r="K1203" i="1" s="1"/>
  <c r="N1203" i="1" s="1"/>
  <c r="I1204" i="1"/>
  <c r="J1204" i="1" s="1"/>
  <c r="K1204" i="1" s="1"/>
  <c r="N1204" i="1" s="1"/>
  <c r="I1205" i="1"/>
  <c r="J1205" i="1" s="1"/>
  <c r="K1205" i="1" s="1"/>
  <c r="N1205" i="1" s="1"/>
  <c r="I1206" i="1"/>
  <c r="J1206" i="1" s="1"/>
  <c r="K1206" i="1" s="1"/>
  <c r="N1206" i="1" s="1"/>
  <c r="I1207" i="1"/>
  <c r="J1207" i="1" s="1"/>
  <c r="K1207" i="1" s="1"/>
  <c r="N1207" i="1" s="1"/>
  <c r="I1208" i="1"/>
  <c r="J1208" i="1" s="1"/>
  <c r="K1208" i="1" s="1"/>
  <c r="N1208" i="1" s="1"/>
  <c r="I1209" i="1"/>
  <c r="J1209" i="1" s="1"/>
  <c r="K1209" i="1" s="1"/>
  <c r="N1209" i="1" s="1"/>
  <c r="I1210" i="1"/>
  <c r="J1210" i="1" s="1"/>
  <c r="K1210" i="1" s="1"/>
  <c r="N1210" i="1" s="1"/>
  <c r="I1211" i="1"/>
  <c r="J1211" i="1" s="1"/>
  <c r="K1211" i="1" s="1"/>
  <c r="N1211" i="1" s="1"/>
  <c r="I1212" i="1"/>
  <c r="J1212" i="1" s="1"/>
  <c r="K1212" i="1" s="1"/>
  <c r="N1212" i="1" s="1"/>
  <c r="I1213" i="1"/>
  <c r="J1213" i="1" s="1"/>
  <c r="K1213" i="1" s="1"/>
  <c r="N1213" i="1" s="1"/>
  <c r="I1214" i="1"/>
  <c r="J1214" i="1" s="1"/>
  <c r="K1214" i="1" s="1"/>
  <c r="N1214" i="1" s="1"/>
  <c r="I1215" i="1"/>
  <c r="J1215" i="1" s="1"/>
  <c r="K1215" i="1" s="1"/>
  <c r="N1215" i="1" s="1"/>
  <c r="I1216" i="1"/>
  <c r="J1216" i="1" s="1"/>
  <c r="K1216" i="1" s="1"/>
  <c r="N1216" i="1" s="1"/>
  <c r="I1217" i="1"/>
  <c r="J1217" i="1" s="1"/>
  <c r="K1217" i="1" s="1"/>
  <c r="N1217" i="1" s="1"/>
  <c r="I1218" i="1"/>
  <c r="J1218" i="1" s="1"/>
  <c r="K1218" i="1" s="1"/>
  <c r="N1218" i="1" s="1"/>
  <c r="I1219" i="1"/>
  <c r="J1219" i="1" s="1"/>
  <c r="K1219" i="1" s="1"/>
  <c r="N1219" i="1" s="1"/>
  <c r="I1220" i="1"/>
  <c r="J1220" i="1" s="1"/>
  <c r="K1220" i="1" s="1"/>
  <c r="N1220" i="1" s="1"/>
  <c r="I1221" i="1"/>
  <c r="J1221" i="1" s="1"/>
  <c r="K1221" i="1" s="1"/>
  <c r="N1221" i="1" s="1"/>
  <c r="I1222" i="1"/>
  <c r="J1222" i="1" s="1"/>
  <c r="K1222" i="1" s="1"/>
  <c r="N1222" i="1" s="1"/>
  <c r="I1223" i="1"/>
  <c r="J1223" i="1" s="1"/>
  <c r="K1223" i="1" s="1"/>
  <c r="N1223" i="1" s="1"/>
  <c r="I1224" i="1"/>
  <c r="J1224" i="1" s="1"/>
  <c r="K1224" i="1" s="1"/>
  <c r="N1224" i="1" s="1"/>
  <c r="I1225" i="1"/>
  <c r="J1225" i="1" s="1"/>
  <c r="K1225" i="1" s="1"/>
  <c r="N1225" i="1" s="1"/>
  <c r="I1226" i="1"/>
  <c r="J1226" i="1" s="1"/>
  <c r="K1226" i="1" s="1"/>
  <c r="N1226" i="1" s="1"/>
  <c r="I1227" i="1"/>
  <c r="J1227" i="1" s="1"/>
  <c r="K1227" i="1" s="1"/>
  <c r="N1227" i="1" s="1"/>
  <c r="I1228" i="1"/>
  <c r="J1228" i="1" s="1"/>
  <c r="K1228" i="1" s="1"/>
  <c r="N1228" i="1" s="1"/>
  <c r="I1229" i="1"/>
  <c r="J1229" i="1" s="1"/>
  <c r="K1229" i="1" s="1"/>
  <c r="N1229" i="1" s="1"/>
  <c r="I1230" i="1"/>
  <c r="J1230" i="1" s="1"/>
  <c r="K1230" i="1" s="1"/>
  <c r="N1230" i="1" s="1"/>
  <c r="I1231" i="1"/>
  <c r="J1231" i="1" s="1"/>
  <c r="K1231" i="1" s="1"/>
  <c r="N1231" i="1" s="1"/>
  <c r="I1232" i="1"/>
  <c r="J1232" i="1" s="1"/>
  <c r="K1232" i="1" s="1"/>
  <c r="N1232" i="1" s="1"/>
  <c r="I1233" i="1"/>
  <c r="J1233" i="1" s="1"/>
  <c r="K1233" i="1" s="1"/>
  <c r="N1233" i="1" s="1"/>
  <c r="I1234" i="1"/>
  <c r="J1234" i="1" s="1"/>
  <c r="K1234" i="1" s="1"/>
  <c r="N1234" i="1" s="1"/>
  <c r="I1235" i="1"/>
  <c r="J1235" i="1" s="1"/>
  <c r="K1235" i="1" s="1"/>
  <c r="N1235" i="1" s="1"/>
  <c r="I1236" i="1"/>
  <c r="J1236" i="1" s="1"/>
  <c r="K1236" i="1" s="1"/>
  <c r="N1236" i="1" s="1"/>
  <c r="I1237" i="1"/>
  <c r="J1237" i="1" s="1"/>
  <c r="K1237" i="1" s="1"/>
  <c r="N1237" i="1" s="1"/>
  <c r="I1238" i="1"/>
  <c r="J1238" i="1" s="1"/>
  <c r="K1238" i="1" s="1"/>
  <c r="N1238" i="1" s="1"/>
  <c r="I1239" i="1"/>
  <c r="J1239" i="1" s="1"/>
  <c r="K1239" i="1" s="1"/>
  <c r="N1239" i="1" s="1"/>
  <c r="I1240" i="1"/>
  <c r="J1240" i="1" s="1"/>
  <c r="K1240" i="1" s="1"/>
  <c r="N1240" i="1" s="1"/>
  <c r="I1241" i="1"/>
  <c r="J1241" i="1" s="1"/>
  <c r="K1241" i="1" s="1"/>
  <c r="N1241" i="1" s="1"/>
  <c r="I1242" i="1"/>
  <c r="J1242" i="1" s="1"/>
  <c r="K1242" i="1" s="1"/>
  <c r="N1242" i="1" s="1"/>
  <c r="I1243" i="1"/>
  <c r="J1243" i="1" s="1"/>
  <c r="K1243" i="1" s="1"/>
  <c r="N1243" i="1" s="1"/>
  <c r="I1244" i="1"/>
  <c r="J1244" i="1" s="1"/>
  <c r="K1244" i="1" s="1"/>
  <c r="N1244" i="1" s="1"/>
  <c r="I1245" i="1"/>
  <c r="J1245" i="1" s="1"/>
  <c r="K1245" i="1" s="1"/>
  <c r="N1245" i="1" s="1"/>
  <c r="I1246" i="1"/>
  <c r="J1246" i="1" s="1"/>
  <c r="K1246" i="1" s="1"/>
  <c r="N1246" i="1" s="1"/>
  <c r="I1247" i="1"/>
  <c r="J1247" i="1" s="1"/>
  <c r="K1247" i="1" s="1"/>
  <c r="N1247" i="1" s="1"/>
  <c r="I1248" i="1"/>
  <c r="J1248" i="1" s="1"/>
  <c r="K1248" i="1" s="1"/>
  <c r="N1248" i="1" s="1"/>
  <c r="I1249" i="1"/>
  <c r="J1249" i="1" s="1"/>
  <c r="K1249" i="1" s="1"/>
  <c r="N1249" i="1" s="1"/>
  <c r="I1250" i="1"/>
  <c r="J1250" i="1" s="1"/>
  <c r="K1250" i="1" s="1"/>
  <c r="N1250" i="1" s="1"/>
  <c r="I1251" i="1"/>
  <c r="J1251" i="1" s="1"/>
  <c r="K1251" i="1" s="1"/>
  <c r="N1251" i="1" s="1"/>
  <c r="I1252" i="1"/>
  <c r="J1252" i="1" s="1"/>
  <c r="K1252" i="1" s="1"/>
  <c r="N1252" i="1" s="1"/>
  <c r="I1253" i="1"/>
  <c r="J1253" i="1" s="1"/>
  <c r="K1253" i="1" s="1"/>
  <c r="N1253" i="1" s="1"/>
  <c r="I1254" i="1"/>
  <c r="J1254" i="1" s="1"/>
  <c r="K1254" i="1" s="1"/>
  <c r="N1254" i="1" s="1"/>
  <c r="I1255" i="1"/>
  <c r="J1255" i="1" s="1"/>
  <c r="K1255" i="1" s="1"/>
  <c r="N1255" i="1" s="1"/>
  <c r="I1256" i="1"/>
  <c r="J1256" i="1" s="1"/>
  <c r="K1256" i="1" s="1"/>
  <c r="N1256" i="1" s="1"/>
  <c r="I1257" i="1"/>
  <c r="J1257" i="1" s="1"/>
  <c r="K1257" i="1" s="1"/>
  <c r="N1257" i="1" s="1"/>
  <c r="I1258" i="1"/>
  <c r="J1258" i="1" s="1"/>
  <c r="K1258" i="1" s="1"/>
  <c r="N1258" i="1" s="1"/>
  <c r="I1259" i="1"/>
  <c r="J1259" i="1" s="1"/>
  <c r="K1259" i="1" s="1"/>
  <c r="N1259" i="1" s="1"/>
  <c r="I1260" i="1"/>
  <c r="J1260" i="1" s="1"/>
  <c r="K1260" i="1" s="1"/>
  <c r="N1260" i="1" s="1"/>
  <c r="I1261" i="1"/>
  <c r="J1261" i="1" s="1"/>
  <c r="K1261" i="1" s="1"/>
  <c r="N1261" i="1" s="1"/>
  <c r="I1262" i="1"/>
  <c r="J1262" i="1" s="1"/>
  <c r="K1262" i="1" s="1"/>
  <c r="N1262" i="1" s="1"/>
  <c r="I1263" i="1"/>
  <c r="J1263" i="1" s="1"/>
  <c r="K1263" i="1" s="1"/>
  <c r="N1263" i="1" s="1"/>
  <c r="I1264" i="1"/>
  <c r="J1264" i="1" s="1"/>
  <c r="K1264" i="1" s="1"/>
  <c r="N1264" i="1" s="1"/>
  <c r="I1265" i="1"/>
  <c r="J1265" i="1" s="1"/>
  <c r="K1265" i="1" s="1"/>
  <c r="N1265" i="1" s="1"/>
  <c r="I1266" i="1"/>
  <c r="J1266" i="1" s="1"/>
  <c r="K1266" i="1" s="1"/>
  <c r="N1266" i="1" s="1"/>
  <c r="I1267" i="1"/>
  <c r="J1267" i="1" s="1"/>
  <c r="K1267" i="1" s="1"/>
  <c r="N1267" i="1" s="1"/>
  <c r="I1268" i="1"/>
  <c r="J1268" i="1" s="1"/>
  <c r="K1268" i="1" s="1"/>
  <c r="N1268" i="1" s="1"/>
  <c r="I1269" i="1"/>
  <c r="J1269" i="1" s="1"/>
  <c r="K1269" i="1" s="1"/>
  <c r="N1269" i="1" s="1"/>
  <c r="I1270" i="1"/>
  <c r="J1270" i="1" s="1"/>
  <c r="K1270" i="1" s="1"/>
  <c r="N1270" i="1" s="1"/>
  <c r="I1271" i="1"/>
  <c r="J1271" i="1" s="1"/>
  <c r="K1271" i="1" s="1"/>
  <c r="N1271" i="1" s="1"/>
  <c r="I1272" i="1"/>
  <c r="J1272" i="1" s="1"/>
  <c r="K1272" i="1" s="1"/>
  <c r="N1272" i="1" s="1"/>
  <c r="I1273" i="1"/>
  <c r="J1273" i="1" s="1"/>
  <c r="K1273" i="1" s="1"/>
  <c r="N1273" i="1" s="1"/>
  <c r="I1274" i="1"/>
  <c r="J1274" i="1" s="1"/>
  <c r="K1274" i="1" s="1"/>
  <c r="N1274" i="1" s="1"/>
  <c r="I1275" i="1"/>
  <c r="J1275" i="1" s="1"/>
  <c r="K1275" i="1" s="1"/>
  <c r="N1275" i="1" s="1"/>
  <c r="I1276" i="1"/>
  <c r="J1276" i="1" s="1"/>
  <c r="K1276" i="1" s="1"/>
  <c r="N1276" i="1" s="1"/>
  <c r="I1277" i="1"/>
  <c r="J1277" i="1" s="1"/>
  <c r="K1277" i="1" s="1"/>
  <c r="N1277" i="1" s="1"/>
  <c r="I1278" i="1"/>
  <c r="J1278" i="1" s="1"/>
  <c r="K1278" i="1" s="1"/>
  <c r="N1278" i="1" s="1"/>
  <c r="I1279" i="1"/>
  <c r="J1279" i="1" s="1"/>
  <c r="K1279" i="1" s="1"/>
  <c r="N1279" i="1" s="1"/>
  <c r="I1280" i="1"/>
  <c r="J1280" i="1" s="1"/>
  <c r="K1280" i="1" s="1"/>
  <c r="N1280" i="1" s="1"/>
  <c r="I1281" i="1"/>
  <c r="J1281" i="1" s="1"/>
  <c r="K1281" i="1" s="1"/>
  <c r="N1281" i="1" s="1"/>
  <c r="I1282" i="1"/>
  <c r="J1282" i="1" s="1"/>
  <c r="K1282" i="1" s="1"/>
  <c r="N1282" i="1" s="1"/>
  <c r="I1283" i="1"/>
  <c r="J1283" i="1" s="1"/>
  <c r="K1283" i="1" s="1"/>
  <c r="N1283" i="1" s="1"/>
  <c r="I1284" i="1"/>
  <c r="J1284" i="1" s="1"/>
  <c r="K1284" i="1" s="1"/>
  <c r="N1284" i="1" s="1"/>
  <c r="I1285" i="1"/>
  <c r="J1285" i="1" s="1"/>
  <c r="K1285" i="1" s="1"/>
  <c r="N1285" i="1" s="1"/>
  <c r="I1286" i="1"/>
  <c r="J1286" i="1" s="1"/>
  <c r="K1286" i="1" s="1"/>
  <c r="N1286" i="1" s="1"/>
  <c r="I1287" i="1"/>
  <c r="J1287" i="1" s="1"/>
  <c r="K1287" i="1" s="1"/>
  <c r="N1287" i="1" s="1"/>
  <c r="I1288" i="1"/>
  <c r="J1288" i="1" s="1"/>
  <c r="K1288" i="1" s="1"/>
  <c r="N1288" i="1" s="1"/>
  <c r="I1289" i="1"/>
  <c r="J1289" i="1" s="1"/>
  <c r="K1289" i="1" s="1"/>
  <c r="N1289" i="1" s="1"/>
  <c r="I1290" i="1"/>
  <c r="J1290" i="1" s="1"/>
  <c r="K1290" i="1" s="1"/>
  <c r="N1290" i="1" s="1"/>
  <c r="I1291" i="1"/>
  <c r="J1291" i="1" s="1"/>
  <c r="K1291" i="1" s="1"/>
  <c r="N1291" i="1" s="1"/>
  <c r="I1292" i="1"/>
  <c r="J1292" i="1" s="1"/>
  <c r="K1292" i="1" s="1"/>
  <c r="N1292" i="1" s="1"/>
  <c r="I1293" i="1"/>
  <c r="J1293" i="1" s="1"/>
  <c r="K1293" i="1" s="1"/>
  <c r="N1293" i="1" s="1"/>
  <c r="I1294" i="1"/>
  <c r="J1294" i="1" s="1"/>
  <c r="K1294" i="1" s="1"/>
  <c r="N1294" i="1" s="1"/>
  <c r="I1295" i="1"/>
  <c r="J1295" i="1" s="1"/>
  <c r="K1295" i="1" s="1"/>
  <c r="N1295" i="1" s="1"/>
  <c r="I1296" i="1"/>
  <c r="J1296" i="1" s="1"/>
  <c r="K1296" i="1" s="1"/>
  <c r="N1296" i="1" s="1"/>
  <c r="I1297" i="1"/>
  <c r="J1297" i="1" s="1"/>
  <c r="K1297" i="1" s="1"/>
  <c r="N1297" i="1" s="1"/>
  <c r="I1298" i="1"/>
  <c r="J1298" i="1" s="1"/>
  <c r="K1298" i="1" s="1"/>
  <c r="N1298" i="1" s="1"/>
  <c r="I1299" i="1"/>
  <c r="J1299" i="1" s="1"/>
  <c r="K1299" i="1" s="1"/>
  <c r="N1299" i="1" s="1"/>
  <c r="I1300" i="1"/>
  <c r="J1300" i="1" s="1"/>
  <c r="K1300" i="1" s="1"/>
  <c r="N1300" i="1" s="1"/>
  <c r="I1301" i="1"/>
  <c r="J1301" i="1" s="1"/>
  <c r="K1301" i="1" s="1"/>
  <c r="N1301" i="1" s="1"/>
  <c r="I1302" i="1"/>
  <c r="J1302" i="1" s="1"/>
  <c r="K1302" i="1" s="1"/>
  <c r="N1302" i="1" s="1"/>
  <c r="I1303" i="1"/>
  <c r="J1303" i="1" s="1"/>
  <c r="K1303" i="1" s="1"/>
  <c r="N1303" i="1" s="1"/>
  <c r="I1304" i="1"/>
  <c r="J1304" i="1" s="1"/>
  <c r="K1304" i="1" s="1"/>
  <c r="N1304" i="1" s="1"/>
  <c r="I1305" i="1"/>
  <c r="J1305" i="1" s="1"/>
  <c r="K1305" i="1" s="1"/>
  <c r="N1305" i="1" s="1"/>
  <c r="I1306" i="1"/>
  <c r="J1306" i="1" s="1"/>
  <c r="K1306" i="1" s="1"/>
  <c r="N1306" i="1" s="1"/>
  <c r="I1307" i="1"/>
  <c r="J1307" i="1" s="1"/>
  <c r="K1307" i="1" s="1"/>
  <c r="N1307" i="1" s="1"/>
  <c r="I1308" i="1"/>
  <c r="J1308" i="1" s="1"/>
  <c r="K1308" i="1" s="1"/>
  <c r="N1308" i="1" s="1"/>
  <c r="I1309" i="1"/>
  <c r="J1309" i="1" s="1"/>
  <c r="K1309" i="1" s="1"/>
  <c r="N1309" i="1" s="1"/>
  <c r="I1310" i="1"/>
  <c r="J1310" i="1" s="1"/>
  <c r="K1310" i="1" s="1"/>
  <c r="N1310" i="1" s="1"/>
  <c r="I1311" i="1"/>
  <c r="J1311" i="1" s="1"/>
  <c r="K1311" i="1" s="1"/>
  <c r="N1311" i="1" s="1"/>
  <c r="I1312" i="1"/>
  <c r="J1312" i="1" s="1"/>
  <c r="K1312" i="1" s="1"/>
  <c r="N1312" i="1" s="1"/>
  <c r="I1313" i="1"/>
  <c r="J1313" i="1" s="1"/>
  <c r="K1313" i="1" s="1"/>
  <c r="N1313" i="1" s="1"/>
  <c r="I1314" i="1"/>
  <c r="J1314" i="1" s="1"/>
  <c r="K1314" i="1" s="1"/>
  <c r="N1314" i="1" s="1"/>
  <c r="I1315" i="1"/>
  <c r="J1315" i="1" s="1"/>
  <c r="K1315" i="1" s="1"/>
  <c r="N1315" i="1" s="1"/>
  <c r="I1316" i="1"/>
  <c r="J1316" i="1" s="1"/>
  <c r="K1316" i="1" s="1"/>
  <c r="N1316" i="1" s="1"/>
  <c r="I1317" i="1"/>
  <c r="J1317" i="1" s="1"/>
  <c r="K1317" i="1" s="1"/>
  <c r="N1317" i="1" s="1"/>
  <c r="I1318" i="1"/>
  <c r="J1318" i="1" s="1"/>
  <c r="K1318" i="1" s="1"/>
  <c r="N1318" i="1" s="1"/>
  <c r="I1319" i="1"/>
  <c r="J1319" i="1" s="1"/>
  <c r="K1319" i="1" s="1"/>
  <c r="N1319" i="1" s="1"/>
  <c r="I1320" i="1"/>
  <c r="J1320" i="1" s="1"/>
  <c r="K1320" i="1" s="1"/>
  <c r="N1320" i="1" s="1"/>
  <c r="I1321" i="1"/>
  <c r="J1321" i="1" s="1"/>
  <c r="K1321" i="1" s="1"/>
  <c r="N1321" i="1" s="1"/>
  <c r="I1322" i="1"/>
  <c r="J1322" i="1" s="1"/>
  <c r="K1322" i="1" s="1"/>
  <c r="N1322" i="1" s="1"/>
  <c r="I1323" i="1"/>
  <c r="J1323" i="1" s="1"/>
  <c r="K1323" i="1" s="1"/>
  <c r="N1323" i="1" s="1"/>
  <c r="I1324" i="1"/>
  <c r="J1324" i="1" s="1"/>
  <c r="K1324" i="1" s="1"/>
  <c r="N1324" i="1" s="1"/>
  <c r="I1325" i="1"/>
  <c r="J1325" i="1" s="1"/>
  <c r="K1325" i="1" s="1"/>
  <c r="N1325" i="1" s="1"/>
  <c r="I1326" i="1"/>
  <c r="J1326" i="1" s="1"/>
  <c r="K1326" i="1" s="1"/>
  <c r="N1326" i="1" s="1"/>
  <c r="I1327" i="1"/>
  <c r="J1327" i="1" s="1"/>
  <c r="K1327" i="1" s="1"/>
  <c r="N1327" i="1" s="1"/>
  <c r="I1328" i="1"/>
  <c r="J1328" i="1" s="1"/>
  <c r="K1328" i="1" s="1"/>
  <c r="N1328" i="1" s="1"/>
  <c r="I1329" i="1"/>
  <c r="J1329" i="1" s="1"/>
  <c r="K1329" i="1" s="1"/>
  <c r="N1329" i="1" s="1"/>
  <c r="I1330" i="1"/>
  <c r="J1330" i="1" s="1"/>
  <c r="K1330" i="1" s="1"/>
  <c r="N1330" i="1" s="1"/>
  <c r="I1331" i="1"/>
  <c r="J1331" i="1" s="1"/>
  <c r="K1331" i="1" s="1"/>
  <c r="N1331" i="1" s="1"/>
  <c r="I1332" i="1"/>
  <c r="J1332" i="1" s="1"/>
  <c r="K1332" i="1" s="1"/>
  <c r="N1332" i="1" s="1"/>
  <c r="I1333" i="1"/>
  <c r="J1333" i="1" s="1"/>
  <c r="K1333" i="1" s="1"/>
  <c r="N1333" i="1" s="1"/>
  <c r="I1334" i="1"/>
  <c r="J1334" i="1" s="1"/>
  <c r="K1334" i="1" s="1"/>
  <c r="N1334" i="1" s="1"/>
  <c r="I1335" i="1"/>
  <c r="J1335" i="1" s="1"/>
  <c r="K1335" i="1" s="1"/>
  <c r="N1335" i="1" s="1"/>
  <c r="I1336" i="1"/>
  <c r="J1336" i="1" s="1"/>
  <c r="K1336" i="1" s="1"/>
  <c r="N1336" i="1" s="1"/>
  <c r="I1337" i="1"/>
  <c r="J1337" i="1" s="1"/>
  <c r="K1337" i="1" s="1"/>
  <c r="N1337" i="1" s="1"/>
  <c r="I1338" i="1"/>
  <c r="J1338" i="1" s="1"/>
  <c r="K1338" i="1" s="1"/>
  <c r="N1338" i="1" s="1"/>
  <c r="I1339" i="1"/>
  <c r="J1339" i="1" s="1"/>
  <c r="K1339" i="1" s="1"/>
  <c r="N1339" i="1" s="1"/>
  <c r="I1340" i="1"/>
  <c r="J1340" i="1" s="1"/>
  <c r="K1340" i="1" s="1"/>
  <c r="N1340" i="1" s="1"/>
  <c r="I1341" i="1"/>
  <c r="J1341" i="1" s="1"/>
  <c r="K1341" i="1" s="1"/>
  <c r="N1341" i="1" s="1"/>
  <c r="I1342" i="1"/>
  <c r="J1342" i="1" s="1"/>
  <c r="K1342" i="1" s="1"/>
  <c r="N1342" i="1" s="1"/>
  <c r="I1343" i="1"/>
  <c r="J1343" i="1" s="1"/>
  <c r="K1343" i="1" s="1"/>
  <c r="N1343" i="1" s="1"/>
  <c r="I1344" i="1"/>
  <c r="J1344" i="1" s="1"/>
  <c r="K1344" i="1" s="1"/>
  <c r="N1344" i="1" s="1"/>
  <c r="I1345" i="1"/>
  <c r="J1345" i="1" s="1"/>
  <c r="K1345" i="1" s="1"/>
  <c r="N1345" i="1" s="1"/>
  <c r="I1346" i="1"/>
  <c r="J1346" i="1" s="1"/>
  <c r="K1346" i="1" s="1"/>
  <c r="N1346" i="1" s="1"/>
  <c r="I1347" i="1"/>
  <c r="J1347" i="1" s="1"/>
  <c r="K1347" i="1" s="1"/>
  <c r="N1347" i="1" s="1"/>
  <c r="I1348" i="1"/>
  <c r="J1348" i="1" s="1"/>
  <c r="K1348" i="1" s="1"/>
  <c r="N1348" i="1" s="1"/>
  <c r="I1349" i="1"/>
  <c r="J1349" i="1" s="1"/>
  <c r="K1349" i="1" s="1"/>
  <c r="N1349" i="1" s="1"/>
  <c r="I1350" i="1"/>
  <c r="J1350" i="1" s="1"/>
  <c r="K1350" i="1" s="1"/>
  <c r="N1350" i="1" s="1"/>
  <c r="I1351" i="1"/>
  <c r="J1351" i="1" s="1"/>
  <c r="K1351" i="1" s="1"/>
  <c r="N1351" i="1" s="1"/>
  <c r="I1352" i="1"/>
  <c r="J1352" i="1" s="1"/>
  <c r="K1352" i="1" s="1"/>
  <c r="N1352" i="1" s="1"/>
  <c r="I1353" i="1"/>
  <c r="J1353" i="1" s="1"/>
  <c r="K1353" i="1" s="1"/>
  <c r="N1353" i="1" s="1"/>
  <c r="I1354" i="1"/>
  <c r="J1354" i="1" s="1"/>
  <c r="K1354" i="1" s="1"/>
  <c r="N1354" i="1" s="1"/>
  <c r="I1355" i="1"/>
  <c r="J1355" i="1" s="1"/>
  <c r="K1355" i="1" s="1"/>
  <c r="N1355" i="1" s="1"/>
  <c r="I1356" i="1"/>
  <c r="J1356" i="1" s="1"/>
  <c r="K1356" i="1" s="1"/>
  <c r="N1356" i="1" s="1"/>
  <c r="I1357" i="1"/>
  <c r="J1357" i="1" s="1"/>
  <c r="K1357" i="1" s="1"/>
  <c r="N1357" i="1" s="1"/>
  <c r="I1358" i="1"/>
  <c r="J1358" i="1" s="1"/>
  <c r="K1358" i="1" s="1"/>
  <c r="N1358" i="1" s="1"/>
  <c r="I1359" i="1"/>
  <c r="J1359" i="1" s="1"/>
  <c r="K1359" i="1" s="1"/>
  <c r="N1359" i="1" s="1"/>
  <c r="I1360" i="1"/>
  <c r="J1360" i="1" s="1"/>
  <c r="K1360" i="1" s="1"/>
  <c r="N1360" i="1" s="1"/>
  <c r="I1361" i="1"/>
  <c r="J1361" i="1" s="1"/>
  <c r="K1361" i="1" s="1"/>
  <c r="N1361" i="1" s="1"/>
  <c r="I1362" i="1"/>
  <c r="J1362" i="1" s="1"/>
  <c r="K1362" i="1" s="1"/>
  <c r="N1362" i="1" s="1"/>
  <c r="I1363" i="1"/>
  <c r="J1363" i="1" s="1"/>
  <c r="K1363" i="1" s="1"/>
  <c r="N1363" i="1" s="1"/>
  <c r="I1364" i="1"/>
  <c r="J1364" i="1" s="1"/>
  <c r="K1364" i="1" s="1"/>
  <c r="N1364" i="1" s="1"/>
  <c r="I1365" i="1"/>
  <c r="J1365" i="1" s="1"/>
  <c r="K1365" i="1" s="1"/>
  <c r="N1365" i="1" s="1"/>
  <c r="I1366" i="1"/>
  <c r="J1366" i="1" s="1"/>
  <c r="K1366" i="1" s="1"/>
  <c r="N1366" i="1" s="1"/>
  <c r="I1367" i="1"/>
  <c r="J1367" i="1" s="1"/>
  <c r="K1367" i="1" s="1"/>
  <c r="N1367" i="1" s="1"/>
  <c r="I1368" i="1"/>
  <c r="J1368" i="1" s="1"/>
  <c r="K1368" i="1" s="1"/>
  <c r="N1368" i="1" s="1"/>
  <c r="I1369" i="1"/>
  <c r="J1369" i="1" s="1"/>
  <c r="K1369" i="1" s="1"/>
  <c r="N1369" i="1" s="1"/>
  <c r="I1370" i="1"/>
  <c r="J1370" i="1" s="1"/>
  <c r="K1370" i="1" s="1"/>
  <c r="N1370" i="1" s="1"/>
  <c r="I1371" i="1"/>
  <c r="J1371" i="1" s="1"/>
  <c r="K1371" i="1" s="1"/>
  <c r="N1371" i="1" s="1"/>
  <c r="I1372" i="1"/>
  <c r="J1372" i="1" s="1"/>
  <c r="K1372" i="1" s="1"/>
  <c r="N1372" i="1" s="1"/>
  <c r="I1373" i="1"/>
  <c r="J1373" i="1" s="1"/>
  <c r="K1373" i="1" s="1"/>
  <c r="N1373" i="1" s="1"/>
  <c r="I1374" i="1"/>
  <c r="J1374" i="1" s="1"/>
  <c r="K1374" i="1" s="1"/>
  <c r="N1374" i="1" s="1"/>
  <c r="I1375" i="1"/>
  <c r="J1375" i="1" s="1"/>
  <c r="K1375" i="1" s="1"/>
  <c r="N1375" i="1" s="1"/>
  <c r="I1376" i="1"/>
  <c r="J1376" i="1" s="1"/>
  <c r="K1376" i="1" s="1"/>
  <c r="N1376" i="1" s="1"/>
  <c r="I1377" i="1"/>
  <c r="J1377" i="1" s="1"/>
  <c r="K1377" i="1" s="1"/>
  <c r="N1377" i="1" s="1"/>
  <c r="I1378" i="1"/>
  <c r="J1378" i="1" s="1"/>
  <c r="K1378" i="1" s="1"/>
  <c r="N1378" i="1" s="1"/>
  <c r="I1379" i="1"/>
  <c r="J1379" i="1" s="1"/>
  <c r="K1379" i="1" s="1"/>
  <c r="N1379" i="1" s="1"/>
  <c r="I1380" i="1"/>
  <c r="J1380" i="1" s="1"/>
  <c r="K1380" i="1" s="1"/>
  <c r="N1380" i="1" s="1"/>
  <c r="I1381" i="1"/>
  <c r="J1381" i="1" s="1"/>
  <c r="K1381" i="1" s="1"/>
  <c r="N1381" i="1" s="1"/>
  <c r="I1382" i="1"/>
  <c r="J1382" i="1" s="1"/>
  <c r="K1382" i="1" s="1"/>
  <c r="N1382" i="1" s="1"/>
  <c r="I1383" i="1"/>
  <c r="J1383" i="1" s="1"/>
  <c r="K1383" i="1" s="1"/>
  <c r="N1383" i="1" s="1"/>
  <c r="I1384" i="1"/>
  <c r="J1384" i="1" s="1"/>
  <c r="K1384" i="1" s="1"/>
  <c r="N1384" i="1" s="1"/>
  <c r="I1385" i="1"/>
  <c r="J1385" i="1" s="1"/>
  <c r="K1385" i="1" s="1"/>
  <c r="N1385" i="1" s="1"/>
  <c r="I1386" i="1"/>
  <c r="J1386" i="1" s="1"/>
  <c r="K1386" i="1" s="1"/>
  <c r="N1386" i="1" s="1"/>
  <c r="I1387" i="1"/>
  <c r="J1387" i="1" s="1"/>
  <c r="K1387" i="1" s="1"/>
  <c r="N1387" i="1" s="1"/>
  <c r="I1388" i="1"/>
  <c r="J1388" i="1" s="1"/>
  <c r="K1388" i="1" s="1"/>
  <c r="N1388" i="1" s="1"/>
  <c r="I1389" i="1"/>
  <c r="J1389" i="1" s="1"/>
  <c r="K1389" i="1" s="1"/>
  <c r="N1389" i="1" s="1"/>
  <c r="I1390" i="1"/>
  <c r="J1390" i="1" s="1"/>
  <c r="K1390" i="1" s="1"/>
  <c r="N1390" i="1" s="1"/>
  <c r="I1391" i="1"/>
  <c r="J1391" i="1" s="1"/>
  <c r="K1391" i="1" s="1"/>
  <c r="N1391" i="1" s="1"/>
  <c r="I1392" i="1"/>
  <c r="J1392" i="1" s="1"/>
  <c r="K1392" i="1" s="1"/>
  <c r="N1392" i="1" s="1"/>
  <c r="I1393" i="1"/>
  <c r="J1393" i="1" s="1"/>
  <c r="K1393" i="1" s="1"/>
  <c r="N1393" i="1" s="1"/>
  <c r="I1394" i="1"/>
  <c r="J1394" i="1" s="1"/>
  <c r="K1394" i="1" s="1"/>
  <c r="N1394" i="1" s="1"/>
  <c r="I1395" i="1"/>
  <c r="J1395" i="1" s="1"/>
  <c r="K1395" i="1" s="1"/>
  <c r="N1395" i="1" s="1"/>
  <c r="I1396" i="1"/>
  <c r="J1396" i="1" s="1"/>
  <c r="K1396" i="1" s="1"/>
  <c r="N1396" i="1" s="1"/>
  <c r="I1397" i="1"/>
  <c r="J1397" i="1" s="1"/>
  <c r="K1397" i="1" s="1"/>
  <c r="N1397" i="1" s="1"/>
  <c r="I1398" i="1"/>
  <c r="J1398" i="1" s="1"/>
  <c r="K1398" i="1" s="1"/>
  <c r="N1398" i="1" s="1"/>
  <c r="I1399" i="1"/>
  <c r="J1399" i="1" s="1"/>
  <c r="K1399" i="1" s="1"/>
  <c r="N1399" i="1" s="1"/>
  <c r="I1400" i="1"/>
  <c r="J1400" i="1" s="1"/>
  <c r="K1400" i="1" s="1"/>
  <c r="N1400" i="1" s="1"/>
  <c r="I1401" i="1"/>
  <c r="J1401" i="1" s="1"/>
  <c r="K1401" i="1" s="1"/>
  <c r="N1401" i="1" s="1"/>
  <c r="I1402" i="1"/>
  <c r="J1402" i="1" s="1"/>
  <c r="K1402" i="1" s="1"/>
  <c r="N1402" i="1" s="1"/>
  <c r="I1403" i="1"/>
  <c r="J1403" i="1" s="1"/>
  <c r="K1403" i="1" s="1"/>
  <c r="N1403" i="1" s="1"/>
  <c r="I1404" i="1"/>
  <c r="J1404" i="1" s="1"/>
  <c r="K1404" i="1" s="1"/>
  <c r="N1404" i="1" s="1"/>
  <c r="I1405" i="1"/>
  <c r="J1405" i="1" s="1"/>
  <c r="K1405" i="1" s="1"/>
  <c r="N1405" i="1" s="1"/>
  <c r="I1406" i="1"/>
  <c r="J1406" i="1" s="1"/>
  <c r="K1406" i="1" s="1"/>
  <c r="N1406" i="1" s="1"/>
  <c r="I1407" i="1"/>
  <c r="J1407" i="1" s="1"/>
  <c r="K1407" i="1" s="1"/>
  <c r="N1407" i="1" s="1"/>
  <c r="I1408" i="1"/>
  <c r="J1408" i="1" s="1"/>
  <c r="K1408" i="1" s="1"/>
  <c r="N1408" i="1" s="1"/>
  <c r="I1409" i="1"/>
  <c r="J1409" i="1" s="1"/>
  <c r="K1409" i="1" s="1"/>
  <c r="N1409" i="1" s="1"/>
  <c r="I1410" i="1"/>
  <c r="J1410" i="1" s="1"/>
  <c r="K1410" i="1" s="1"/>
  <c r="N1410" i="1" s="1"/>
  <c r="I1411" i="1"/>
  <c r="J1411" i="1" s="1"/>
  <c r="K1411" i="1" s="1"/>
  <c r="N1411" i="1" s="1"/>
  <c r="I1412" i="1"/>
  <c r="J1412" i="1" s="1"/>
  <c r="K1412" i="1" s="1"/>
  <c r="N1412" i="1" s="1"/>
  <c r="I1413" i="1"/>
  <c r="J1413" i="1" s="1"/>
  <c r="K1413" i="1" s="1"/>
  <c r="N1413" i="1" s="1"/>
  <c r="I1414" i="1"/>
  <c r="J1414" i="1" s="1"/>
  <c r="K1414" i="1" s="1"/>
  <c r="N1414" i="1" s="1"/>
  <c r="I1415" i="1"/>
  <c r="J1415" i="1" s="1"/>
  <c r="K1415" i="1" s="1"/>
  <c r="N1415" i="1" s="1"/>
  <c r="I1416" i="1"/>
  <c r="J1416" i="1" s="1"/>
  <c r="K1416" i="1" s="1"/>
  <c r="N1416" i="1" s="1"/>
  <c r="I1417" i="1"/>
  <c r="J1417" i="1" s="1"/>
  <c r="K1417" i="1" s="1"/>
  <c r="N1417" i="1" s="1"/>
  <c r="I1418" i="1"/>
  <c r="J1418" i="1" s="1"/>
  <c r="K1418" i="1" s="1"/>
  <c r="N1418" i="1" s="1"/>
  <c r="I1419" i="1"/>
  <c r="J1419" i="1" s="1"/>
  <c r="K1419" i="1" s="1"/>
  <c r="N1419" i="1" s="1"/>
  <c r="I1420" i="1"/>
  <c r="J1420" i="1" s="1"/>
  <c r="K1420" i="1" s="1"/>
  <c r="N1420" i="1" s="1"/>
  <c r="I1421" i="1"/>
  <c r="J1421" i="1" s="1"/>
  <c r="K1421" i="1" s="1"/>
  <c r="N1421" i="1" s="1"/>
  <c r="I1422" i="1"/>
  <c r="J1422" i="1" s="1"/>
  <c r="K1422" i="1" s="1"/>
  <c r="N1422" i="1" s="1"/>
  <c r="I1423" i="1"/>
  <c r="J1423" i="1" s="1"/>
  <c r="K1423" i="1" s="1"/>
  <c r="N1423" i="1" s="1"/>
  <c r="I1424" i="1"/>
  <c r="J1424" i="1" s="1"/>
  <c r="K1424" i="1" s="1"/>
  <c r="N1424" i="1" s="1"/>
  <c r="I1425" i="1"/>
  <c r="J1425" i="1" s="1"/>
  <c r="K1425" i="1" s="1"/>
  <c r="N1425" i="1" s="1"/>
  <c r="I1426" i="1"/>
  <c r="J1426" i="1" s="1"/>
  <c r="K1426" i="1" s="1"/>
  <c r="N1426" i="1" s="1"/>
  <c r="I1427" i="1"/>
  <c r="J1427" i="1" s="1"/>
  <c r="K1427" i="1" s="1"/>
  <c r="N1427" i="1" s="1"/>
  <c r="I1428" i="1"/>
  <c r="J1428" i="1" s="1"/>
  <c r="K1428" i="1" s="1"/>
  <c r="N1428" i="1" s="1"/>
  <c r="I1429" i="1"/>
  <c r="J1429" i="1" s="1"/>
  <c r="K1429" i="1" s="1"/>
  <c r="N1429" i="1" s="1"/>
  <c r="I1430" i="1"/>
  <c r="J1430" i="1" s="1"/>
  <c r="K1430" i="1" s="1"/>
  <c r="N1430" i="1" s="1"/>
  <c r="I1431" i="1"/>
  <c r="J1431" i="1" s="1"/>
  <c r="K1431" i="1" s="1"/>
  <c r="N1431" i="1" s="1"/>
  <c r="I1432" i="1"/>
  <c r="J1432" i="1" s="1"/>
  <c r="K1432" i="1" s="1"/>
  <c r="N1432" i="1" s="1"/>
  <c r="I1433" i="1"/>
  <c r="J1433" i="1" s="1"/>
  <c r="K1433" i="1" s="1"/>
  <c r="N1433" i="1" s="1"/>
  <c r="I1434" i="1"/>
  <c r="J1434" i="1" s="1"/>
  <c r="K1434" i="1" s="1"/>
  <c r="N1434" i="1" s="1"/>
  <c r="I1435" i="1"/>
  <c r="J1435" i="1" s="1"/>
  <c r="K1435" i="1" s="1"/>
  <c r="N1435" i="1" s="1"/>
  <c r="I1436" i="1"/>
  <c r="J1436" i="1" s="1"/>
  <c r="K1436" i="1" s="1"/>
  <c r="N1436" i="1" s="1"/>
  <c r="I1437" i="1"/>
  <c r="J1437" i="1" s="1"/>
  <c r="K1437" i="1" s="1"/>
  <c r="N1437" i="1" s="1"/>
  <c r="I1438" i="1"/>
  <c r="J1438" i="1" s="1"/>
  <c r="K1438" i="1" s="1"/>
  <c r="N1438" i="1" s="1"/>
  <c r="I1439" i="1"/>
  <c r="J1439" i="1" s="1"/>
  <c r="K1439" i="1" s="1"/>
  <c r="N1439" i="1" s="1"/>
  <c r="I1440" i="1"/>
  <c r="J1440" i="1" s="1"/>
  <c r="K1440" i="1" s="1"/>
  <c r="N1440" i="1" s="1"/>
  <c r="I1441" i="1"/>
  <c r="J1441" i="1" s="1"/>
  <c r="K1441" i="1" s="1"/>
  <c r="N1441" i="1" s="1"/>
  <c r="I1442" i="1"/>
  <c r="J1442" i="1" s="1"/>
  <c r="K1442" i="1" s="1"/>
  <c r="N1442" i="1" s="1"/>
  <c r="I1443" i="1"/>
  <c r="J1443" i="1" s="1"/>
  <c r="K1443" i="1" s="1"/>
  <c r="N1443" i="1" s="1"/>
  <c r="I1444" i="1"/>
  <c r="J1444" i="1" s="1"/>
  <c r="K1444" i="1" s="1"/>
  <c r="N1444" i="1" s="1"/>
  <c r="I1445" i="1"/>
  <c r="J1445" i="1" s="1"/>
  <c r="K1445" i="1" s="1"/>
  <c r="N1445" i="1" s="1"/>
  <c r="I1446" i="1"/>
  <c r="J1446" i="1" s="1"/>
  <c r="K1446" i="1" s="1"/>
  <c r="N1446" i="1" s="1"/>
  <c r="I1447" i="1"/>
  <c r="J1447" i="1" s="1"/>
  <c r="K1447" i="1" s="1"/>
  <c r="N1447" i="1" s="1"/>
  <c r="I1448" i="1"/>
  <c r="J1448" i="1" s="1"/>
  <c r="K1448" i="1" s="1"/>
  <c r="N1448" i="1" s="1"/>
  <c r="I1449" i="1"/>
  <c r="J1449" i="1" s="1"/>
  <c r="K1449" i="1" s="1"/>
  <c r="N1449" i="1" s="1"/>
  <c r="I1450" i="1"/>
  <c r="J1450" i="1" s="1"/>
  <c r="K1450" i="1" s="1"/>
  <c r="N1450" i="1" s="1"/>
  <c r="I1451" i="1"/>
  <c r="J1451" i="1" s="1"/>
  <c r="K1451" i="1" s="1"/>
  <c r="N1451" i="1" s="1"/>
  <c r="I1452" i="1"/>
  <c r="J1452" i="1" s="1"/>
  <c r="K1452" i="1" s="1"/>
  <c r="N1452" i="1" s="1"/>
  <c r="I1453" i="1"/>
  <c r="J1453" i="1" s="1"/>
  <c r="K1453" i="1" s="1"/>
  <c r="N1453" i="1" s="1"/>
  <c r="I1454" i="1"/>
  <c r="J1454" i="1" s="1"/>
  <c r="K1454" i="1" s="1"/>
  <c r="N1454" i="1" s="1"/>
  <c r="I1455" i="1"/>
  <c r="J1455" i="1" s="1"/>
  <c r="K1455" i="1" s="1"/>
  <c r="N1455" i="1" s="1"/>
  <c r="I1456" i="1"/>
  <c r="J1456" i="1" s="1"/>
  <c r="K1456" i="1" s="1"/>
  <c r="N1456" i="1" s="1"/>
  <c r="I1457" i="1"/>
  <c r="J1457" i="1" s="1"/>
  <c r="K1457" i="1" s="1"/>
  <c r="N1457" i="1" s="1"/>
  <c r="I1458" i="1"/>
  <c r="J1458" i="1" s="1"/>
  <c r="K1458" i="1" s="1"/>
  <c r="N1458" i="1" s="1"/>
  <c r="I1459" i="1"/>
  <c r="J1459" i="1" s="1"/>
  <c r="K1459" i="1" s="1"/>
  <c r="N1459" i="1" s="1"/>
  <c r="I1460" i="1"/>
  <c r="J1460" i="1" s="1"/>
  <c r="K1460" i="1" s="1"/>
  <c r="N1460" i="1" s="1"/>
  <c r="I1461" i="1"/>
  <c r="J1461" i="1" s="1"/>
  <c r="K1461" i="1" s="1"/>
  <c r="N1461" i="1" s="1"/>
  <c r="I1462" i="1"/>
  <c r="J1462" i="1" s="1"/>
  <c r="K1462" i="1" s="1"/>
  <c r="N1462" i="1" s="1"/>
  <c r="I1463" i="1"/>
  <c r="J1463" i="1" s="1"/>
  <c r="K1463" i="1" s="1"/>
  <c r="N1463" i="1" s="1"/>
  <c r="I1464" i="1"/>
  <c r="J1464" i="1" s="1"/>
  <c r="K1464" i="1" s="1"/>
  <c r="N1464" i="1" s="1"/>
  <c r="I1465" i="1"/>
  <c r="J1465" i="1" s="1"/>
  <c r="K1465" i="1" s="1"/>
  <c r="N1465" i="1" s="1"/>
  <c r="I1466" i="1"/>
  <c r="J1466" i="1" s="1"/>
  <c r="K1466" i="1" s="1"/>
  <c r="N1466" i="1" s="1"/>
  <c r="I1467" i="1"/>
  <c r="J1467" i="1" s="1"/>
  <c r="K1467" i="1" s="1"/>
  <c r="N1467" i="1" s="1"/>
  <c r="I1468" i="1"/>
  <c r="J1468" i="1" s="1"/>
  <c r="K1468" i="1" s="1"/>
  <c r="N1468" i="1" s="1"/>
  <c r="I1469" i="1"/>
  <c r="J1469" i="1" s="1"/>
  <c r="K1469" i="1" s="1"/>
  <c r="N1469" i="1" s="1"/>
  <c r="I1470" i="1"/>
  <c r="J1470" i="1" s="1"/>
  <c r="K1470" i="1" s="1"/>
  <c r="N1470" i="1" s="1"/>
  <c r="I1471" i="1"/>
  <c r="J1471" i="1" s="1"/>
  <c r="K1471" i="1" s="1"/>
  <c r="N1471" i="1" s="1"/>
  <c r="I1472" i="1"/>
  <c r="J1472" i="1" s="1"/>
  <c r="K1472" i="1" s="1"/>
  <c r="N1472" i="1" s="1"/>
  <c r="I1473" i="1"/>
  <c r="J1473" i="1" s="1"/>
  <c r="K1473" i="1" s="1"/>
  <c r="N1473" i="1" s="1"/>
  <c r="I1474" i="1"/>
  <c r="J1474" i="1" s="1"/>
  <c r="K1474" i="1" s="1"/>
  <c r="N1474" i="1" s="1"/>
  <c r="I1475" i="1"/>
  <c r="J1475" i="1" s="1"/>
  <c r="K1475" i="1" s="1"/>
  <c r="N1475" i="1" s="1"/>
  <c r="I1476" i="1"/>
  <c r="J1476" i="1" s="1"/>
  <c r="K1476" i="1" s="1"/>
  <c r="N1476" i="1" s="1"/>
  <c r="I1477" i="1"/>
  <c r="J1477" i="1" s="1"/>
  <c r="K1477" i="1" s="1"/>
  <c r="N1477" i="1" s="1"/>
  <c r="I1478" i="1"/>
  <c r="J1478" i="1" s="1"/>
  <c r="K1478" i="1" s="1"/>
  <c r="N1478" i="1" s="1"/>
  <c r="I1479" i="1"/>
  <c r="J1479" i="1" s="1"/>
  <c r="K1479" i="1" s="1"/>
  <c r="N1479" i="1" s="1"/>
  <c r="I1480" i="1"/>
  <c r="J1480" i="1" s="1"/>
  <c r="K1480" i="1" s="1"/>
  <c r="N1480" i="1" s="1"/>
  <c r="I1481" i="1"/>
  <c r="J1481" i="1" s="1"/>
  <c r="K1481" i="1" s="1"/>
  <c r="N1481" i="1" s="1"/>
  <c r="I1482" i="1"/>
  <c r="J1482" i="1" s="1"/>
  <c r="K1482" i="1" s="1"/>
  <c r="N1482" i="1" s="1"/>
  <c r="I1483" i="1"/>
  <c r="J1483" i="1" s="1"/>
  <c r="K1483" i="1" s="1"/>
  <c r="N1483" i="1" s="1"/>
  <c r="I1484" i="1"/>
  <c r="J1484" i="1" s="1"/>
  <c r="K1484" i="1" s="1"/>
  <c r="N1484" i="1" s="1"/>
  <c r="I1485" i="1"/>
  <c r="J1485" i="1" s="1"/>
  <c r="K1485" i="1" s="1"/>
  <c r="N1485" i="1" s="1"/>
  <c r="I1486" i="1"/>
  <c r="J1486" i="1" s="1"/>
  <c r="K1486" i="1" s="1"/>
  <c r="N1486" i="1" s="1"/>
  <c r="I1487" i="1"/>
  <c r="J1487" i="1" s="1"/>
  <c r="K1487" i="1" s="1"/>
  <c r="N1487" i="1" s="1"/>
  <c r="I1488" i="1"/>
  <c r="J1488" i="1" s="1"/>
  <c r="K1488" i="1" s="1"/>
  <c r="N1488" i="1" s="1"/>
  <c r="I1489" i="1"/>
  <c r="J1489" i="1" s="1"/>
  <c r="K1489" i="1" s="1"/>
  <c r="N1489" i="1" s="1"/>
  <c r="I1490" i="1"/>
  <c r="J1490" i="1" s="1"/>
  <c r="K1490" i="1" s="1"/>
  <c r="N1490" i="1" s="1"/>
  <c r="I1491" i="1"/>
  <c r="J1491" i="1" s="1"/>
  <c r="K1491" i="1" s="1"/>
  <c r="N1491" i="1" s="1"/>
  <c r="I1492" i="1"/>
  <c r="J1492" i="1" s="1"/>
  <c r="K1492" i="1" s="1"/>
  <c r="N1492" i="1" s="1"/>
  <c r="I1493" i="1"/>
  <c r="J1493" i="1" s="1"/>
  <c r="K1493" i="1" s="1"/>
  <c r="N1493" i="1" s="1"/>
  <c r="I1494" i="1"/>
  <c r="J1494" i="1" s="1"/>
  <c r="K1494" i="1" s="1"/>
  <c r="N1494" i="1" s="1"/>
  <c r="I1495" i="1"/>
  <c r="J1495" i="1" s="1"/>
  <c r="K1495" i="1" s="1"/>
  <c r="N1495" i="1" s="1"/>
  <c r="I1496" i="1"/>
  <c r="J1496" i="1" s="1"/>
  <c r="K1496" i="1" s="1"/>
  <c r="N1496" i="1" s="1"/>
  <c r="I1497" i="1"/>
  <c r="J1497" i="1" s="1"/>
  <c r="K1497" i="1" s="1"/>
  <c r="N1497" i="1" s="1"/>
  <c r="I1498" i="1"/>
  <c r="J1498" i="1" s="1"/>
  <c r="K1498" i="1" s="1"/>
  <c r="N1498" i="1" s="1"/>
  <c r="I1499" i="1"/>
  <c r="J1499" i="1" s="1"/>
  <c r="K1499" i="1" s="1"/>
  <c r="N1499" i="1" s="1"/>
  <c r="I1500" i="1"/>
  <c r="J1500" i="1" s="1"/>
  <c r="K1500" i="1" s="1"/>
  <c r="N1500" i="1" s="1"/>
  <c r="I1501" i="1"/>
  <c r="J1501" i="1" s="1"/>
  <c r="K1501" i="1" s="1"/>
  <c r="N1501" i="1" s="1"/>
  <c r="I1502" i="1"/>
  <c r="J1502" i="1" s="1"/>
  <c r="K1502" i="1" s="1"/>
  <c r="N1502" i="1" s="1"/>
  <c r="I1503" i="1"/>
  <c r="J1503" i="1" s="1"/>
  <c r="K1503" i="1" s="1"/>
  <c r="N1503" i="1" s="1"/>
  <c r="I1504" i="1"/>
  <c r="J1504" i="1" s="1"/>
  <c r="K1504" i="1" s="1"/>
  <c r="N1504" i="1" s="1"/>
  <c r="I1505" i="1"/>
  <c r="J1505" i="1" s="1"/>
  <c r="K1505" i="1" s="1"/>
  <c r="N1505" i="1" s="1"/>
  <c r="I1506" i="1"/>
  <c r="J1506" i="1" s="1"/>
  <c r="K1506" i="1" s="1"/>
  <c r="N1506" i="1" s="1"/>
  <c r="I1507" i="1"/>
  <c r="J1507" i="1" s="1"/>
  <c r="K1507" i="1" s="1"/>
  <c r="N1507" i="1" s="1"/>
  <c r="I1508" i="1"/>
  <c r="J1508" i="1" s="1"/>
  <c r="K1508" i="1" s="1"/>
  <c r="N1508" i="1" s="1"/>
  <c r="I1509" i="1"/>
  <c r="J1509" i="1" s="1"/>
  <c r="K1509" i="1" s="1"/>
  <c r="N1509" i="1" s="1"/>
  <c r="I1510" i="1"/>
  <c r="J1510" i="1" s="1"/>
  <c r="K1510" i="1" s="1"/>
  <c r="N1510" i="1" s="1"/>
  <c r="I1511" i="1"/>
  <c r="J1511" i="1" s="1"/>
  <c r="K1511" i="1" s="1"/>
  <c r="N1511" i="1" s="1"/>
  <c r="I1512" i="1"/>
  <c r="J1512" i="1" s="1"/>
  <c r="K1512" i="1" s="1"/>
  <c r="N1512" i="1" s="1"/>
  <c r="I1513" i="1"/>
  <c r="J1513" i="1" s="1"/>
  <c r="K1513" i="1" s="1"/>
  <c r="N1513" i="1" s="1"/>
  <c r="I1514" i="1"/>
  <c r="J1514" i="1" s="1"/>
  <c r="K1514" i="1" s="1"/>
  <c r="N1514" i="1" s="1"/>
  <c r="I1515" i="1"/>
  <c r="J1515" i="1" s="1"/>
  <c r="K1515" i="1" s="1"/>
  <c r="N1515" i="1" s="1"/>
  <c r="I1516" i="1"/>
  <c r="J1516" i="1" s="1"/>
  <c r="K1516" i="1" s="1"/>
  <c r="N1516" i="1" s="1"/>
  <c r="I1517" i="1"/>
  <c r="J1517" i="1" s="1"/>
  <c r="K1517" i="1" s="1"/>
  <c r="N1517" i="1" s="1"/>
  <c r="I1518" i="1"/>
  <c r="J1518" i="1" s="1"/>
  <c r="K1518" i="1" s="1"/>
  <c r="N1518" i="1" s="1"/>
  <c r="I1519" i="1"/>
  <c r="J1519" i="1" s="1"/>
  <c r="K1519" i="1" s="1"/>
  <c r="N1519" i="1" s="1"/>
  <c r="I1520" i="1"/>
  <c r="J1520" i="1" s="1"/>
  <c r="K1520" i="1" s="1"/>
  <c r="N1520" i="1" s="1"/>
  <c r="I1521" i="1"/>
  <c r="J1521" i="1" s="1"/>
  <c r="K1521" i="1" s="1"/>
  <c r="N1521" i="1" s="1"/>
  <c r="I1522" i="1"/>
  <c r="J1522" i="1" s="1"/>
  <c r="K1522" i="1" s="1"/>
  <c r="N1522" i="1" s="1"/>
  <c r="I1523" i="1"/>
  <c r="J1523" i="1" s="1"/>
  <c r="K1523" i="1" s="1"/>
  <c r="N1523" i="1" s="1"/>
  <c r="I1524" i="1"/>
  <c r="J1524" i="1" s="1"/>
  <c r="K1524" i="1" s="1"/>
  <c r="N1524" i="1" s="1"/>
  <c r="I1525" i="1"/>
  <c r="J1525" i="1" s="1"/>
  <c r="K1525" i="1" s="1"/>
  <c r="N1525" i="1" s="1"/>
  <c r="I1526" i="1"/>
  <c r="J1526" i="1" s="1"/>
  <c r="K1526" i="1" s="1"/>
  <c r="N1526" i="1" s="1"/>
  <c r="I1527" i="1"/>
  <c r="J1527" i="1" s="1"/>
  <c r="K1527" i="1" s="1"/>
  <c r="N1527" i="1" s="1"/>
  <c r="I1528" i="1"/>
  <c r="J1528" i="1" s="1"/>
  <c r="K1528" i="1" s="1"/>
  <c r="N1528" i="1" s="1"/>
  <c r="I1529" i="1"/>
  <c r="J1529" i="1" s="1"/>
  <c r="K1529" i="1" s="1"/>
  <c r="N1529" i="1" s="1"/>
  <c r="I1530" i="1"/>
  <c r="J1530" i="1" s="1"/>
  <c r="K1530" i="1" s="1"/>
  <c r="N1530" i="1" s="1"/>
  <c r="I1531" i="1"/>
  <c r="J1531" i="1" s="1"/>
  <c r="K1531" i="1" s="1"/>
  <c r="N1531" i="1" s="1"/>
  <c r="I1532" i="1"/>
  <c r="J1532" i="1" s="1"/>
  <c r="K1532" i="1" s="1"/>
  <c r="N1532" i="1" s="1"/>
  <c r="I1533" i="1"/>
  <c r="J1533" i="1" s="1"/>
  <c r="K1533" i="1" s="1"/>
  <c r="N1533" i="1" s="1"/>
  <c r="I1534" i="1"/>
  <c r="J1534" i="1" s="1"/>
  <c r="K1534" i="1" s="1"/>
  <c r="N1534" i="1" s="1"/>
  <c r="I1535" i="1"/>
  <c r="J1535" i="1" s="1"/>
  <c r="K1535" i="1" s="1"/>
  <c r="N1535" i="1" s="1"/>
  <c r="I1536" i="1"/>
  <c r="J1536" i="1" s="1"/>
  <c r="K1536" i="1" s="1"/>
  <c r="N1536" i="1" s="1"/>
  <c r="I1537" i="1"/>
  <c r="J1537" i="1" s="1"/>
  <c r="K1537" i="1" s="1"/>
  <c r="N1537" i="1" s="1"/>
  <c r="I1538" i="1"/>
  <c r="J1538" i="1" s="1"/>
  <c r="K1538" i="1" s="1"/>
  <c r="N1538" i="1" s="1"/>
  <c r="I1539" i="1"/>
  <c r="J1539" i="1" s="1"/>
  <c r="K1539" i="1" s="1"/>
  <c r="N1539" i="1" s="1"/>
  <c r="I1540" i="1"/>
  <c r="J1540" i="1" s="1"/>
  <c r="K1540" i="1" s="1"/>
  <c r="N1540" i="1" s="1"/>
  <c r="I1541" i="1"/>
  <c r="J1541" i="1" s="1"/>
  <c r="K1541" i="1" s="1"/>
  <c r="N1541" i="1" s="1"/>
  <c r="I1542" i="1"/>
  <c r="J1542" i="1" s="1"/>
  <c r="K1542" i="1" s="1"/>
  <c r="N1542" i="1" s="1"/>
  <c r="I1543" i="1"/>
  <c r="J1543" i="1" s="1"/>
  <c r="K1543" i="1" s="1"/>
  <c r="N1543" i="1" s="1"/>
  <c r="I1544" i="1"/>
  <c r="J1544" i="1" s="1"/>
  <c r="K1544" i="1" s="1"/>
  <c r="N1544" i="1" s="1"/>
  <c r="I1545" i="1"/>
  <c r="J1545" i="1" s="1"/>
  <c r="K1545" i="1" s="1"/>
  <c r="N1545" i="1" s="1"/>
  <c r="I1546" i="1"/>
  <c r="J1546" i="1" s="1"/>
  <c r="K1546" i="1" s="1"/>
  <c r="N1546" i="1" s="1"/>
  <c r="I1547" i="1"/>
  <c r="J1547" i="1" s="1"/>
  <c r="K1547" i="1" s="1"/>
  <c r="N1547" i="1" s="1"/>
  <c r="I1548" i="1"/>
  <c r="J1548" i="1" s="1"/>
  <c r="K1548" i="1" s="1"/>
  <c r="N1548" i="1" s="1"/>
  <c r="I1549" i="1"/>
  <c r="J1549" i="1" s="1"/>
  <c r="K1549" i="1" s="1"/>
  <c r="N1549" i="1" s="1"/>
  <c r="I1550" i="1"/>
  <c r="J1550" i="1" s="1"/>
  <c r="K1550" i="1" s="1"/>
  <c r="N1550" i="1" s="1"/>
  <c r="I1551" i="1"/>
  <c r="J1551" i="1" s="1"/>
  <c r="K1551" i="1" s="1"/>
  <c r="N1551" i="1" s="1"/>
  <c r="I1552" i="1"/>
  <c r="J1552" i="1" s="1"/>
  <c r="K1552" i="1" s="1"/>
  <c r="N1552" i="1" s="1"/>
  <c r="I1553" i="1"/>
  <c r="J1553" i="1" s="1"/>
  <c r="K1553" i="1" s="1"/>
  <c r="N1553" i="1" s="1"/>
  <c r="I1554" i="1"/>
  <c r="J1554" i="1" s="1"/>
  <c r="K1554" i="1" s="1"/>
  <c r="N1554" i="1" s="1"/>
  <c r="I1555" i="1"/>
  <c r="J1555" i="1" s="1"/>
  <c r="K1555" i="1" s="1"/>
  <c r="N1555" i="1" s="1"/>
  <c r="I1556" i="1"/>
  <c r="J1556" i="1" s="1"/>
  <c r="K1556" i="1" s="1"/>
  <c r="N1556" i="1" s="1"/>
  <c r="I1557" i="1"/>
  <c r="J1557" i="1" s="1"/>
  <c r="K1557" i="1" s="1"/>
  <c r="N1557" i="1" s="1"/>
  <c r="I1558" i="1"/>
  <c r="J1558" i="1" s="1"/>
  <c r="K1558" i="1" s="1"/>
  <c r="N1558" i="1" s="1"/>
  <c r="I1559" i="1"/>
  <c r="J1559" i="1" s="1"/>
  <c r="K1559" i="1" s="1"/>
  <c r="N1559" i="1" s="1"/>
  <c r="I1560" i="1"/>
  <c r="J1560" i="1" s="1"/>
  <c r="K1560" i="1" s="1"/>
  <c r="N1560" i="1" s="1"/>
  <c r="I1561" i="1"/>
  <c r="J1561" i="1" s="1"/>
  <c r="K1561" i="1" s="1"/>
  <c r="N1561" i="1" s="1"/>
  <c r="I1562" i="1"/>
  <c r="J1562" i="1" s="1"/>
  <c r="K1562" i="1" s="1"/>
  <c r="N1562" i="1" s="1"/>
  <c r="I1563" i="1"/>
  <c r="J1563" i="1" s="1"/>
  <c r="K1563" i="1" s="1"/>
  <c r="N1563" i="1" s="1"/>
  <c r="I1564" i="1"/>
  <c r="J1564" i="1" s="1"/>
  <c r="K1564" i="1" s="1"/>
  <c r="N1564" i="1" s="1"/>
  <c r="I1565" i="1"/>
  <c r="J1565" i="1" s="1"/>
  <c r="K1565" i="1" s="1"/>
  <c r="N1565" i="1" s="1"/>
  <c r="I1566" i="1"/>
  <c r="J1566" i="1" s="1"/>
  <c r="K1566" i="1" s="1"/>
  <c r="N1566" i="1" s="1"/>
  <c r="I1567" i="1"/>
  <c r="J1567" i="1" s="1"/>
  <c r="K1567" i="1" s="1"/>
  <c r="N1567" i="1" s="1"/>
  <c r="I1568" i="1"/>
  <c r="J1568" i="1" s="1"/>
  <c r="K1568" i="1" s="1"/>
  <c r="N1568" i="1" s="1"/>
  <c r="I1569" i="1"/>
  <c r="J1569" i="1" s="1"/>
  <c r="K1569" i="1" s="1"/>
  <c r="N1569" i="1" s="1"/>
  <c r="I1570" i="1"/>
  <c r="J1570" i="1" s="1"/>
  <c r="K1570" i="1" s="1"/>
  <c r="N1570" i="1" s="1"/>
  <c r="I1571" i="1"/>
  <c r="J1571" i="1" s="1"/>
  <c r="K1571" i="1" s="1"/>
  <c r="N1571" i="1" s="1"/>
  <c r="I1572" i="1"/>
  <c r="J1572" i="1" s="1"/>
  <c r="K1572" i="1" s="1"/>
  <c r="N1572" i="1" s="1"/>
  <c r="I1573" i="1"/>
  <c r="J1573" i="1" s="1"/>
  <c r="K1573" i="1" s="1"/>
  <c r="N1573" i="1" s="1"/>
  <c r="I1574" i="1"/>
  <c r="J1574" i="1" s="1"/>
  <c r="K1574" i="1" s="1"/>
  <c r="N1574" i="1" s="1"/>
  <c r="I1575" i="1"/>
  <c r="J1575" i="1" s="1"/>
  <c r="K1575" i="1" s="1"/>
  <c r="N1575" i="1" s="1"/>
  <c r="I1576" i="1"/>
  <c r="J1576" i="1" s="1"/>
  <c r="K1576" i="1" s="1"/>
  <c r="N1576" i="1" s="1"/>
  <c r="I1577" i="1"/>
  <c r="J1577" i="1" s="1"/>
  <c r="K1577" i="1" s="1"/>
  <c r="N1577" i="1" s="1"/>
  <c r="I1578" i="1"/>
  <c r="J1578" i="1" s="1"/>
  <c r="K1578" i="1" s="1"/>
  <c r="N1578" i="1" s="1"/>
  <c r="I1579" i="1"/>
  <c r="J1579" i="1" s="1"/>
  <c r="K1579" i="1" s="1"/>
  <c r="N1579" i="1" s="1"/>
  <c r="I1580" i="1"/>
  <c r="J1580" i="1" s="1"/>
  <c r="K1580" i="1" s="1"/>
  <c r="N1580" i="1" s="1"/>
  <c r="I1581" i="1"/>
  <c r="J1581" i="1" s="1"/>
  <c r="K1581" i="1" s="1"/>
  <c r="N1581" i="1" s="1"/>
  <c r="I1582" i="1"/>
  <c r="J1582" i="1" s="1"/>
  <c r="K1582" i="1" s="1"/>
  <c r="N1582" i="1" s="1"/>
  <c r="I1583" i="1"/>
  <c r="J1583" i="1" s="1"/>
  <c r="K1583" i="1" s="1"/>
  <c r="N1583" i="1" s="1"/>
  <c r="I1584" i="1"/>
  <c r="J1584" i="1" s="1"/>
  <c r="K1584" i="1" s="1"/>
  <c r="N1584" i="1" s="1"/>
  <c r="I1585" i="1"/>
  <c r="J1585" i="1" s="1"/>
  <c r="K1585" i="1" s="1"/>
  <c r="N1585" i="1" s="1"/>
  <c r="I1586" i="1"/>
  <c r="J1586" i="1" s="1"/>
  <c r="K1586" i="1" s="1"/>
  <c r="N1586" i="1" s="1"/>
  <c r="I1587" i="1"/>
  <c r="J1587" i="1" s="1"/>
  <c r="K1587" i="1" s="1"/>
  <c r="N1587" i="1" s="1"/>
  <c r="I1588" i="1"/>
  <c r="J1588" i="1" s="1"/>
  <c r="K1588" i="1" s="1"/>
  <c r="N1588" i="1" s="1"/>
  <c r="I1589" i="1"/>
  <c r="J1589" i="1" s="1"/>
  <c r="K1589" i="1" s="1"/>
  <c r="N1589" i="1" s="1"/>
  <c r="I1590" i="1"/>
  <c r="J1590" i="1" s="1"/>
  <c r="K1590" i="1" s="1"/>
  <c r="N1590" i="1" s="1"/>
  <c r="I1591" i="1"/>
  <c r="J1591" i="1" s="1"/>
  <c r="K1591" i="1" s="1"/>
  <c r="N1591" i="1" s="1"/>
  <c r="I1592" i="1"/>
  <c r="J1592" i="1" s="1"/>
  <c r="K1592" i="1" s="1"/>
  <c r="N1592" i="1" s="1"/>
  <c r="I1593" i="1"/>
  <c r="J1593" i="1" s="1"/>
  <c r="K1593" i="1" s="1"/>
  <c r="N1593" i="1" s="1"/>
  <c r="I1594" i="1"/>
  <c r="J1594" i="1" s="1"/>
  <c r="K1594" i="1" s="1"/>
  <c r="N1594" i="1" s="1"/>
  <c r="I1595" i="1"/>
  <c r="J1595" i="1" s="1"/>
  <c r="K1595" i="1" s="1"/>
  <c r="N1595" i="1" s="1"/>
  <c r="I1596" i="1"/>
  <c r="J1596" i="1" s="1"/>
  <c r="K1596" i="1" s="1"/>
  <c r="N1596" i="1" s="1"/>
  <c r="I1597" i="1"/>
  <c r="J1597" i="1" s="1"/>
  <c r="K1597" i="1" s="1"/>
  <c r="N1597" i="1" s="1"/>
  <c r="I1598" i="1"/>
  <c r="J1598" i="1" s="1"/>
  <c r="K1598" i="1" s="1"/>
  <c r="N1598" i="1" s="1"/>
  <c r="I1599" i="1"/>
  <c r="J1599" i="1" s="1"/>
  <c r="K1599" i="1" s="1"/>
  <c r="N1599" i="1" s="1"/>
  <c r="I1600" i="1"/>
  <c r="J1600" i="1" s="1"/>
  <c r="K1600" i="1" s="1"/>
  <c r="N1600" i="1" s="1"/>
  <c r="I1601" i="1"/>
  <c r="J1601" i="1" s="1"/>
  <c r="K1601" i="1" s="1"/>
  <c r="N1601" i="1" s="1"/>
  <c r="I1602" i="1"/>
  <c r="J1602" i="1" s="1"/>
  <c r="K1602" i="1" s="1"/>
  <c r="N1602" i="1" s="1"/>
  <c r="I1603" i="1"/>
  <c r="J1603" i="1" s="1"/>
  <c r="K1603" i="1" s="1"/>
  <c r="N1603" i="1" s="1"/>
  <c r="I1604" i="1"/>
  <c r="J1604" i="1" s="1"/>
  <c r="K1604" i="1" s="1"/>
  <c r="N1604" i="1" s="1"/>
  <c r="I1605" i="1"/>
  <c r="J1605" i="1" s="1"/>
  <c r="K1605" i="1" s="1"/>
  <c r="N1605" i="1" s="1"/>
  <c r="I1606" i="1"/>
  <c r="J1606" i="1" s="1"/>
  <c r="K1606" i="1" s="1"/>
  <c r="N1606" i="1" s="1"/>
  <c r="I1607" i="1"/>
  <c r="J1607" i="1" s="1"/>
  <c r="K1607" i="1" s="1"/>
  <c r="N1607" i="1" s="1"/>
  <c r="I1608" i="1"/>
  <c r="J1608" i="1" s="1"/>
  <c r="K1608" i="1" s="1"/>
  <c r="N1608" i="1" s="1"/>
  <c r="I1609" i="1"/>
  <c r="J1609" i="1" s="1"/>
  <c r="K1609" i="1" s="1"/>
  <c r="N1609" i="1" s="1"/>
  <c r="I1610" i="1"/>
  <c r="J1610" i="1" s="1"/>
  <c r="K1610" i="1" s="1"/>
  <c r="N1610" i="1" s="1"/>
  <c r="I1611" i="1"/>
  <c r="J1611" i="1" s="1"/>
  <c r="K1611" i="1" s="1"/>
  <c r="N1611" i="1" s="1"/>
  <c r="I1612" i="1"/>
  <c r="J1612" i="1" s="1"/>
  <c r="K1612" i="1" s="1"/>
  <c r="N1612" i="1" s="1"/>
  <c r="I1613" i="1"/>
  <c r="J1613" i="1" s="1"/>
  <c r="K1613" i="1" s="1"/>
  <c r="N1613" i="1" s="1"/>
  <c r="I1614" i="1"/>
  <c r="J1614" i="1" s="1"/>
  <c r="K1614" i="1" s="1"/>
  <c r="N1614" i="1" s="1"/>
  <c r="I1615" i="1"/>
  <c r="J1615" i="1" s="1"/>
  <c r="K1615" i="1" s="1"/>
  <c r="N1615" i="1" s="1"/>
  <c r="I1616" i="1"/>
  <c r="J1616" i="1" s="1"/>
  <c r="K1616" i="1" s="1"/>
  <c r="N1616" i="1" s="1"/>
  <c r="I1617" i="1"/>
  <c r="J1617" i="1" s="1"/>
  <c r="K1617" i="1" s="1"/>
  <c r="N1617" i="1" s="1"/>
  <c r="I1618" i="1"/>
  <c r="J1618" i="1" s="1"/>
  <c r="K1618" i="1" s="1"/>
  <c r="N1618" i="1" s="1"/>
  <c r="I1619" i="1"/>
  <c r="J1619" i="1" s="1"/>
  <c r="K1619" i="1" s="1"/>
  <c r="N1619" i="1" s="1"/>
  <c r="I1620" i="1"/>
  <c r="J1620" i="1" s="1"/>
  <c r="K1620" i="1" s="1"/>
  <c r="N1620" i="1" s="1"/>
  <c r="I1621" i="1"/>
  <c r="J1621" i="1" s="1"/>
  <c r="K1621" i="1" s="1"/>
  <c r="N1621" i="1" s="1"/>
  <c r="I1622" i="1"/>
  <c r="J1622" i="1" s="1"/>
  <c r="K1622" i="1" s="1"/>
  <c r="N1622" i="1" s="1"/>
  <c r="I1623" i="1"/>
  <c r="J1623" i="1" s="1"/>
  <c r="K1623" i="1" s="1"/>
  <c r="N1623" i="1" s="1"/>
  <c r="I1624" i="1"/>
  <c r="J1624" i="1" s="1"/>
  <c r="K1624" i="1" s="1"/>
  <c r="N1624" i="1" s="1"/>
  <c r="I1625" i="1"/>
  <c r="J1625" i="1" s="1"/>
  <c r="K1625" i="1" s="1"/>
  <c r="N1625" i="1" s="1"/>
  <c r="I1626" i="1"/>
  <c r="J1626" i="1" s="1"/>
  <c r="K1626" i="1" s="1"/>
  <c r="N1626" i="1" s="1"/>
  <c r="I1627" i="1"/>
  <c r="J1627" i="1" s="1"/>
  <c r="K1627" i="1" s="1"/>
  <c r="N1627" i="1" s="1"/>
  <c r="I1628" i="1"/>
  <c r="J1628" i="1" s="1"/>
  <c r="K1628" i="1" s="1"/>
  <c r="N1628" i="1" s="1"/>
  <c r="I1629" i="1"/>
  <c r="J1629" i="1" s="1"/>
  <c r="K1629" i="1" s="1"/>
  <c r="N1629" i="1" s="1"/>
  <c r="I1630" i="1"/>
  <c r="J1630" i="1" s="1"/>
  <c r="K1630" i="1" s="1"/>
  <c r="N1630" i="1" s="1"/>
  <c r="I1631" i="1"/>
  <c r="J1631" i="1" s="1"/>
  <c r="K1631" i="1" s="1"/>
  <c r="N1631" i="1" s="1"/>
  <c r="I1632" i="1"/>
  <c r="J1632" i="1" s="1"/>
  <c r="K1632" i="1" s="1"/>
  <c r="N1632" i="1" s="1"/>
  <c r="I1633" i="1"/>
  <c r="J1633" i="1" s="1"/>
  <c r="K1633" i="1" s="1"/>
  <c r="N1633" i="1" s="1"/>
  <c r="I1634" i="1"/>
  <c r="J1634" i="1" s="1"/>
  <c r="K1634" i="1" s="1"/>
  <c r="N1634" i="1" s="1"/>
  <c r="I1635" i="1"/>
  <c r="J1635" i="1" s="1"/>
  <c r="K1635" i="1" s="1"/>
  <c r="N1635" i="1" s="1"/>
  <c r="I1636" i="1"/>
  <c r="J1636" i="1" s="1"/>
  <c r="K1636" i="1" s="1"/>
  <c r="N1636" i="1" s="1"/>
  <c r="I1637" i="1"/>
  <c r="J1637" i="1" s="1"/>
  <c r="K1637" i="1" s="1"/>
  <c r="N1637" i="1" s="1"/>
  <c r="I1638" i="1"/>
  <c r="J1638" i="1" s="1"/>
  <c r="K1638" i="1" s="1"/>
  <c r="N1638" i="1" s="1"/>
  <c r="I1639" i="1"/>
  <c r="J1639" i="1" s="1"/>
  <c r="K1639" i="1" s="1"/>
  <c r="N1639" i="1" s="1"/>
  <c r="I1640" i="1"/>
  <c r="J1640" i="1" s="1"/>
  <c r="K1640" i="1" s="1"/>
  <c r="N1640" i="1" s="1"/>
  <c r="I1641" i="1"/>
  <c r="J1641" i="1" s="1"/>
  <c r="K1641" i="1" s="1"/>
  <c r="N1641" i="1" s="1"/>
  <c r="I1642" i="1"/>
  <c r="J1642" i="1" s="1"/>
  <c r="K1642" i="1" s="1"/>
  <c r="N1642" i="1" s="1"/>
  <c r="I1643" i="1"/>
  <c r="J1643" i="1" s="1"/>
  <c r="K1643" i="1" s="1"/>
  <c r="N1643" i="1" s="1"/>
  <c r="I1644" i="1"/>
  <c r="J1644" i="1" s="1"/>
  <c r="K1644" i="1" s="1"/>
  <c r="N1644" i="1" s="1"/>
  <c r="I1645" i="1"/>
  <c r="J1645" i="1" s="1"/>
  <c r="K1645" i="1" s="1"/>
  <c r="N1645" i="1" s="1"/>
  <c r="I1646" i="1"/>
  <c r="J1646" i="1" s="1"/>
  <c r="K1646" i="1" s="1"/>
  <c r="N1646" i="1" s="1"/>
  <c r="I1647" i="1"/>
  <c r="J1647" i="1" s="1"/>
  <c r="K1647" i="1" s="1"/>
  <c r="N1647" i="1" s="1"/>
  <c r="I1648" i="1"/>
  <c r="J1648" i="1" s="1"/>
  <c r="K1648" i="1" s="1"/>
  <c r="N1648" i="1" s="1"/>
  <c r="I1649" i="1"/>
  <c r="J1649" i="1" s="1"/>
  <c r="K1649" i="1" s="1"/>
  <c r="N1649" i="1" s="1"/>
  <c r="I1650" i="1"/>
  <c r="J1650" i="1" s="1"/>
  <c r="K1650" i="1" s="1"/>
  <c r="N1650" i="1" s="1"/>
  <c r="I1651" i="1"/>
  <c r="J1651" i="1" s="1"/>
  <c r="K1651" i="1" s="1"/>
  <c r="N1651" i="1" s="1"/>
  <c r="I1652" i="1"/>
  <c r="J1652" i="1" s="1"/>
  <c r="K1652" i="1" s="1"/>
  <c r="N1652" i="1" s="1"/>
  <c r="I1653" i="1"/>
  <c r="J1653" i="1" s="1"/>
  <c r="K1653" i="1" s="1"/>
  <c r="N1653" i="1" s="1"/>
  <c r="I1654" i="1"/>
  <c r="J1654" i="1" s="1"/>
  <c r="K1654" i="1" s="1"/>
  <c r="N1654" i="1" s="1"/>
  <c r="I1655" i="1"/>
  <c r="J1655" i="1" s="1"/>
  <c r="K1655" i="1" s="1"/>
  <c r="N1655" i="1" s="1"/>
  <c r="I1656" i="1"/>
  <c r="J1656" i="1" s="1"/>
  <c r="K1656" i="1" s="1"/>
  <c r="N1656" i="1" s="1"/>
  <c r="I1657" i="1"/>
  <c r="J1657" i="1" s="1"/>
  <c r="K1657" i="1" s="1"/>
  <c r="N1657" i="1" s="1"/>
  <c r="I1658" i="1"/>
  <c r="J1658" i="1" s="1"/>
  <c r="K1658" i="1" s="1"/>
  <c r="N1658" i="1" s="1"/>
  <c r="I1659" i="1"/>
  <c r="J1659" i="1" s="1"/>
  <c r="K1659" i="1" s="1"/>
  <c r="N1659" i="1" s="1"/>
  <c r="I1660" i="1"/>
  <c r="J1660" i="1" s="1"/>
  <c r="K1660" i="1" s="1"/>
  <c r="N1660" i="1" s="1"/>
  <c r="I1661" i="1"/>
  <c r="J1661" i="1" s="1"/>
  <c r="K1661" i="1" s="1"/>
  <c r="N1661" i="1" s="1"/>
  <c r="I1662" i="1"/>
  <c r="J1662" i="1" s="1"/>
  <c r="K1662" i="1" s="1"/>
  <c r="N1662" i="1" s="1"/>
  <c r="I1663" i="1"/>
  <c r="J1663" i="1" s="1"/>
  <c r="K1663" i="1" s="1"/>
  <c r="N1663" i="1" s="1"/>
  <c r="I1664" i="1"/>
  <c r="J1664" i="1" s="1"/>
  <c r="K1664" i="1" s="1"/>
  <c r="N1664" i="1" s="1"/>
  <c r="I1665" i="1"/>
  <c r="J1665" i="1" s="1"/>
  <c r="K1665" i="1" s="1"/>
  <c r="N1665" i="1" s="1"/>
  <c r="I1666" i="1"/>
  <c r="J1666" i="1" s="1"/>
  <c r="K1666" i="1" s="1"/>
  <c r="N1666" i="1" s="1"/>
  <c r="I1667" i="1"/>
  <c r="J1667" i="1" s="1"/>
  <c r="K1667" i="1" s="1"/>
  <c r="N1667" i="1" s="1"/>
  <c r="I1668" i="1"/>
  <c r="J1668" i="1" s="1"/>
  <c r="K1668" i="1" s="1"/>
  <c r="N1668" i="1" s="1"/>
  <c r="I1669" i="1"/>
  <c r="J1669" i="1" s="1"/>
  <c r="K1669" i="1" s="1"/>
  <c r="N1669" i="1" s="1"/>
  <c r="I1670" i="1"/>
  <c r="J1670" i="1" s="1"/>
  <c r="K1670" i="1" s="1"/>
  <c r="N1670" i="1" s="1"/>
  <c r="I1671" i="1"/>
  <c r="J1671" i="1" s="1"/>
  <c r="K1671" i="1" s="1"/>
  <c r="N1671" i="1" s="1"/>
  <c r="I1672" i="1"/>
  <c r="J1672" i="1" s="1"/>
  <c r="K1672" i="1" s="1"/>
  <c r="N1672" i="1" s="1"/>
  <c r="I1673" i="1"/>
  <c r="J1673" i="1" s="1"/>
  <c r="K1673" i="1" s="1"/>
  <c r="N1673" i="1" s="1"/>
  <c r="I1674" i="1"/>
  <c r="J1674" i="1" s="1"/>
  <c r="K1674" i="1" s="1"/>
  <c r="N1674" i="1" s="1"/>
  <c r="I1675" i="1"/>
  <c r="J1675" i="1" s="1"/>
  <c r="K1675" i="1" s="1"/>
  <c r="N1675" i="1" s="1"/>
  <c r="I1676" i="1"/>
  <c r="J1676" i="1" s="1"/>
  <c r="K1676" i="1" s="1"/>
  <c r="N1676" i="1" s="1"/>
  <c r="I1677" i="1"/>
  <c r="J1677" i="1" s="1"/>
  <c r="K1677" i="1" s="1"/>
  <c r="N1677" i="1" s="1"/>
  <c r="I1678" i="1"/>
  <c r="J1678" i="1" s="1"/>
  <c r="K1678" i="1" s="1"/>
  <c r="N1678" i="1" s="1"/>
  <c r="I1679" i="1"/>
  <c r="J1679" i="1" s="1"/>
  <c r="K1679" i="1" s="1"/>
  <c r="N1679" i="1" s="1"/>
  <c r="I1680" i="1"/>
  <c r="J1680" i="1" s="1"/>
  <c r="K1680" i="1" s="1"/>
  <c r="N1680" i="1" s="1"/>
  <c r="I1681" i="1"/>
  <c r="J1681" i="1" s="1"/>
  <c r="K1681" i="1" s="1"/>
  <c r="N1681" i="1" s="1"/>
  <c r="I1682" i="1"/>
  <c r="J1682" i="1" s="1"/>
  <c r="K1682" i="1" s="1"/>
  <c r="N1682" i="1" s="1"/>
  <c r="I1683" i="1"/>
  <c r="J1683" i="1" s="1"/>
  <c r="K1683" i="1" s="1"/>
  <c r="N1683" i="1" s="1"/>
  <c r="I1684" i="1"/>
  <c r="J1684" i="1" s="1"/>
  <c r="K1684" i="1" s="1"/>
  <c r="N1684" i="1" s="1"/>
  <c r="I1685" i="1"/>
  <c r="J1685" i="1" s="1"/>
  <c r="K1685" i="1" s="1"/>
  <c r="N1685" i="1" s="1"/>
  <c r="I1686" i="1"/>
  <c r="J1686" i="1" s="1"/>
  <c r="K1686" i="1" s="1"/>
  <c r="N1686" i="1" s="1"/>
  <c r="I1687" i="1"/>
  <c r="J1687" i="1" s="1"/>
  <c r="K1687" i="1" s="1"/>
  <c r="N1687" i="1" s="1"/>
  <c r="I1688" i="1"/>
  <c r="J1688" i="1" s="1"/>
  <c r="K1688" i="1" s="1"/>
  <c r="N1688" i="1" s="1"/>
  <c r="I1689" i="1"/>
  <c r="J1689" i="1" s="1"/>
  <c r="K1689" i="1" s="1"/>
  <c r="N1689" i="1" s="1"/>
  <c r="I1690" i="1"/>
  <c r="J1690" i="1" s="1"/>
  <c r="K1690" i="1" s="1"/>
  <c r="N1690" i="1" s="1"/>
  <c r="I1691" i="1"/>
  <c r="J1691" i="1" s="1"/>
  <c r="K1691" i="1" s="1"/>
  <c r="N1691" i="1" s="1"/>
  <c r="I1692" i="1"/>
  <c r="J1692" i="1" s="1"/>
  <c r="K1692" i="1" s="1"/>
  <c r="N1692" i="1" s="1"/>
  <c r="I1693" i="1"/>
  <c r="J1693" i="1" s="1"/>
  <c r="K1693" i="1" s="1"/>
  <c r="N1693" i="1" s="1"/>
  <c r="I1694" i="1"/>
  <c r="J1694" i="1" s="1"/>
  <c r="K1694" i="1" s="1"/>
  <c r="N1694" i="1" s="1"/>
  <c r="I1695" i="1"/>
  <c r="J1695" i="1" s="1"/>
  <c r="K1695" i="1" s="1"/>
  <c r="N1695" i="1" s="1"/>
  <c r="I1696" i="1"/>
  <c r="J1696" i="1" s="1"/>
  <c r="K1696" i="1" s="1"/>
  <c r="N1696" i="1" s="1"/>
  <c r="I1697" i="1"/>
  <c r="J1697" i="1" s="1"/>
  <c r="K1697" i="1" s="1"/>
  <c r="N1697" i="1" s="1"/>
  <c r="I1698" i="1"/>
  <c r="J1698" i="1" s="1"/>
  <c r="K1698" i="1" s="1"/>
  <c r="N1698" i="1" s="1"/>
  <c r="I1699" i="1"/>
  <c r="J1699" i="1" s="1"/>
  <c r="K1699" i="1" s="1"/>
  <c r="N1699" i="1" s="1"/>
  <c r="I1700" i="1"/>
  <c r="J1700" i="1" s="1"/>
  <c r="K1700" i="1" s="1"/>
  <c r="N1700" i="1" s="1"/>
  <c r="I1701" i="1"/>
  <c r="J1701" i="1" s="1"/>
  <c r="K1701" i="1" s="1"/>
  <c r="N1701" i="1" s="1"/>
  <c r="I1702" i="1"/>
  <c r="J1702" i="1" s="1"/>
  <c r="K1702" i="1" s="1"/>
  <c r="N1702" i="1" s="1"/>
  <c r="I1703" i="1"/>
  <c r="J1703" i="1" s="1"/>
  <c r="K1703" i="1" s="1"/>
  <c r="N1703" i="1" s="1"/>
  <c r="I1704" i="1"/>
  <c r="J1704" i="1" s="1"/>
  <c r="K1704" i="1" s="1"/>
  <c r="N1704" i="1" s="1"/>
  <c r="I1705" i="1"/>
  <c r="J1705" i="1" s="1"/>
  <c r="K1705" i="1" s="1"/>
  <c r="N1705" i="1" s="1"/>
  <c r="I1706" i="1"/>
  <c r="J1706" i="1" s="1"/>
  <c r="K1706" i="1" s="1"/>
  <c r="N1706" i="1" s="1"/>
  <c r="I1707" i="1"/>
  <c r="J1707" i="1" s="1"/>
  <c r="K1707" i="1" s="1"/>
  <c r="N1707" i="1" s="1"/>
  <c r="I1708" i="1"/>
  <c r="J1708" i="1" s="1"/>
  <c r="K1708" i="1" s="1"/>
  <c r="N1708" i="1" s="1"/>
  <c r="I1709" i="1"/>
  <c r="J1709" i="1" s="1"/>
  <c r="K1709" i="1" s="1"/>
  <c r="N1709" i="1" s="1"/>
  <c r="I1710" i="1"/>
  <c r="J1710" i="1" s="1"/>
  <c r="K1710" i="1" s="1"/>
  <c r="N1710" i="1" s="1"/>
  <c r="I1711" i="1"/>
  <c r="J1711" i="1" s="1"/>
  <c r="K1711" i="1" s="1"/>
  <c r="N1711" i="1" s="1"/>
  <c r="I1712" i="1"/>
  <c r="J1712" i="1" s="1"/>
  <c r="K1712" i="1" s="1"/>
  <c r="N1712" i="1" s="1"/>
  <c r="I1713" i="1"/>
  <c r="J1713" i="1" s="1"/>
  <c r="K1713" i="1" s="1"/>
  <c r="N1713" i="1" s="1"/>
  <c r="I1714" i="1"/>
  <c r="J1714" i="1" s="1"/>
  <c r="K1714" i="1" s="1"/>
  <c r="N1714" i="1" s="1"/>
  <c r="I1715" i="1"/>
  <c r="J1715" i="1" s="1"/>
  <c r="K1715" i="1" s="1"/>
  <c r="N1715" i="1" s="1"/>
  <c r="I1716" i="1"/>
  <c r="J1716" i="1" s="1"/>
  <c r="K1716" i="1" s="1"/>
  <c r="N1716" i="1" s="1"/>
  <c r="I1717" i="1"/>
  <c r="J1717" i="1" s="1"/>
  <c r="K1717" i="1" s="1"/>
  <c r="N1717" i="1" s="1"/>
  <c r="I1718" i="1"/>
  <c r="J1718" i="1" s="1"/>
  <c r="K1718" i="1" s="1"/>
  <c r="N1718" i="1" s="1"/>
  <c r="I1719" i="1"/>
  <c r="J1719" i="1" s="1"/>
  <c r="K1719" i="1" s="1"/>
  <c r="N1719" i="1" s="1"/>
  <c r="I1720" i="1"/>
  <c r="J1720" i="1" s="1"/>
  <c r="K1720" i="1" s="1"/>
  <c r="N1720" i="1" s="1"/>
  <c r="I1721" i="1"/>
  <c r="J1721" i="1" s="1"/>
  <c r="K1721" i="1" s="1"/>
  <c r="N1721" i="1" s="1"/>
  <c r="I1722" i="1"/>
  <c r="J1722" i="1" s="1"/>
  <c r="K1722" i="1" s="1"/>
  <c r="N1722" i="1" s="1"/>
  <c r="I1723" i="1"/>
  <c r="J1723" i="1" s="1"/>
  <c r="K1723" i="1" s="1"/>
  <c r="N1723" i="1" s="1"/>
  <c r="I1724" i="1"/>
  <c r="J1724" i="1" s="1"/>
  <c r="K1724" i="1" s="1"/>
  <c r="N1724" i="1" s="1"/>
  <c r="I1725" i="1"/>
  <c r="J1725" i="1" s="1"/>
  <c r="K1725" i="1" s="1"/>
  <c r="N1725" i="1" s="1"/>
  <c r="I1726" i="1"/>
  <c r="J1726" i="1" s="1"/>
  <c r="K1726" i="1" s="1"/>
  <c r="N1726" i="1" s="1"/>
  <c r="I1727" i="1"/>
  <c r="J1727" i="1" s="1"/>
  <c r="K1727" i="1" s="1"/>
  <c r="N1727" i="1" s="1"/>
  <c r="I1728" i="1"/>
  <c r="J1728" i="1" s="1"/>
  <c r="K1728" i="1" s="1"/>
  <c r="N1728" i="1" s="1"/>
  <c r="I1729" i="1"/>
  <c r="J1729" i="1" s="1"/>
  <c r="K1729" i="1" s="1"/>
  <c r="N1729" i="1" s="1"/>
  <c r="I1730" i="1"/>
  <c r="J1730" i="1" s="1"/>
  <c r="K1730" i="1" s="1"/>
  <c r="N1730" i="1" s="1"/>
  <c r="I1731" i="1"/>
  <c r="J1731" i="1" s="1"/>
  <c r="K1731" i="1" s="1"/>
  <c r="N1731" i="1" s="1"/>
  <c r="I1732" i="1"/>
  <c r="J1732" i="1" s="1"/>
  <c r="K1732" i="1" s="1"/>
  <c r="N1732" i="1" s="1"/>
  <c r="I1733" i="1"/>
  <c r="J1733" i="1" s="1"/>
  <c r="K1733" i="1" s="1"/>
  <c r="N1733" i="1" s="1"/>
  <c r="I1734" i="1"/>
  <c r="J1734" i="1" s="1"/>
  <c r="K1734" i="1" s="1"/>
  <c r="N1734" i="1" s="1"/>
  <c r="I1735" i="1"/>
  <c r="J1735" i="1" s="1"/>
  <c r="K1735" i="1" s="1"/>
  <c r="N1735" i="1" s="1"/>
  <c r="I1736" i="1"/>
  <c r="J1736" i="1" s="1"/>
  <c r="K1736" i="1" s="1"/>
  <c r="N1736" i="1" s="1"/>
  <c r="I1737" i="1"/>
  <c r="J1737" i="1" s="1"/>
  <c r="K1737" i="1" s="1"/>
  <c r="N1737" i="1" s="1"/>
  <c r="I1738" i="1"/>
  <c r="J1738" i="1" s="1"/>
  <c r="K1738" i="1" s="1"/>
  <c r="N1738" i="1" s="1"/>
  <c r="I1739" i="1"/>
  <c r="J1739" i="1" s="1"/>
  <c r="K1739" i="1" s="1"/>
  <c r="N1739" i="1" s="1"/>
  <c r="I1740" i="1"/>
  <c r="J1740" i="1" s="1"/>
  <c r="K1740" i="1" s="1"/>
  <c r="N1740" i="1" s="1"/>
  <c r="I1741" i="1"/>
  <c r="J1741" i="1" s="1"/>
  <c r="K1741" i="1" s="1"/>
  <c r="N1741" i="1" s="1"/>
  <c r="I1742" i="1"/>
  <c r="J1742" i="1" s="1"/>
  <c r="K1742" i="1" s="1"/>
  <c r="N1742" i="1" s="1"/>
  <c r="I1743" i="1"/>
  <c r="J1743" i="1" s="1"/>
  <c r="K1743" i="1" s="1"/>
  <c r="N1743" i="1" s="1"/>
  <c r="I1744" i="1"/>
  <c r="J1744" i="1" s="1"/>
  <c r="K1744" i="1" s="1"/>
  <c r="N1744" i="1" s="1"/>
  <c r="I1745" i="1"/>
  <c r="J1745" i="1" s="1"/>
  <c r="K1745" i="1" s="1"/>
  <c r="N1745" i="1" s="1"/>
  <c r="I1746" i="1"/>
  <c r="J1746" i="1" s="1"/>
  <c r="K1746" i="1" s="1"/>
  <c r="N1746" i="1" s="1"/>
  <c r="I1747" i="1"/>
  <c r="J1747" i="1" s="1"/>
  <c r="K1747" i="1" s="1"/>
  <c r="N1747" i="1" s="1"/>
  <c r="I1748" i="1"/>
  <c r="J1748" i="1" s="1"/>
  <c r="K1748" i="1" s="1"/>
  <c r="N1748" i="1" s="1"/>
  <c r="I1749" i="1"/>
  <c r="J1749" i="1" s="1"/>
  <c r="K1749" i="1" s="1"/>
  <c r="N1749" i="1" s="1"/>
  <c r="I1750" i="1"/>
  <c r="J1750" i="1" s="1"/>
  <c r="K1750" i="1" s="1"/>
  <c r="N1750" i="1" s="1"/>
  <c r="I1751" i="1"/>
  <c r="J1751" i="1" s="1"/>
  <c r="K1751" i="1" s="1"/>
  <c r="N1751" i="1" s="1"/>
  <c r="I1752" i="1"/>
  <c r="J1752" i="1" s="1"/>
  <c r="K1752" i="1" s="1"/>
  <c r="N1752" i="1" s="1"/>
  <c r="I1753" i="1"/>
  <c r="J1753" i="1" s="1"/>
  <c r="K1753" i="1" s="1"/>
  <c r="N1753" i="1" s="1"/>
  <c r="I1754" i="1"/>
  <c r="J1754" i="1" s="1"/>
  <c r="K1754" i="1" s="1"/>
  <c r="N1754" i="1" s="1"/>
  <c r="I1755" i="1"/>
  <c r="J1755" i="1" s="1"/>
  <c r="K1755" i="1" s="1"/>
  <c r="N1755" i="1" s="1"/>
  <c r="I1756" i="1"/>
  <c r="J1756" i="1" s="1"/>
  <c r="K1756" i="1" s="1"/>
  <c r="N1756" i="1" s="1"/>
  <c r="I1757" i="1"/>
  <c r="J1757" i="1" s="1"/>
  <c r="K1757" i="1" s="1"/>
  <c r="N1757" i="1" s="1"/>
  <c r="I1758" i="1"/>
  <c r="J1758" i="1" s="1"/>
  <c r="K1758" i="1" s="1"/>
  <c r="N1758" i="1" s="1"/>
  <c r="I1759" i="1"/>
  <c r="J1759" i="1" s="1"/>
  <c r="K1759" i="1" s="1"/>
  <c r="N1759" i="1" s="1"/>
  <c r="I1760" i="1"/>
  <c r="J1760" i="1" s="1"/>
  <c r="K1760" i="1" s="1"/>
  <c r="N1760" i="1" s="1"/>
  <c r="I1761" i="1"/>
  <c r="J1761" i="1" s="1"/>
  <c r="K1761" i="1" s="1"/>
  <c r="N1761" i="1" s="1"/>
  <c r="I1762" i="1"/>
  <c r="J1762" i="1" s="1"/>
  <c r="K1762" i="1" s="1"/>
  <c r="N1762" i="1" s="1"/>
  <c r="I1763" i="1"/>
  <c r="J1763" i="1" s="1"/>
  <c r="K1763" i="1" s="1"/>
  <c r="N1763" i="1" s="1"/>
  <c r="I1764" i="1"/>
  <c r="J1764" i="1" s="1"/>
  <c r="K1764" i="1" s="1"/>
  <c r="N1764" i="1" s="1"/>
  <c r="I1765" i="1"/>
  <c r="J1765" i="1" s="1"/>
  <c r="K1765" i="1" s="1"/>
  <c r="N1765" i="1" s="1"/>
  <c r="I1766" i="1"/>
  <c r="J1766" i="1" s="1"/>
  <c r="K1766" i="1" s="1"/>
  <c r="N1766" i="1" s="1"/>
  <c r="I1767" i="1"/>
  <c r="J1767" i="1" s="1"/>
  <c r="K1767" i="1" s="1"/>
  <c r="N1767" i="1" s="1"/>
  <c r="I1768" i="1"/>
  <c r="J1768" i="1" s="1"/>
  <c r="K1768" i="1" s="1"/>
  <c r="N1768" i="1" s="1"/>
  <c r="I1769" i="1"/>
  <c r="J1769" i="1" s="1"/>
  <c r="K1769" i="1" s="1"/>
  <c r="N1769" i="1" s="1"/>
  <c r="I1770" i="1"/>
  <c r="J1770" i="1" s="1"/>
  <c r="K1770" i="1" s="1"/>
  <c r="N1770" i="1" s="1"/>
  <c r="I1771" i="1"/>
  <c r="J1771" i="1" s="1"/>
  <c r="K1771" i="1" s="1"/>
  <c r="N1771" i="1" s="1"/>
  <c r="I1772" i="1"/>
  <c r="J1772" i="1" s="1"/>
  <c r="K1772" i="1" s="1"/>
  <c r="N1772" i="1" s="1"/>
  <c r="I1773" i="1"/>
  <c r="J1773" i="1" s="1"/>
  <c r="K1773" i="1" s="1"/>
  <c r="N1773" i="1" s="1"/>
  <c r="I1774" i="1"/>
  <c r="J1774" i="1" s="1"/>
  <c r="K1774" i="1" s="1"/>
  <c r="N1774" i="1" s="1"/>
  <c r="I1775" i="1"/>
  <c r="J1775" i="1" s="1"/>
  <c r="K1775" i="1" s="1"/>
  <c r="N1775" i="1" s="1"/>
  <c r="I1776" i="1"/>
  <c r="J1776" i="1" s="1"/>
  <c r="K1776" i="1" s="1"/>
  <c r="N1776" i="1" s="1"/>
  <c r="I1777" i="1"/>
  <c r="J1777" i="1" s="1"/>
  <c r="K1777" i="1" s="1"/>
  <c r="N1777" i="1" s="1"/>
  <c r="I1778" i="1"/>
  <c r="J1778" i="1" s="1"/>
  <c r="K1778" i="1" s="1"/>
  <c r="N1778" i="1" s="1"/>
  <c r="I1779" i="1"/>
  <c r="J1779" i="1" s="1"/>
  <c r="K1779" i="1" s="1"/>
  <c r="N1779" i="1" s="1"/>
  <c r="I1780" i="1"/>
  <c r="J1780" i="1" s="1"/>
  <c r="K1780" i="1" s="1"/>
  <c r="N1780" i="1" s="1"/>
  <c r="I1781" i="1"/>
  <c r="J1781" i="1" s="1"/>
  <c r="K1781" i="1" s="1"/>
  <c r="N1781" i="1" s="1"/>
  <c r="I1782" i="1"/>
  <c r="J1782" i="1" s="1"/>
  <c r="K1782" i="1" s="1"/>
  <c r="N1782" i="1" s="1"/>
  <c r="I1783" i="1"/>
  <c r="J1783" i="1" s="1"/>
  <c r="K1783" i="1" s="1"/>
  <c r="N1783" i="1" s="1"/>
  <c r="I1784" i="1"/>
  <c r="J1784" i="1" s="1"/>
  <c r="K1784" i="1" s="1"/>
  <c r="N1784" i="1" s="1"/>
  <c r="I1785" i="1"/>
  <c r="J1785" i="1" s="1"/>
  <c r="K1785" i="1" s="1"/>
  <c r="N1785" i="1" s="1"/>
  <c r="I1786" i="1"/>
  <c r="J1786" i="1" s="1"/>
  <c r="K1786" i="1" s="1"/>
  <c r="N1786" i="1" s="1"/>
  <c r="I1787" i="1"/>
  <c r="J1787" i="1" s="1"/>
  <c r="K1787" i="1" s="1"/>
  <c r="N1787" i="1" s="1"/>
  <c r="I1788" i="1"/>
  <c r="J1788" i="1" s="1"/>
  <c r="K1788" i="1" s="1"/>
  <c r="N1788" i="1" s="1"/>
  <c r="I1789" i="1"/>
  <c r="J1789" i="1" s="1"/>
  <c r="K1789" i="1" s="1"/>
  <c r="N1789" i="1" s="1"/>
  <c r="I1790" i="1"/>
  <c r="J1790" i="1" s="1"/>
  <c r="K1790" i="1" s="1"/>
  <c r="N1790" i="1" s="1"/>
  <c r="I1791" i="1"/>
  <c r="J1791" i="1" s="1"/>
  <c r="K1791" i="1" s="1"/>
  <c r="N1791" i="1" s="1"/>
  <c r="I1792" i="1"/>
  <c r="J1792" i="1" s="1"/>
  <c r="K1792" i="1" s="1"/>
  <c r="N1792" i="1" s="1"/>
  <c r="I1793" i="1"/>
  <c r="J1793" i="1" s="1"/>
  <c r="K1793" i="1" s="1"/>
  <c r="N1793" i="1" s="1"/>
  <c r="I1794" i="1"/>
  <c r="J1794" i="1" s="1"/>
  <c r="K1794" i="1" s="1"/>
  <c r="N1794" i="1" s="1"/>
  <c r="I1795" i="1"/>
  <c r="J1795" i="1" s="1"/>
  <c r="K1795" i="1" s="1"/>
  <c r="N1795" i="1" s="1"/>
  <c r="I1796" i="1"/>
  <c r="J1796" i="1" s="1"/>
  <c r="K1796" i="1" s="1"/>
  <c r="N1796" i="1" s="1"/>
  <c r="I1797" i="1"/>
  <c r="J1797" i="1" s="1"/>
  <c r="K1797" i="1" s="1"/>
  <c r="N1797" i="1" s="1"/>
  <c r="I1798" i="1"/>
  <c r="J1798" i="1" s="1"/>
  <c r="K1798" i="1" s="1"/>
  <c r="N1798" i="1" s="1"/>
  <c r="I1799" i="1"/>
  <c r="J1799" i="1" s="1"/>
  <c r="K1799" i="1" s="1"/>
  <c r="N1799" i="1" s="1"/>
  <c r="I1800" i="1"/>
  <c r="J1800" i="1" s="1"/>
  <c r="K1800" i="1" s="1"/>
  <c r="N1800" i="1" s="1"/>
  <c r="I1801" i="1"/>
  <c r="J1801" i="1" s="1"/>
  <c r="K1801" i="1" s="1"/>
  <c r="N1801" i="1" s="1"/>
  <c r="I1802" i="1"/>
  <c r="J1802" i="1" s="1"/>
  <c r="K1802" i="1" s="1"/>
  <c r="N1802" i="1" s="1"/>
  <c r="I1803" i="1"/>
  <c r="J1803" i="1" s="1"/>
  <c r="K1803" i="1" s="1"/>
  <c r="N1803" i="1" s="1"/>
  <c r="I1804" i="1"/>
  <c r="J1804" i="1" s="1"/>
  <c r="K1804" i="1" s="1"/>
  <c r="N1804" i="1" s="1"/>
  <c r="I1805" i="1"/>
  <c r="J1805" i="1" s="1"/>
  <c r="K1805" i="1" s="1"/>
  <c r="N1805" i="1" s="1"/>
  <c r="I1806" i="1"/>
  <c r="J1806" i="1" s="1"/>
  <c r="K1806" i="1" s="1"/>
  <c r="N1806" i="1" s="1"/>
  <c r="I1807" i="1"/>
  <c r="J1807" i="1" s="1"/>
  <c r="K1807" i="1" s="1"/>
  <c r="N1807" i="1" s="1"/>
  <c r="I1808" i="1"/>
  <c r="J1808" i="1" s="1"/>
  <c r="K1808" i="1" s="1"/>
  <c r="N1808" i="1" s="1"/>
  <c r="I1809" i="1"/>
  <c r="J1809" i="1" s="1"/>
  <c r="K1809" i="1" s="1"/>
  <c r="N1809" i="1" s="1"/>
  <c r="I1810" i="1"/>
  <c r="J1810" i="1" s="1"/>
  <c r="K1810" i="1" s="1"/>
  <c r="N1810" i="1" s="1"/>
  <c r="I1811" i="1"/>
  <c r="J1811" i="1" s="1"/>
  <c r="K1811" i="1" s="1"/>
  <c r="N1811" i="1" s="1"/>
  <c r="I1812" i="1"/>
  <c r="J1812" i="1" s="1"/>
  <c r="K1812" i="1" s="1"/>
  <c r="N1812" i="1" s="1"/>
  <c r="I1813" i="1"/>
  <c r="J1813" i="1" s="1"/>
  <c r="K1813" i="1" s="1"/>
  <c r="N1813" i="1" s="1"/>
  <c r="I1814" i="1"/>
  <c r="J1814" i="1" s="1"/>
  <c r="K1814" i="1" s="1"/>
  <c r="N1814" i="1" s="1"/>
  <c r="I1815" i="1"/>
  <c r="J1815" i="1" s="1"/>
  <c r="K1815" i="1" s="1"/>
  <c r="N1815" i="1" s="1"/>
  <c r="I1816" i="1"/>
  <c r="J1816" i="1" s="1"/>
  <c r="K1816" i="1" s="1"/>
  <c r="N1816" i="1" s="1"/>
  <c r="I1817" i="1"/>
  <c r="J1817" i="1" s="1"/>
  <c r="K1817" i="1" s="1"/>
  <c r="N1817" i="1" s="1"/>
  <c r="I1818" i="1"/>
  <c r="J1818" i="1" s="1"/>
  <c r="K1818" i="1" s="1"/>
  <c r="N1818" i="1" s="1"/>
  <c r="I1819" i="1"/>
  <c r="J1819" i="1" s="1"/>
  <c r="K1819" i="1" s="1"/>
  <c r="N1819" i="1" s="1"/>
  <c r="I1820" i="1"/>
  <c r="J1820" i="1" s="1"/>
  <c r="K1820" i="1" s="1"/>
  <c r="N1820" i="1" s="1"/>
  <c r="I1821" i="1"/>
  <c r="J1821" i="1" s="1"/>
  <c r="K1821" i="1" s="1"/>
  <c r="N1821" i="1" s="1"/>
  <c r="I1822" i="1"/>
  <c r="J1822" i="1" s="1"/>
  <c r="K1822" i="1" s="1"/>
  <c r="N1822" i="1" s="1"/>
  <c r="I1823" i="1"/>
  <c r="J1823" i="1" s="1"/>
  <c r="K1823" i="1" s="1"/>
  <c r="N1823" i="1" s="1"/>
  <c r="I1824" i="1"/>
  <c r="J1824" i="1" s="1"/>
  <c r="K1824" i="1" s="1"/>
  <c r="N1824" i="1" s="1"/>
  <c r="I1825" i="1"/>
  <c r="J1825" i="1" s="1"/>
  <c r="K1825" i="1" s="1"/>
  <c r="N1825" i="1" s="1"/>
  <c r="I1826" i="1"/>
  <c r="J1826" i="1" s="1"/>
  <c r="K1826" i="1" s="1"/>
  <c r="N1826" i="1" s="1"/>
  <c r="I1827" i="1"/>
  <c r="J1827" i="1" s="1"/>
  <c r="K1827" i="1" s="1"/>
  <c r="N1827" i="1" s="1"/>
  <c r="I1828" i="1"/>
  <c r="J1828" i="1" s="1"/>
  <c r="K1828" i="1" s="1"/>
  <c r="N1828" i="1" s="1"/>
  <c r="I1829" i="1"/>
  <c r="J1829" i="1" s="1"/>
  <c r="K1829" i="1" s="1"/>
  <c r="N1829" i="1" s="1"/>
  <c r="I1830" i="1"/>
  <c r="J1830" i="1" s="1"/>
  <c r="K1830" i="1" s="1"/>
  <c r="N1830" i="1" s="1"/>
  <c r="I1831" i="1"/>
  <c r="J1831" i="1" s="1"/>
  <c r="K1831" i="1" s="1"/>
  <c r="N1831" i="1" s="1"/>
  <c r="I1832" i="1"/>
  <c r="J1832" i="1" s="1"/>
  <c r="K1832" i="1" s="1"/>
  <c r="N1832" i="1" s="1"/>
  <c r="I1833" i="1"/>
  <c r="J1833" i="1" s="1"/>
  <c r="K1833" i="1" s="1"/>
  <c r="N1833" i="1" s="1"/>
  <c r="I1834" i="1"/>
  <c r="J1834" i="1" s="1"/>
  <c r="K1834" i="1" s="1"/>
  <c r="N1834" i="1" s="1"/>
  <c r="I1835" i="1"/>
  <c r="J1835" i="1" s="1"/>
  <c r="K1835" i="1" s="1"/>
  <c r="N1835" i="1" s="1"/>
  <c r="I1836" i="1"/>
  <c r="J1836" i="1" s="1"/>
  <c r="K1836" i="1" s="1"/>
  <c r="N1836" i="1" s="1"/>
  <c r="I1837" i="1"/>
  <c r="J1837" i="1" s="1"/>
  <c r="K1837" i="1" s="1"/>
  <c r="N1837" i="1" s="1"/>
  <c r="I1838" i="1"/>
  <c r="J1838" i="1" s="1"/>
  <c r="K1838" i="1" s="1"/>
  <c r="N1838" i="1" s="1"/>
  <c r="I1839" i="1"/>
  <c r="J1839" i="1" s="1"/>
  <c r="K1839" i="1" s="1"/>
  <c r="N1839" i="1" s="1"/>
  <c r="I1840" i="1"/>
  <c r="J1840" i="1" s="1"/>
  <c r="K1840" i="1" s="1"/>
  <c r="N1840" i="1" s="1"/>
  <c r="I1841" i="1"/>
  <c r="J1841" i="1" s="1"/>
  <c r="K1841" i="1" s="1"/>
  <c r="N1841" i="1" s="1"/>
  <c r="I1842" i="1"/>
  <c r="J1842" i="1" s="1"/>
  <c r="K1842" i="1" s="1"/>
  <c r="N1842" i="1" s="1"/>
  <c r="I1843" i="1"/>
  <c r="J1843" i="1" s="1"/>
  <c r="K1843" i="1" s="1"/>
  <c r="N1843" i="1" s="1"/>
  <c r="I1844" i="1"/>
  <c r="J1844" i="1" s="1"/>
  <c r="K1844" i="1" s="1"/>
  <c r="N1844" i="1" s="1"/>
  <c r="I1845" i="1"/>
  <c r="J1845" i="1" s="1"/>
  <c r="K1845" i="1" s="1"/>
  <c r="N1845" i="1" s="1"/>
  <c r="I1846" i="1"/>
  <c r="J1846" i="1" s="1"/>
  <c r="K1846" i="1" s="1"/>
  <c r="N1846" i="1" s="1"/>
  <c r="I1847" i="1"/>
  <c r="J1847" i="1" s="1"/>
  <c r="K1847" i="1" s="1"/>
  <c r="N1847" i="1" s="1"/>
  <c r="I1848" i="1"/>
  <c r="J1848" i="1" s="1"/>
  <c r="K1848" i="1" s="1"/>
  <c r="N1848" i="1" s="1"/>
  <c r="I1849" i="1"/>
  <c r="J1849" i="1" s="1"/>
  <c r="K1849" i="1" s="1"/>
  <c r="N1849" i="1" s="1"/>
  <c r="I1850" i="1"/>
  <c r="J1850" i="1" s="1"/>
  <c r="K1850" i="1" s="1"/>
  <c r="N1850" i="1" s="1"/>
  <c r="I1851" i="1"/>
  <c r="J1851" i="1" s="1"/>
  <c r="K1851" i="1" s="1"/>
  <c r="N1851" i="1" s="1"/>
  <c r="I1852" i="1"/>
  <c r="J1852" i="1" s="1"/>
  <c r="K1852" i="1" s="1"/>
  <c r="N1852" i="1" s="1"/>
  <c r="I1853" i="1"/>
  <c r="J1853" i="1" s="1"/>
  <c r="K1853" i="1" s="1"/>
  <c r="N1853" i="1" s="1"/>
  <c r="I1854" i="1"/>
  <c r="J1854" i="1" s="1"/>
  <c r="K1854" i="1" s="1"/>
  <c r="N1854" i="1" s="1"/>
  <c r="I1855" i="1"/>
  <c r="J1855" i="1" s="1"/>
  <c r="K1855" i="1" s="1"/>
  <c r="N1855" i="1" s="1"/>
  <c r="I1856" i="1"/>
  <c r="J1856" i="1" s="1"/>
  <c r="K1856" i="1" s="1"/>
  <c r="N1856" i="1" s="1"/>
  <c r="I1857" i="1"/>
  <c r="J1857" i="1" s="1"/>
  <c r="K1857" i="1" s="1"/>
  <c r="N1857" i="1" s="1"/>
  <c r="I1858" i="1"/>
  <c r="J1858" i="1" s="1"/>
  <c r="K1858" i="1" s="1"/>
  <c r="N1858" i="1" s="1"/>
  <c r="I1859" i="1"/>
  <c r="J1859" i="1" s="1"/>
  <c r="K1859" i="1" s="1"/>
  <c r="N1859" i="1" s="1"/>
  <c r="I1860" i="1"/>
  <c r="J1860" i="1" s="1"/>
  <c r="K1860" i="1" s="1"/>
  <c r="N1860" i="1" s="1"/>
  <c r="I1861" i="1"/>
  <c r="J1861" i="1" s="1"/>
  <c r="K1861" i="1" s="1"/>
  <c r="N1861" i="1" s="1"/>
  <c r="I1862" i="1"/>
  <c r="J1862" i="1" s="1"/>
  <c r="K1862" i="1" s="1"/>
  <c r="N1862" i="1" s="1"/>
  <c r="I1863" i="1"/>
  <c r="J1863" i="1" s="1"/>
  <c r="K1863" i="1" s="1"/>
  <c r="N1863" i="1" s="1"/>
  <c r="I1864" i="1"/>
  <c r="J1864" i="1" s="1"/>
  <c r="K1864" i="1" s="1"/>
  <c r="N1864" i="1" s="1"/>
  <c r="I1865" i="1"/>
  <c r="J1865" i="1" s="1"/>
  <c r="K1865" i="1" s="1"/>
  <c r="N1865" i="1" s="1"/>
  <c r="I1866" i="1"/>
  <c r="J1866" i="1" s="1"/>
  <c r="K1866" i="1" s="1"/>
  <c r="N1866" i="1" s="1"/>
  <c r="I1867" i="1"/>
  <c r="J1867" i="1" s="1"/>
  <c r="K1867" i="1" s="1"/>
  <c r="N1867" i="1" s="1"/>
  <c r="I1868" i="1"/>
  <c r="J1868" i="1" s="1"/>
  <c r="K1868" i="1" s="1"/>
  <c r="N1868" i="1" s="1"/>
  <c r="I1869" i="1"/>
  <c r="J1869" i="1" s="1"/>
  <c r="K1869" i="1" s="1"/>
  <c r="N1869" i="1" s="1"/>
  <c r="I1870" i="1"/>
  <c r="J1870" i="1" s="1"/>
  <c r="K1870" i="1" s="1"/>
  <c r="N1870" i="1" s="1"/>
  <c r="I1871" i="1"/>
  <c r="J1871" i="1" s="1"/>
  <c r="K1871" i="1" s="1"/>
  <c r="N1871" i="1" s="1"/>
  <c r="I1872" i="1"/>
  <c r="J1872" i="1" s="1"/>
  <c r="K1872" i="1" s="1"/>
  <c r="N1872" i="1" s="1"/>
  <c r="I1873" i="1"/>
  <c r="J1873" i="1" s="1"/>
  <c r="K1873" i="1" s="1"/>
  <c r="N1873" i="1" s="1"/>
  <c r="I1874" i="1"/>
  <c r="J1874" i="1" s="1"/>
  <c r="K1874" i="1" s="1"/>
  <c r="N1874" i="1" s="1"/>
  <c r="I1875" i="1"/>
  <c r="J1875" i="1" s="1"/>
  <c r="K1875" i="1" s="1"/>
  <c r="N1875" i="1" s="1"/>
  <c r="I1876" i="1"/>
  <c r="J1876" i="1" s="1"/>
  <c r="K1876" i="1" s="1"/>
  <c r="N1876" i="1" s="1"/>
  <c r="I1877" i="1"/>
  <c r="J1877" i="1" s="1"/>
  <c r="K1877" i="1" s="1"/>
  <c r="N1877" i="1" s="1"/>
  <c r="I1878" i="1"/>
  <c r="J1878" i="1" s="1"/>
  <c r="K1878" i="1" s="1"/>
  <c r="N1878" i="1" s="1"/>
  <c r="I1879" i="1"/>
  <c r="J1879" i="1" s="1"/>
  <c r="K1879" i="1" s="1"/>
  <c r="N1879" i="1" s="1"/>
  <c r="I1880" i="1"/>
  <c r="J1880" i="1" s="1"/>
  <c r="K1880" i="1" s="1"/>
  <c r="N1880" i="1" s="1"/>
  <c r="I1881" i="1"/>
  <c r="J1881" i="1" s="1"/>
  <c r="K1881" i="1" s="1"/>
  <c r="N1881" i="1" s="1"/>
  <c r="I1882" i="1"/>
  <c r="J1882" i="1" s="1"/>
  <c r="K1882" i="1" s="1"/>
  <c r="N1882" i="1" s="1"/>
  <c r="I1883" i="1"/>
  <c r="J1883" i="1" s="1"/>
  <c r="K1883" i="1" s="1"/>
  <c r="N1883" i="1" s="1"/>
  <c r="I1884" i="1"/>
  <c r="J1884" i="1" s="1"/>
  <c r="K1884" i="1" s="1"/>
  <c r="N1884" i="1" s="1"/>
  <c r="I1885" i="1"/>
  <c r="J1885" i="1" s="1"/>
  <c r="K1885" i="1" s="1"/>
  <c r="N1885" i="1" s="1"/>
  <c r="I1886" i="1"/>
  <c r="J1886" i="1" s="1"/>
  <c r="K1886" i="1" s="1"/>
  <c r="N1886" i="1" s="1"/>
  <c r="I1887" i="1"/>
  <c r="J1887" i="1" s="1"/>
  <c r="K1887" i="1" s="1"/>
  <c r="N1887" i="1" s="1"/>
  <c r="I1888" i="1"/>
  <c r="J1888" i="1" s="1"/>
  <c r="K1888" i="1" s="1"/>
  <c r="N1888" i="1" s="1"/>
  <c r="I1889" i="1"/>
  <c r="J1889" i="1" s="1"/>
  <c r="K1889" i="1" s="1"/>
  <c r="N1889" i="1" s="1"/>
  <c r="I1890" i="1"/>
  <c r="J1890" i="1" s="1"/>
  <c r="K1890" i="1" s="1"/>
  <c r="N1890" i="1" s="1"/>
  <c r="I1891" i="1"/>
  <c r="J1891" i="1" s="1"/>
  <c r="K1891" i="1" s="1"/>
  <c r="N1891" i="1" s="1"/>
  <c r="I1892" i="1"/>
  <c r="J1892" i="1" s="1"/>
  <c r="K1892" i="1" s="1"/>
  <c r="N1892" i="1" s="1"/>
  <c r="I1893" i="1"/>
  <c r="J1893" i="1" s="1"/>
  <c r="K1893" i="1" s="1"/>
  <c r="N1893" i="1" s="1"/>
  <c r="I1894" i="1"/>
  <c r="J1894" i="1" s="1"/>
  <c r="K1894" i="1" s="1"/>
  <c r="N1894" i="1" s="1"/>
  <c r="I1895" i="1"/>
  <c r="J1895" i="1" s="1"/>
  <c r="K1895" i="1" s="1"/>
  <c r="N1895" i="1" s="1"/>
  <c r="I1896" i="1"/>
  <c r="J1896" i="1" s="1"/>
  <c r="K1896" i="1" s="1"/>
  <c r="N1896" i="1" s="1"/>
  <c r="I1897" i="1"/>
  <c r="J1897" i="1" s="1"/>
  <c r="K1897" i="1" s="1"/>
  <c r="N1897" i="1" s="1"/>
  <c r="I1898" i="1"/>
  <c r="J1898" i="1" s="1"/>
  <c r="K1898" i="1" s="1"/>
  <c r="N1898" i="1" s="1"/>
  <c r="I1899" i="1"/>
  <c r="J1899" i="1" s="1"/>
  <c r="K1899" i="1" s="1"/>
  <c r="N1899" i="1" s="1"/>
  <c r="I1900" i="1"/>
  <c r="J1900" i="1" s="1"/>
  <c r="K1900" i="1" s="1"/>
  <c r="N1900" i="1" s="1"/>
  <c r="I1901" i="1"/>
  <c r="J1901" i="1" s="1"/>
  <c r="K1901" i="1" s="1"/>
  <c r="N1901" i="1" s="1"/>
  <c r="I1902" i="1"/>
  <c r="J1902" i="1" s="1"/>
  <c r="K1902" i="1" s="1"/>
  <c r="N1902" i="1" s="1"/>
  <c r="I1903" i="1"/>
  <c r="J1903" i="1" s="1"/>
  <c r="K1903" i="1" s="1"/>
  <c r="N1903" i="1" s="1"/>
  <c r="I1904" i="1"/>
  <c r="J1904" i="1" s="1"/>
  <c r="K1904" i="1" s="1"/>
  <c r="N1904" i="1" s="1"/>
  <c r="I1905" i="1"/>
  <c r="J1905" i="1" s="1"/>
  <c r="K1905" i="1" s="1"/>
  <c r="N1905" i="1" s="1"/>
  <c r="I1906" i="1"/>
  <c r="J1906" i="1" s="1"/>
  <c r="K1906" i="1" s="1"/>
  <c r="N1906" i="1" s="1"/>
  <c r="I1907" i="1"/>
  <c r="J1907" i="1" s="1"/>
  <c r="K1907" i="1" s="1"/>
  <c r="N1907" i="1" s="1"/>
  <c r="I1908" i="1"/>
  <c r="J1908" i="1" s="1"/>
  <c r="K1908" i="1" s="1"/>
  <c r="N1908" i="1" s="1"/>
  <c r="I1909" i="1"/>
  <c r="J1909" i="1" s="1"/>
  <c r="K1909" i="1" s="1"/>
  <c r="N1909" i="1" s="1"/>
  <c r="I1910" i="1"/>
  <c r="J1910" i="1" s="1"/>
  <c r="K1910" i="1" s="1"/>
  <c r="N1910" i="1" s="1"/>
  <c r="I1911" i="1"/>
  <c r="J1911" i="1" s="1"/>
  <c r="K1911" i="1" s="1"/>
  <c r="N1911" i="1" s="1"/>
  <c r="I1912" i="1"/>
  <c r="J1912" i="1" s="1"/>
  <c r="K1912" i="1" s="1"/>
  <c r="N1912" i="1" s="1"/>
  <c r="I1913" i="1"/>
  <c r="J1913" i="1" s="1"/>
  <c r="K1913" i="1" s="1"/>
  <c r="N1913" i="1" s="1"/>
  <c r="I1914" i="1"/>
  <c r="J1914" i="1" s="1"/>
  <c r="K1914" i="1" s="1"/>
  <c r="N1914" i="1" s="1"/>
  <c r="I1915" i="1"/>
  <c r="J1915" i="1" s="1"/>
  <c r="K1915" i="1" s="1"/>
  <c r="N1915" i="1" s="1"/>
  <c r="I1916" i="1"/>
  <c r="J1916" i="1" s="1"/>
  <c r="K1916" i="1" s="1"/>
  <c r="N1916" i="1" s="1"/>
  <c r="I1917" i="1"/>
  <c r="J1917" i="1" s="1"/>
  <c r="K1917" i="1" s="1"/>
  <c r="N1917" i="1" s="1"/>
  <c r="I1918" i="1"/>
  <c r="J1918" i="1" s="1"/>
  <c r="K1918" i="1" s="1"/>
  <c r="N1918" i="1" s="1"/>
  <c r="I1919" i="1"/>
  <c r="J1919" i="1" s="1"/>
  <c r="K1919" i="1" s="1"/>
  <c r="N1919" i="1" s="1"/>
  <c r="I1920" i="1"/>
  <c r="J1920" i="1" s="1"/>
  <c r="K1920" i="1" s="1"/>
  <c r="N1920" i="1" s="1"/>
  <c r="I1921" i="1"/>
  <c r="J1921" i="1" s="1"/>
  <c r="K1921" i="1" s="1"/>
  <c r="N1921" i="1" s="1"/>
  <c r="I1922" i="1"/>
  <c r="J1922" i="1" s="1"/>
  <c r="K1922" i="1" s="1"/>
  <c r="N1922" i="1" s="1"/>
  <c r="I1923" i="1"/>
  <c r="J1923" i="1" s="1"/>
  <c r="K1923" i="1" s="1"/>
  <c r="N1923" i="1" s="1"/>
  <c r="I1924" i="1"/>
  <c r="J1924" i="1" s="1"/>
  <c r="K1924" i="1" s="1"/>
  <c r="N1924" i="1" s="1"/>
  <c r="I1925" i="1"/>
  <c r="J1925" i="1" s="1"/>
  <c r="K1925" i="1" s="1"/>
  <c r="N1925" i="1" s="1"/>
  <c r="I1926" i="1"/>
  <c r="J1926" i="1" s="1"/>
  <c r="K1926" i="1" s="1"/>
  <c r="N1926" i="1" s="1"/>
  <c r="I1927" i="1"/>
  <c r="J1927" i="1" s="1"/>
  <c r="K1927" i="1" s="1"/>
  <c r="N1927" i="1" s="1"/>
  <c r="I1928" i="1"/>
  <c r="J1928" i="1" s="1"/>
  <c r="K1928" i="1" s="1"/>
  <c r="N1928" i="1" s="1"/>
  <c r="I1929" i="1"/>
  <c r="J1929" i="1" s="1"/>
  <c r="K1929" i="1" s="1"/>
  <c r="N1929" i="1" s="1"/>
  <c r="I1930" i="1"/>
  <c r="J1930" i="1" s="1"/>
  <c r="K1930" i="1" s="1"/>
  <c r="N1930" i="1" s="1"/>
  <c r="I1931" i="1"/>
  <c r="J1931" i="1" s="1"/>
  <c r="K1931" i="1" s="1"/>
  <c r="N1931" i="1" s="1"/>
  <c r="I1932" i="1"/>
  <c r="J1932" i="1" s="1"/>
  <c r="K1932" i="1" s="1"/>
  <c r="N1932" i="1" s="1"/>
  <c r="I1933" i="1"/>
  <c r="J1933" i="1" s="1"/>
  <c r="K1933" i="1" s="1"/>
  <c r="N1933" i="1" s="1"/>
  <c r="I1934" i="1"/>
  <c r="J1934" i="1" s="1"/>
  <c r="K1934" i="1" s="1"/>
  <c r="N1934" i="1" s="1"/>
  <c r="I1935" i="1"/>
  <c r="J1935" i="1" s="1"/>
  <c r="K1935" i="1" s="1"/>
  <c r="N1935" i="1" s="1"/>
  <c r="I1936" i="1"/>
  <c r="J1936" i="1" s="1"/>
  <c r="K1936" i="1" s="1"/>
  <c r="N1936" i="1" s="1"/>
  <c r="I1937" i="1"/>
  <c r="J1937" i="1" s="1"/>
  <c r="K1937" i="1" s="1"/>
  <c r="N1937" i="1" s="1"/>
  <c r="I1938" i="1"/>
  <c r="J1938" i="1" s="1"/>
  <c r="K1938" i="1" s="1"/>
  <c r="N1938" i="1" s="1"/>
  <c r="I1939" i="1"/>
  <c r="J1939" i="1" s="1"/>
  <c r="K1939" i="1" s="1"/>
  <c r="N1939" i="1" s="1"/>
  <c r="I1940" i="1"/>
  <c r="J1940" i="1" s="1"/>
  <c r="K1940" i="1" s="1"/>
  <c r="N1940" i="1" s="1"/>
  <c r="I1941" i="1"/>
  <c r="J1941" i="1" s="1"/>
  <c r="K1941" i="1" s="1"/>
  <c r="N1941" i="1" s="1"/>
  <c r="I1942" i="1"/>
  <c r="J1942" i="1" s="1"/>
  <c r="K1942" i="1" s="1"/>
  <c r="N1942" i="1" s="1"/>
  <c r="I1943" i="1"/>
  <c r="J1943" i="1" s="1"/>
  <c r="K1943" i="1" s="1"/>
  <c r="N1943" i="1" s="1"/>
  <c r="I1944" i="1"/>
  <c r="J1944" i="1" s="1"/>
  <c r="K1944" i="1" s="1"/>
  <c r="N1944" i="1" s="1"/>
  <c r="I1945" i="1"/>
  <c r="J1945" i="1" s="1"/>
  <c r="K1945" i="1" s="1"/>
  <c r="N1945" i="1" s="1"/>
  <c r="I1946" i="1"/>
  <c r="J1946" i="1" s="1"/>
  <c r="K1946" i="1" s="1"/>
  <c r="N1946" i="1" s="1"/>
  <c r="I1947" i="1"/>
  <c r="J1947" i="1" s="1"/>
  <c r="K1947" i="1" s="1"/>
  <c r="N1947" i="1" s="1"/>
  <c r="I1948" i="1"/>
  <c r="J1948" i="1" s="1"/>
  <c r="K1948" i="1" s="1"/>
  <c r="N1948" i="1" s="1"/>
  <c r="I1949" i="1"/>
  <c r="J1949" i="1" s="1"/>
  <c r="K1949" i="1" s="1"/>
  <c r="N1949" i="1" s="1"/>
  <c r="I1950" i="1"/>
  <c r="J1950" i="1" s="1"/>
  <c r="K1950" i="1" s="1"/>
  <c r="N1950" i="1" s="1"/>
  <c r="I1951" i="1"/>
  <c r="J1951" i="1" s="1"/>
  <c r="K1951" i="1" s="1"/>
  <c r="N1951" i="1" s="1"/>
  <c r="I1952" i="1"/>
  <c r="J1952" i="1" s="1"/>
  <c r="K1952" i="1" s="1"/>
  <c r="N1952" i="1" s="1"/>
  <c r="I1953" i="1"/>
  <c r="J1953" i="1" s="1"/>
  <c r="K1953" i="1" s="1"/>
  <c r="N1953" i="1" s="1"/>
  <c r="I1954" i="1"/>
  <c r="J1954" i="1" s="1"/>
  <c r="K1954" i="1" s="1"/>
  <c r="N1954" i="1" s="1"/>
  <c r="I1955" i="1"/>
  <c r="J1955" i="1" s="1"/>
  <c r="K1955" i="1" s="1"/>
  <c r="N1955" i="1" s="1"/>
  <c r="I1956" i="1"/>
  <c r="J1956" i="1" s="1"/>
  <c r="K1956" i="1" s="1"/>
  <c r="N1956" i="1" s="1"/>
  <c r="I1957" i="1"/>
  <c r="J1957" i="1" s="1"/>
  <c r="K1957" i="1" s="1"/>
  <c r="N1957" i="1" s="1"/>
  <c r="I1958" i="1"/>
  <c r="J1958" i="1" s="1"/>
  <c r="K1958" i="1" s="1"/>
  <c r="N1958" i="1" s="1"/>
  <c r="I1959" i="1"/>
  <c r="J1959" i="1" s="1"/>
  <c r="K1959" i="1" s="1"/>
  <c r="N1959" i="1" s="1"/>
  <c r="I1960" i="1"/>
  <c r="J1960" i="1" s="1"/>
  <c r="K1960" i="1" s="1"/>
  <c r="N1960" i="1" s="1"/>
  <c r="I1961" i="1"/>
  <c r="J1961" i="1" s="1"/>
  <c r="K1961" i="1" s="1"/>
  <c r="N1961" i="1" s="1"/>
  <c r="I1962" i="1"/>
  <c r="J1962" i="1" s="1"/>
  <c r="K1962" i="1" s="1"/>
  <c r="N1962" i="1" s="1"/>
  <c r="I1963" i="1"/>
  <c r="J1963" i="1" s="1"/>
  <c r="K1963" i="1" s="1"/>
  <c r="N1963" i="1" s="1"/>
  <c r="I1964" i="1"/>
  <c r="J1964" i="1" s="1"/>
  <c r="K1964" i="1" s="1"/>
  <c r="N1964" i="1" s="1"/>
  <c r="I1965" i="1"/>
  <c r="J1965" i="1" s="1"/>
  <c r="K1965" i="1" s="1"/>
  <c r="N1965" i="1" s="1"/>
  <c r="I1966" i="1"/>
  <c r="J1966" i="1" s="1"/>
  <c r="K1966" i="1" s="1"/>
  <c r="N1966" i="1" s="1"/>
  <c r="I1967" i="1"/>
  <c r="J1967" i="1" s="1"/>
  <c r="K1967" i="1" s="1"/>
  <c r="N1967" i="1" s="1"/>
  <c r="I1968" i="1"/>
  <c r="J1968" i="1" s="1"/>
  <c r="K1968" i="1" s="1"/>
  <c r="N1968" i="1" s="1"/>
  <c r="I1969" i="1"/>
  <c r="J1969" i="1" s="1"/>
  <c r="K1969" i="1" s="1"/>
  <c r="N1969" i="1" s="1"/>
  <c r="I1970" i="1"/>
  <c r="J1970" i="1" s="1"/>
  <c r="K1970" i="1" s="1"/>
  <c r="N1970" i="1" s="1"/>
  <c r="I1971" i="1"/>
  <c r="J1971" i="1" s="1"/>
  <c r="K1971" i="1" s="1"/>
  <c r="N1971" i="1" s="1"/>
  <c r="I1972" i="1"/>
  <c r="J1972" i="1" s="1"/>
  <c r="K1972" i="1" s="1"/>
  <c r="N1972" i="1" s="1"/>
  <c r="I1973" i="1"/>
  <c r="J1973" i="1" s="1"/>
  <c r="K1973" i="1" s="1"/>
  <c r="N1973" i="1" s="1"/>
  <c r="I1974" i="1"/>
  <c r="J1974" i="1" s="1"/>
  <c r="K1974" i="1" s="1"/>
  <c r="N1974" i="1" s="1"/>
  <c r="I1975" i="1"/>
  <c r="J1975" i="1" s="1"/>
  <c r="K1975" i="1" s="1"/>
  <c r="N1975" i="1" s="1"/>
  <c r="I1976" i="1"/>
  <c r="J1976" i="1" s="1"/>
  <c r="K1976" i="1" s="1"/>
  <c r="N1976" i="1" s="1"/>
  <c r="I1977" i="1"/>
  <c r="J1977" i="1" s="1"/>
  <c r="K1977" i="1" s="1"/>
  <c r="N1977" i="1" s="1"/>
  <c r="I1978" i="1"/>
  <c r="J1978" i="1" s="1"/>
  <c r="K1978" i="1" s="1"/>
  <c r="N1978" i="1" s="1"/>
  <c r="I1979" i="1"/>
  <c r="J1979" i="1" s="1"/>
  <c r="K1979" i="1" s="1"/>
  <c r="N1979" i="1" s="1"/>
  <c r="I1980" i="1"/>
  <c r="J1980" i="1" s="1"/>
  <c r="K1980" i="1" s="1"/>
  <c r="N1980" i="1" s="1"/>
  <c r="I1981" i="1"/>
  <c r="J1981" i="1" s="1"/>
  <c r="K1981" i="1" s="1"/>
  <c r="N1981" i="1" s="1"/>
  <c r="I1982" i="1"/>
  <c r="J1982" i="1" s="1"/>
  <c r="K1982" i="1" s="1"/>
  <c r="N1982" i="1" s="1"/>
  <c r="I1983" i="1"/>
  <c r="J1983" i="1" s="1"/>
  <c r="K1983" i="1" s="1"/>
  <c r="N1983" i="1" s="1"/>
  <c r="I1984" i="1"/>
  <c r="J1984" i="1" s="1"/>
  <c r="K1984" i="1" s="1"/>
  <c r="N1984" i="1" s="1"/>
  <c r="I1985" i="1"/>
  <c r="J1985" i="1" s="1"/>
  <c r="K1985" i="1" s="1"/>
  <c r="N1985" i="1" s="1"/>
  <c r="I1986" i="1"/>
  <c r="J1986" i="1" s="1"/>
  <c r="K1986" i="1" s="1"/>
  <c r="N1986" i="1" s="1"/>
  <c r="I1987" i="1"/>
  <c r="J1987" i="1" s="1"/>
  <c r="K1987" i="1" s="1"/>
  <c r="N1987" i="1" s="1"/>
  <c r="I1988" i="1"/>
  <c r="J1988" i="1" s="1"/>
  <c r="K1988" i="1" s="1"/>
  <c r="N1988" i="1" s="1"/>
  <c r="I1989" i="1"/>
  <c r="J1989" i="1" s="1"/>
  <c r="K1989" i="1" s="1"/>
  <c r="N1989" i="1" s="1"/>
  <c r="I1990" i="1"/>
  <c r="J1990" i="1" s="1"/>
  <c r="K1990" i="1" s="1"/>
  <c r="N1990" i="1" s="1"/>
  <c r="I1991" i="1"/>
  <c r="J1991" i="1" s="1"/>
  <c r="K1991" i="1" s="1"/>
  <c r="N1991" i="1" s="1"/>
  <c r="I1992" i="1"/>
  <c r="J1992" i="1" s="1"/>
  <c r="K1992" i="1" s="1"/>
  <c r="N1992" i="1" s="1"/>
  <c r="I1993" i="1"/>
  <c r="J1993" i="1" s="1"/>
  <c r="K1993" i="1" s="1"/>
  <c r="N1993" i="1" s="1"/>
  <c r="I1994" i="1"/>
  <c r="J1994" i="1" s="1"/>
  <c r="K1994" i="1" s="1"/>
  <c r="N1994" i="1" s="1"/>
  <c r="I1995" i="1"/>
  <c r="J1995" i="1" s="1"/>
  <c r="K1995" i="1" s="1"/>
  <c r="N1995" i="1" s="1"/>
  <c r="I1996" i="1"/>
  <c r="J1996" i="1" s="1"/>
  <c r="K1996" i="1" s="1"/>
  <c r="N1996" i="1" s="1"/>
  <c r="I1997" i="1"/>
  <c r="J1997" i="1" s="1"/>
  <c r="K1997" i="1" s="1"/>
  <c r="N1997" i="1" s="1"/>
  <c r="I1998" i="1"/>
  <c r="J1998" i="1" s="1"/>
  <c r="K1998" i="1" s="1"/>
  <c r="N1998" i="1" s="1"/>
  <c r="I1999" i="1"/>
  <c r="J1999" i="1" s="1"/>
  <c r="K1999" i="1" s="1"/>
  <c r="N1999" i="1" s="1"/>
  <c r="I2000" i="1"/>
  <c r="J2000" i="1" s="1"/>
  <c r="K2000" i="1" s="1"/>
  <c r="N2000" i="1" s="1"/>
  <c r="I2001" i="1"/>
  <c r="J2001" i="1" s="1"/>
  <c r="K2001" i="1" s="1"/>
  <c r="N2001" i="1" s="1"/>
  <c r="I5" i="1"/>
  <c r="J5" i="1" s="1"/>
  <c r="K5" i="1" s="1"/>
  <c r="N5" i="1" s="1"/>
  <c r="I6" i="1"/>
  <c r="J6" i="1" s="1"/>
  <c r="K6" i="1" s="1"/>
  <c r="N6" i="1" s="1"/>
  <c r="I7" i="1"/>
  <c r="J7" i="1" s="1"/>
  <c r="K7" i="1" s="1"/>
  <c r="N7" i="1" s="1"/>
  <c r="I8" i="1"/>
  <c r="J8" i="1" s="1"/>
  <c r="K8" i="1" s="1"/>
  <c r="N8" i="1" s="1"/>
  <c r="I9" i="1"/>
  <c r="J9" i="1" s="1"/>
  <c r="K9" i="1" s="1"/>
  <c r="N9" i="1" s="1"/>
  <c r="I10" i="1"/>
  <c r="J10" i="1" s="1"/>
  <c r="K10" i="1" s="1"/>
  <c r="N10" i="1" s="1"/>
  <c r="I4" i="1"/>
  <c r="J4" i="1" s="1"/>
  <c r="K4" i="1" s="1"/>
  <c r="N4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53" i="1"/>
  <c r="E54" i="1"/>
  <c r="E55" i="1"/>
  <c r="E56" i="1"/>
  <c r="E57" i="1"/>
  <c r="E58" i="1"/>
  <c r="E59" i="1"/>
  <c r="E60" i="1"/>
  <c r="E61" i="1"/>
  <c r="E62" i="1"/>
  <c r="E63" i="1"/>
  <c r="E6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4" i="1"/>
  <c r="P6" i="1" l="1"/>
  <c r="P4" i="1"/>
  <c r="H2000" i="1"/>
  <c r="L2000" i="1" s="1"/>
  <c r="H1996" i="1"/>
  <c r="L1996" i="1" s="1"/>
  <c r="H1992" i="1"/>
  <c r="L1992" i="1" s="1"/>
  <c r="H1988" i="1"/>
  <c r="L1988" i="1" s="1"/>
  <c r="H1984" i="1"/>
  <c r="L1984" i="1" s="1"/>
  <c r="H1980" i="1"/>
  <c r="L1980" i="1" s="1"/>
  <c r="H1976" i="1"/>
  <c r="L1976" i="1" s="1"/>
  <c r="H1972" i="1"/>
  <c r="L1972" i="1" s="1"/>
  <c r="H1968" i="1"/>
  <c r="L1968" i="1" s="1"/>
  <c r="H1964" i="1"/>
  <c r="L1964" i="1" s="1"/>
  <c r="H1960" i="1"/>
  <c r="L1960" i="1" s="1"/>
  <c r="H1956" i="1"/>
  <c r="L1956" i="1" s="1"/>
  <c r="H1952" i="1"/>
  <c r="L1952" i="1" s="1"/>
  <c r="H1948" i="1"/>
  <c r="L1948" i="1" s="1"/>
  <c r="H1944" i="1"/>
  <c r="L1944" i="1" s="1"/>
  <c r="H1940" i="1"/>
  <c r="L1940" i="1" s="1"/>
  <c r="H1936" i="1"/>
  <c r="L1936" i="1" s="1"/>
  <c r="H1932" i="1"/>
  <c r="L1932" i="1" s="1"/>
  <c r="H1928" i="1"/>
  <c r="L1928" i="1" s="1"/>
  <c r="H1924" i="1"/>
  <c r="L1924" i="1" s="1"/>
  <c r="H1920" i="1"/>
  <c r="L1920" i="1" s="1"/>
  <c r="H1916" i="1"/>
  <c r="L1916" i="1" s="1"/>
  <c r="H1912" i="1"/>
  <c r="L1912" i="1" s="1"/>
  <c r="H1908" i="1"/>
  <c r="L1908" i="1" s="1"/>
  <c r="H1904" i="1"/>
  <c r="L1904" i="1" s="1"/>
  <c r="H1900" i="1"/>
  <c r="L1900" i="1" s="1"/>
  <c r="H1896" i="1"/>
  <c r="L1896" i="1" s="1"/>
  <c r="H1892" i="1"/>
  <c r="L1892" i="1" s="1"/>
  <c r="H1888" i="1"/>
  <c r="L1888" i="1" s="1"/>
  <c r="H1884" i="1"/>
  <c r="L1884" i="1" s="1"/>
  <c r="H1880" i="1"/>
  <c r="L1880" i="1" s="1"/>
  <c r="H1876" i="1"/>
  <c r="L1876" i="1" s="1"/>
  <c r="H1872" i="1"/>
  <c r="L1872" i="1" s="1"/>
  <c r="H1868" i="1"/>
  <c r="L1868" i="1" s="1"/>
  <c r="H1864" i="1"/>
  <c r="L1864" i="1" s="1"/>
  <c r="H1860" i="1"/>
  <c r="L1860" i="1" s="1"/>
  <c r="H1856" i="1"/>
  <c r="L1856" i="1" s="1"/>
  <c r="H1852" i="1"/>
  <c r="L1852" i="1" s="1"/>
  <c r="H1848" i="1"/>
  <c r="L1848" i="1" s="1"/>
  <c r="H1844" i="1"/>
  <c r="L1844" i="1" s="1"/>
  <c r="H1840" i="1"/>
  <c r="L1840" i="1" s="1"/>
  <c r="H1836" i="1"/>
  <c r="L1836" i="1" s="1"/>
  <c r="H1832" i="1"/>
  <c r="L1832" i="1" s="1"/>
  <c r="H1828" i="1"/>
  <c r="L1828" i="1" s="1"/>
  <c r="H1824" i="1"/>
  <c r="L1824" i="1" s="1"/>
  <c r="H1820" i="1"/>
  <c r="L1820" i="1" s="1"/>
  <c r="H1816" i="1"/>
  <c r="L1816" i="1" s="1"/>
  <c r="H1812" i="1"/>
  <c r="L1812" i="1" s="1"/>
  <c r="H1808" i="1"/>
  <c r="L1808" i="1" s="1"/>
  <c r="H1804" i="1"/>
  <c r="L1804" i="1" s="1"/>
  <c r="H1800" i="1"/>
  <c r="L1800" i="1" s="1"/>
  <c r="H1796" i="1"/>
  <c r="L1796" i="1" s="1"/>
  <c r="H1792" i="1"/>
  <c r="L1792" i="1" s="1"/>
  <c r="H1788" i="1"/>
  <c r="L1788" i="1" s="1"/>
  <c r="H1784" i="1"/>
  <c r="L1784" i="1" s="1"/>
  <c r="H1780" i="1"/>
  <c r="L1780" i="1" s="1"/>
  <c r="H1776" i="1"/>
  <c r="L1776" i="1" s="1"/>
  <c r="H1772" i="1"/>
  <c r="L1772" i="1" s="1"/>
  <c r="H1768" i="1"/>
  <c r="L1768" i="1" s="1"/>
  <c r="H1764" i="1"/>
  <c r="L1764" i="1" s="1"/>
  <c r="H1760" i="1"/>
  <c r="L1760" i="1" s="1"/>
  <c r="H1756" i="1"/>
  <c r="L1756" i="1" s="1"/>
  <c r="H1752" i="1"/>
  <c r="L1752" i="1" s="1"/>
  <c r="H1748" i="1"/>
  <c r="L1748" i="1" s="1"/>
  <c r="H1744" i="1"/>
  <c r="L1744" i="1" s="1"/>
  <c r="H1740" i="1"/>
  <c r="L1740" i="1" s="1"/>
  <c r="H1736" i="1"/>
  <c r="L1736" i="1" s="1"/>
  <c r="H1732" i="1"/>
  <c r="L1732" i="1" s="1"/>
  <c r="H1728" i="1"/>
  <c r="L1728" i="1" s="1"/>
  <c r="H1724" i="1"/>
  <c r="L1724" i="1" s="1"/>
  <c r="H1720" i="1"/>
  <c r="L1720" i="1" s="1"/>
  <c r="H1716" i="1"/>
  <c r="L1716" i="1" s="1"/>
  <c r="H1712" i="1"/>
  <c r="L1712" i="1" s="1"/>
  <c r="H1708" i="1"/>
  <c r="L1708" i="1" s="1"/>
  <c r="H1704" i="1"/>
  <c r="L1704" i="1" s="1"/>
  <c r="H1700" i="1"/>
  <c r="L1700" i="1" s="1"/>
  <c r="H1696" i="1"/>
  <c r="L1696" i="1" s="1"/>
  <c r="H1692" i="1"/>
  <c r="L1692" i="1" s="1"/>
  <c r="H1688" i="1"/>
  <c r="L1688" i="1" s="1"/>
  <c r="H1684" i="1"/>
  <c r="L1684" i="1" s="1"/>
  <c r="H1680" i="1"/>
  <c r="L1680" i="1" s="1"/>
  <c r="H1676" i="1"/>
  <c r="L1676" i="1" s="1"/>
  <c r="H1672" i="1"/>
  <c r="L1672" i="1" s="1"/>
  <c r="H1668" i="1"/>
  <c r="L1668" i="1" s="1"/>
  <c r="H1664" i="1"/>
  <c r="L1664" i="1" s="1"/>
  <c r="H1660" i="1"/>
  <c r="L1660" i="1" s="1"/>
  <c r="H1656" i="1"/>
  <c r="L1656" i="1" s="1"/>
  <c r="H1652" i="1"/>
  <c r="L1652" i="1" s="1"/>
  <c r="H1648" i="1"/>
  <c r="L1648" i="1" s="1"/>
  <c r="H1644" i="1"/>
  <c r="L1644" i="1" s="1"/>
  <c r="H1640" i="1"/>
  <c r="L1640" i="1" s="1"/>
  <c r="H1636" i="1"/>
  <c r="L1636" i="1" s="1"/>
  <c r="H1632" i="1"/>
  <c r="L1632" i="1" s="1"/>
  <c r="H1628" i="1"/>
  <c r="L1628" i="1" s="1"/>
  <c r="H1624" i="1"/>
  <c r="L1624" i="1" s="1"/>
  <c r="H1620" i="1"/>
  <c r="L1620" i="1" s="1"/>
  <c r="H1616" i="1"/>
  <c r="L1616" i="1" s="1"/>
  <c r="H1612" i="1"/>
  <c r="L1612" i="1" s="1"/>
  <c r="H1608" i="1"/>
  <c r="L1608" i="1" s="1"/>
  <c r="H1604" i="1"/>
  <c r="L1604" i="1" s="1"/>
  <c r="H1600" i="1"/>
  <c r="L1600" i="1" s="1"/>
  <c r="H1596" i="1"/>
  <c r="L1596" i="1" s="1"/>
  <c r="H1592" i="1"/>
  <c r="L1592" i="1" s="1"/>
  <c r="H1588" i="1"/>
  <c r="L1588" i="1" s="1"/>
  <c r="H1584" i="1"/>
  <c r="L1584" i="1" s="1"/>
  <c r="H1580" i="1"/>
  <c r="L1580" i="1" s="1"/>
  <c r="H1576" i="1"/>
  <c r="L1576" i="1" s="1"/>
  <c r="H1572" i="1"/>
  <c r="L1572" i="1" s="1"/>
  <c r="H1568" i="1"/>
  <c r="L1568" i="1" s="1"/>
  <c r="H1564" i="1"/>
  <c r="L1564" i="1" s="1"/>
  <c r="H1560" i="1"/>
  <c r="L1560" i="1" s="1"/>
  <c r="H1556" i="1"/>
  <c r="L1556" i="1" s="1"/>
  <c r="H1552" i="1"/>
  <c r="L1552" i="1" s="1"/>
  <c r="H1548" i="1"/>
  <c r="L1548" i="1" s="1"/>
  <c r="H1544" i="1"/>
  <c r="L1544" i="1" s="1"/>
  <c r="H1540" i="1"/>
  <c r="L1540" i="1" s="1"/>
  <c r="H1536" i="1"/>
  <c r="L1536" i="1" s="1"/>
  <c r="H1532" i="1"/>
  <c r="L1532" i="1" s="1"/>
  <c r="H1528" i="1"/>
  <c r="L1528" i="1" s="1"/>
  <c r="H1524" i="1"/>
  <c r="L1524" i="1" s="1"/>
  <c r="H1520" i="1"/>
  <c r="L1520" i="1" s="1"/>
  <c r="H1516" i="1"/>
  <c r="L1516" i="1" s="1"/>
  <c r="H1512" i="1"/>
  <c r="L1512" i="1" s="1"/>
  <c r="H1508" i="1"/>
  <c r="L1508" i="1" s="1"/>
  <c r="H1504" i="1"/>
  <c r="L1504" i="1" s="1"/>
  <c r="H1500" i="1"/>
  <c r="L1500" i="1" s="1"/>
  <c r="H1496" i="1"/>
  <c r="L1496" i="1" s="1"/>
  <c r="H1492" i="1"/>
  <c r="L1492" i="1" s="1"/>
  <c r="H1488" i="1"/>
  <c r="L1488" i="1" s="1"/>
  <c r="H1484" i="1"/>
  <c r="L1484" i="1" s="1"/>
  <c r="H1480" i="1"/>
  <c r="L1480" i="1" s="1"/>
  <c r="H1476" i="1"/>
  <c r="L1476" i="1" s="1"/>
  <c r="H1472" i="1"/>
  <c r="L1472" i="1" s="1"/>
  <c r="H1468" i="1"/>
  <c r="L1468" i="1" s="1"/>
  <c r="H1464" i="1"/>
  <c r="L1464" i="1" s="1"/>
  <c r="H1460" i="1"/>
  <c r="L1460" i="1" s="1"/>
  <c r="H1456" i="1"/>
  <c r="L1456" i="1" s="1"/>
  <c r="H1452" i="1"/>
  <c r="L1452" i="1" s="1"/>
  <c r="H1448" i="1"/>
  <c r="L1448" i="1" s="1"/>
  <c r="H1444" i="1"/>
  <c r="L1444" i="1" s="1"/>
  <c r="H1440" i="1"/>
  <c r="L1440" i="1" s="1"/>
  <c r="H1436" i="1"/>
  <c r="L1436" i="1" s="1"/>
  <c r="H1432" i="1"/>
  <c r="L1432" i="1" s="1"/>
  <c r="H1428" i="1"/>
  <c r="L1428" i="1" s="1"/>
  <c r="H1424" i="1"/>
  <c r="L1424" i="1" s="1"/>
  <c r="H1420" i="1"/>
  <c r="L1420" i="1" s="1"/>
  <c r="H1416" i="1"/>
  <c r="L1416" i="1" s="1"/>
  <c r="H1412" i="1"/>
  <c r="L1412" i="1" s="1"/>
  <c r="H1408" i="1"/>
  <c r="L1408" i="1" s="1"/>
  <c r="H1404" i="1"/>
  <c r="L1404" i="1" s="1"/>
  <c r="H1400" i="1"/>
  <c r="L1400" i="1" s="1"/>
  <c r="H1396" i="1"/>
  <c r="L1396" i="1" s="1"/>
  <c r="H1392" i="1"/>
  <c r="L1392" i="1" s="1"/>
  <c r="H1388" i="1"/>
  <c r="L1388" i="1" s="1"/>
  <c r="H1384" i="1"/>
  <c r="L1384" i="1" s="1"/>
  <c r="H1380" i="1"/>
  <c r="L1380" i="1" s="1"/>
  <c r="H1376" i="1"/>
  <c r="L1376" i="1" s="1"/>
  <c r="H1372" i="1"/>
  <c r="L1372" i="1" s="1"/>
  <c r="H1368" i="1"/>
  <c r="L1368" i="1" s="1"/>
  <c r="H1364" i="1"/>
  <c r="L1364" i="1" s="1"/>
  <c r="H1360" i="1"/>
  <c r="L1360" i="1" s="1"/>
  <c r="H1356" i="1"/>
  <c r="L1356" i="1" s="1"/>
  <c r="H1352" i="1"/>
  <c r="L1352" i="1" s="1"/>
  <c r="H1348" i="1"/>
  <c r="L1348" i="1" s="1"/>
  <c r="H1344" i="1"/>
  <c r="L1344" i="1" s="1"/>
  <c r="H1340" i="1"/>
  <c r="L1340" i="1" s="1"/>
  <c r="H1336" i="1"/>
  <c r="L1336" i="1" s="1"/>
  <c r="H1332" i="1"/>
  <c r="L1332" i="1" s="1"/>
  <c r="H1328" i="1"/>
  <c r="L1328" i="1" s="1"/>
  <c r="H1324" i="1"/>
  <c r="L1324" i="1" s="1"/>
  <c r="H1320" i="1"/>
  <c r="L1320" i="1" s="1"/>
  <c r="H1316" i="1"/>
  <c r="L1316" i="1" s="1"/>
  <c r="H1312" i="1"/>
  <c r="L1312" i="1" s="1"/>
  <c r="H1308" i="1"/>
  <c r="L1308" i="1" s="1"/>
  <c r="H1304" i="1"/>
  <c r="L1304" i="1" s="1"/>
  <c r="H1300" i="1"/>
  <c r="L1300" i="1" s="1"/>
  <c r="H1296" i="1"/>
  <c r="L1296" i="1" s="1"/>
  <c r="H1292" i="1"/>
  <c r="L1292" i="1" s="1"/>
  <c r="H1288" i="1"/>
  <c r="L1288" i="1" s="1"/>
  <c r="H1284" i="1"/>
  <c r="L1284" i="1" s="1"/>
  <c r="H1280" i="1"/>
  <c r="L1280" i="1" s="1"/>
  <c r="H1276" i="1"/>
  <c r="L1276" i="1" s="1"/>
  <c r="H1272" i="1"/>
  <c r="L1272" i="1" s="1"/>
  <c r="H1268" i="1"/>
  <c r="L1268" i="1" s="1"/>
  <c r="H1264" i="1"/>
  <c r="L1264" i="1" s="1"/>
  <c r="H1260" i="1"/>
  <c r="L1260" i="1" s="1"/>
  <c r="H1256" i="1"/>
  <c r="L1256" i="1" s="1"/>
  <c r="H1252" i="1"/>
  <c r="L1252" i="1" s="1"/>
  <c r="H1248" i="1"/>
  <c r="L1248" i="1" s="1"/>
  <c r="H1244" i="1"/>
  <c r="L1244" i="1" s="1"/>
  <c r="H1240" i="1"/>
  <c r="L1240" i="1" s="1"/>
  <c r="H1236" i="1"/>
  <c r="L1236" i="1" s="1"/>
  <c r="H1232" i="1"/>
  <c r="L1232" i="1" s="1"/>
  <c r="H1228" i="1"/>
  <c r="L1228" i="1" s="1"/>
  <c r="H1224" i="1"/>
  <c r="L1224" i="1" s="1"/>
  <c r="H1220" i="1"/>
  <c r="L1220" i="1" s="1"/>
  <c r="H1216" i="1"/>
  <c r="L1216" i="1" s="1"/>
  <c r="H1212" i="1"/>
  <c r="L1212" i="1" s="1"/>
  <c r="H1208" i="1"/>
  <c r="L1208" i="1" s="1"/>
  <c r="H1204" i="1"/>
  <c r="L1204" i="1" s="1"/>
  <c r="H1200" i="1"/>
  <c r="L1200" i="1" s="1"/>
  <c r="H1196" i="1"/>
  <c r="L1196" i="1" s="1"/>
  <c r="H1192" i="1"/>
  <c r="L1192" i="1" s="1"/>
  <c r="H1188" i="1"/>
  <c r="L1188" i="1" s="1"/>
  <c r="H1184" i="1"/>
  <c r="L1184" i="1" s="1"/>
  <c r="H1180" i="1"/>
  <c r="L1180" i="1" s="1"/>
  <c r="H1176" i="1"/>
  <c r="L1176" i="1" s="1"/>
  <c r="H1172" i="1"/>
  <c r="L1172" i="1" s="1"/>
  <c r="H1168" i="1"/>
  <c r="L1168" i="1" s="1"/>
  <c r="H1164" i="1"/>
  <c r="L1164" i="1" s="1"/>
  <c r="H1160" i="1"/>
  <c r="L1160" i="1" s="1"/>
  <c r="H1156" i="1"/>
  <c r="L1156" i="1" s="1"/>
  <c r="H1152" i="1"/>
  <c r="L1152" i="1" s="1"/>
  <c r="H1148" i="1"/>
  <c r="L1148" i="1" s="1"/>
  <c r="H1144" i="1"/>
  <c r="L1144" i="1" s="1"/>
  <c r="H1140" i="1"/>
  <c r="L1140" i="1" s="1"/>
  <c r="H1136" i="1"/>
  <c r="L1136" i="1" s="1"/>
  <c r="H1132" i="1"/>
  <c r="L1132" i="1" s="1"/>
  <c r="H1128" i="1"/>
  <c r="L1128" i="1" s="1"/>
  <c r="H1124" i="1"/>
  <c r="L1124" i="1" s="1"/>
  <c r="H1120" i="1"/>
  <c r="L1120" i="1" s="1"/>
  <c r="H1116" i="1"/>
  <c r="L1116" i="1" s="1"/>
  <c r="H1112" i="1"/>
  <c r="L1112" i="1" s="1"/>
  <c r="H1108" i="1"/>
  <c r="L1108" i="1" s="1"/>
  <c r="H1104" i="1"/>
  <c r="L1104" i="1" s="1"/>
  <c r="H1100" i="1"/>
  <c r="L1100" i="1" s="1"/>
  <c r="H1096" i="1"/>
  <c r="L1096" i="1" s="1"/>
  <c r="H1092" i="1"/>
  <c r="L1092" i="1" s="1"/>
  <c r="H1088" i="1"/>
  <c r="L1088" i="1" s="1"/>
  <c r="H1084" i="1"/>
  <c r="L1084" i="1" s="1"/>
  <c r="H1080" i="1"/>
  <c r="L1080" i="1" s="1"/>
  <c r="H1076" i="1"/>
  <c r="L1076" i="1" s="1"/>
  <c r="H1072" i="1"/>
  <c r="L1072" i="1" s="1"/>
  <c r="H1068" i="1"/>
  <c r="L1068" i="1" s="1"/>
  <c r="H1064" i="1"/>
  <c r="L1064" i="1" s="1"/>
  <c r="H1060" i="1"/>
  <c r="L1060" i="1" s="1"/>
  <c r="H1056" i="1"/>
  <c r="L1056" i="1" s="1"/>
  <c r="H1052" i="1"/>
  <c r="L1052" i="1" s="1"/>
  <c r="H1048" i="1"/>
  <c r="L1048" i="1" s="1"/>
  <c r="H1044" i="1"/>
  <c r="L1044" i="1" s="1"/>
  <c r="H1040" i="1"/>
  <c r="L1040" i="1" s="1"/>
  <c r="H1036" i="1"/>
  <c r="L1036" i="1" s="1"/>
  <c r="H1032" i="1"/>
  <c r="L1032" i="1" s="1"/>
  <c r="H1028" i="1"/>
  <c r="L1028" i="1" s="1"/>
  <c r="H1024" i="1"/>
  <c r="L1024" i="1" s="1"/>
  <c r="H1020" i="1"/>
  <c r="L1020" i="1" s="1"/>
  <c r="H1016" i="1"/>
  <c r="L1016" i="1" s="1"/>
  <c r="H1012" i="1"/>
  <c r="L1012" i="1" s="1"/>
  <c r="H1008" i="1"/>
  <c r="L1008" i="1" s="1"/>
  <c r="H1004" i="1"/>
  <c r="L1004" i="1" s="1"/>
  <c r="H1000" i="1"/>
  <c r="L1000" i="1" s="1"/>
  <c r="H996" i="1"/>
  <c r="L996" i="1" s="1"/>
  <c r="H992" i="1"/>
  <c r="L992" i="1" s="1"/>
  <c r="H988" i="1"/>
  <c r="L988" i="1" s="1"/>
  <c r="H984" i="1"/>
  <c r="L984" i="1" s="1"/>
  <c r="H980" i="1"/>
  <c r="L980" i="1" s="1"/>
  <c r="H976" i="1"/>
  <c r="L976" i="1" s="1"/>
  <c r="H972" i="1"/>
  <c r="L972" i="1" s="1"/>
  <c r="H968" i="1"/>
  <c r="L968" i="1" s="1"/>
  <c r="H4" i="1"/>
  <c r="L4" i="1" s="1"/>
  <c r="H1998" i="1"/>
  <c r="L1998" i="1" s="1"/>
  <c r="H1994" i="1"/>
  <c r="L1994" i="1" s="1"/>
  <c r="H1990" i="1"/>
  <c r="L1990" i="1" s="1"/>
  <c r="H1986" i="1"/>
  <c r="L1986" i="1" s="1"/>
  <c r="H1982" i="1"/>
  <c r="L1982" i="1" s="1"/>
  <c r="H1978" i="1"/>
  <c r="L1978" i="1" s="1"/>
  <c r="H1974" i="1"/>
  <c r="L1974" i="1" s="1"/>
  <c r="H1970" i="1"/>
  <c r="L1970" i="1" s="1"/>
  <c r="H1966" i="1"/>
  <c r="L1966" i="1" s="1"/>
  <c r="H1962" i="1"/>
  <c r="L1962" i="1" s="1"/>
  <c r="H1958" i="1"/>
  <c r="L1958" i="1" s="1"/>
  <c r="H1954" i="1"/>
  <c r="L1954" i="1" s="1"/>
  <c r="H1950" i="1"/>
  <c r="L1950" i="1" s="1"/>
  <c r="H1946" i="1"/>
  <c r="L1946" i="1" s="1"/>
  <c r="H1942" i="1"/>
  <c r="L1942" i="1" s="1"/>
  <c r="H1938" i="1"/>
  <c r="L1938" i="1" s="1"/>
  <c r="H1934" i="1"/>
  <c r="L1934" i="1" s="1"/>
  <c r="H1930" i="1"/>
  <c r="L1930" i="1" s="1"/>
  <c r="H1926" i="1"/>
  <c r="L1926" i="1" s="1"/>
  <c r="H1922" i="1"/>
  <c r="L1922" i="1" s="1"/>
  <c r="H1918" i="1"/>
  <c r="L1918" i="1" s="1"/>
  <c r="H1914" i="1"/>
  <c r="L1914" i="1" s="1"/>
  <c r="H1910" i="1"/>
  <c r="L1910" i="1" s="1"/>
  <c r="H1906" i="1"/>
  <c r="L1906" i="1" s="1"/>
  <c r="H1902" i="1"/>
  <c r="L1902" i="1" s="1"/>
  <c r="H1898" i="1"/>
  <c r="L1898" i="1" s="1"/>
  <c r="H1894" i="1"/>
  <c r="L1894" i="1" s="1"/>
  <c r="H1890" i="1"/>
  <c r="L1890" i="1" s="1"/>
  <c r="H1886" i="1"/>
  <c r="L1886" i="1" s="1"/>
  <c r="H1882" i="1"/>
  <c r="L1882" i="1" s="1"/>
  <c r="H1878" i="1"/>
  <c r="L1878" i="1" s="1"/>
  <c r="H1874" i="1"/>
  <c r="L1874" i="1" s="1"/>
  <c r="H1870" i="1"/>
  <c r="L1870" i="1" s="1"/>
  <c r="H1866" i="1"/>
  <c r="L1866" i="1" s="1"/>
  <c r="H1862" i="1"/>
  <c r="L1862" i="1" s="1"/>
  <c r="H1858" i="1"/>
  <c r="L1858" i="1" s="1"/>
  <c r="H1854" i="1"/>
  <c r="L1854" i="1" s="1"/>
  <c r="H1850" i="1"/>
  <c r="L1850" i="1" s="1"/>
  <c r="H1846" i="1"/>
  <c r="L1846" i="1" s="1"/>
  <c r="H1842" i="1"/>
  <c r="L1842" i="1" s="1"/>
  <c r="H1838" i="1"/>
  <c r="L1838" i="1" s="1"/>
  <c r="H1834" i="1"/>
  <c r="L1834" i="1" s="1"/>
  <c r="H1830" i="1"/>
  <c r="L1830" i="1" s="1"/>
  <c r="H1826" i="1"/>
  <c r="L1826" i="1" s="1"/>
  <c r="H1822" i="1"/>
  <c r="L1822" i="1" s="1"/>
  <c r="H1818" i="1"/>
  <c r="L1818" i="1" s="1"/>
  <c r="H1814" i="1"/>
  <c r="L1814" i="1" s="1"/>
  <c r="H1810" i="1"/>
  <c r="L1810" i="1" s="1"/>
  <c r="H1806" i="1"/>
  <c r="L1806" i="1" s="1"/>
  <c r="H1802" i="1"/>
  <c r="L1802" i="1" s="1"/>
  <c r="H1798" i="1"/>
  <c r="L1798" i="1" s="1"/>
  <c r="H1794" i="1"/>
  <c r="L1794" i="1" s="1"/>
  <c r="H1790" i="1"/>
  <c r="L1790" i="1" s="1"/>
  <c r="H1786" i="1"/>
  <c r="L1786" i="1" s="1"/>
  <c r="H1782" i="1"/>
  <c r="L1782" i="1" s="1"/>
  <c r="H1778" i="1"/>
  <c r="L1778" i="1" s="1"/>
  <c r="H1774" i="1"/>
  <c r="L1774" i="1" s="1"/>
  <c r="H1770" i="1"/>
  <c r="L1770" i="1" s="1"/>
  <c r="H1766" i="1"/>
  <c r="L1766" i="1" s="1"/>
  <c r="H1762" i="1"/>
  <c r="L1762" i="1" s="1"/>
  <c r="H1758" i="1"/>
  <c r="L1758" i="1" s="1"/>
  <c r="H1754" i="1"/>
  <c r="L1754" i="1" s="1"/>
  <c r="H1750" i="1"/>
  <c r="L1750" i="1" s="1"/>
  <c r="H1746" i="1"/>
  <c r="L1746" i="1" s="1"/>
  <c r="H1742" i="1"/>
  <c r="L1742" i="1" s="1"/>
  <c r="H1738" i="1"/>
  <c r="L1738" i="1" s="1"/>
  <c r="H1734" i="1"/>
  <c r="L1734" i="1" s="1"/>
  <c r="H1730" i="1"/>
  <c r="L1730" i="1" s="1"/>
  <c r="H1726" i="1"/>
  <c r="L1726" i="1" s="1"/>
  <c r="H1722" i="1"/>
  <c r="L1722" i="1" s="1"/>
  <c r="H1718" i="1"/>
  <c r="L1718" i="1" s="1"/>
  <c r="H1714" i="1"/>
  <c r="L1714" i="1" s="1"/>
  <c r="H1710" i="1"/>
  <c r="L1710" i="1" s="1"/>
  <c r="H1706" i="1"/>
  <c r="L1706" i="1" s="1"/>
  <c r="H1702" i="1"/>
  <c r="L1702" i="1" s="1"/>
  <c r="H1698" i="1"/>
  <c r="L1698" i="1" s="1"/>
  <c r="H1694" i="1"/>
  <c r="L1694" i="1" s="1"/>
  <c r="H1690" i="1"/>
  <c r="L1690" i="1" s="1"/>
  <c r="H1686" i="1"/>
  <c r="L1686" i="1" s="1"/>
  <c r="H1682" i="1"/>
  <c r="L1682" i="1" s="1"/>
  <c r="H1678" i="1"/>
  <c r="L1678" i="1" s="1"/>
  <c r="H1674" i="1"/>
  <c r="L1674" i="1" s="1"/>
  <c r="H1670" i="1"/>
  <c r="L1670" i="1" s="1"/>
  <c r="H1666" i="1"/>
  <c r="L1666" i="1" s="1"/>
  <c r="H1662" i="1"/>
  <c r="L1662" i="1" s="1"/>
  <c r="H1658" i="1"/>
  <c r="L1658" i="1" s="1"/>
  <c r="H1654" i="1"/>
  <c r="L1654" i="1" s="1"/>
  <c r="H1650" i="1"/>
  <c r="L1650" i="1" s="1"/>
  <c r="H1646" i="1"/>
  <c r="L1646" i="1" s="1"/>
  <c r="H1642" i="1"/>
  <c r="L1642" i="1" s="1"/>
  <c r="H1638" i="1"/>
  <c r="L1638" i="1" s="1"/>
  <c r="H1634" i="1"/>
  <c r="L1634" i="1" s="1"/>
  <c r="H1630" i="1"/>
  <c r="L1630" i="1" s="1"/>
  <c r="H1626" i="1"/>
  <c r="L1626" i="1" s="1"/>
  <c r="H1622" i="1"/>
  <c r="L1622" i="1" s="1"/>
  <c r="H1618" i="1"/>
  <c r="L1618" i="1" s="1"/>
  <c r="H1614" i="1"/>
  <c r="L1614" i="1" s="1"/>
  <c r="H1610" i="1"/>
  <c r="L1610" i="1" s="1"/>
  <c r="H1606" i="1"/>
  <c r="L1606" i="1" s="1"/>
  <c r="H1602" i="1"/>
  <c r="L1602" i="1" s="1"/>
  <c r="H1598" i="1"/>
  <c r="L1598" i="1" s="1"/>
  <c r="H1594" i="1"/>
  <c r="L1594" i="1" s="1"/>
  <c r="H1590" i="1"/>
  <c r="L1590" i="1" s="1"/>
  <c r="H1586" i="1"/>
  <c r="L1586" i="1" s="1"/>
  <c r="H1582" i="1"/>
  <c r="L1582" i="1" s="1"/>
  <c r="H1578" i="1"/>
  <c r="L1578" i="1" s="1"/>
  <c r="H1574" i="1"/>
  <c r="L1574" i="1" s="1"/>
  <c r="H1570" i="1"/>
  <c r="L1570" i="1" s="1"/>
  <c r="H1566" i="1"/>
  <c r="L1566" i="1" s="1"/>
  <c r="H1562" i="1"/>
  <c r="L1562" i="1" s="1"/>
  <c r="H1558" i="1"/>
  <c r="L1558" i="1" s="1"/>
  <c r="H1554" i="1"/>
  <c r="L1554" i="1" s="1"/>
  <c r="H1550" i="1"/>
  <c r="L1550" i="1" s="1"/>
  <c r="H1546" i="1"/>
  <c r="L1546" i="1" s="1"/>
  <c r="H1542" i="1"/>
  <c r="L1542" i="1" s="1"/>
  <c r="H1538" i="1"/>
  <c r="L1538" i="1" s="1"/>
  <c r="H1534" i="1"/>
  <c r="L1534" i="1" s="1"/>
  <c r="H1530" i="1"/>
  <c r="L1530" i="1" s="1"/>
  <c r="H1526" i="1"/>
  <c r="L1526" i="1" s="1"/>
  <c r="H1522" i="1"/>
  <c r="L1522" i="1" s="1"/>
  <c r="H1518" i="1"/>
  <c r="L1518" i="1" s="1"/>
  <c r="H1514" i="1"/>
  <c r="L1514" i="1" s="1"/>
  <c r="H1510" i="1"/>
  <c r="L1510" i="1" s="1"/>
  <c r="H1506" i="1"/>
  <c r="L1506" i="1" s="1"/>
  <c r="H1502" i="1"/>
  <c r="L1502" i="1" s="1"/>
  <c r="H1498" i="1"/>
  <c r="L1498" i="1" s="1"/>
  <c r="H1494" i="1"/>
  <c r="L1494" i="1" s="1"/>
  <c r="H1490" i="1"/>
  <c r="L1490" i="1" s="1"/>
  <c r="H1486" i="1"/>
  <c r="L1486" i="1" s="1"/>
  <c r="H1482" i="1"/>
  <c r="L1482" i="1" s="1"/>
  <c r="H1478" i="1"/>
  <c r="L1478" i="1" s="1"/>
  <c r="H1474" i="1"/>
  <c r="L1474" i="1" s="1"/>
  <c r="H1470" i="1"/>
  <c r="L1470" i="1" s="1"/>
  <c r="H1466" i="1"/>
  <c r="L1466" i="1" s="1"/>
  <c r="H1462" i="1"/>
  <c r="L1462" i="1" s="1"/>
  <c r="H1458" i="1"/>
  <c r="L1458" i="1" s="1"/>
  <c r="H1454" i="1"/>
  <c r="L1454" i="1" s="1"/>
  <c r="H1450" i="1"/>
  <c r="L1450" i="1" s="1"/>
  <c r="H1446" i="1"/>
  <c r="L1446" i="1" s="1"/>
  <c r="H1442" i="1"/>
  <c r="L1442" i="1" s="1"/>
  <c r="H1438" i="1"/>
  <c r="L1438" i="1" s="1"/>
  <c r="H1434" i="1"/>
  <c r="L1434" i="1" s="1"/>
  <c r="H1430" i="1"/>
  <c r="L1430" i="1" s="1"/>
  <c r="H1426" i="1"/>
  <c r="L1426" i="1" s="1"/>
  <c r="H1422" i="1"/>
  <c r="L1422" i="1" s="1"/>
  <c r="H1418" i="1"/>
  <c r="L1418" i="1" s="1"/>
  <c r="H1414" i="1"/>
  <c r="L1414" i="1" s="1"/>
  <c r="H1410" i="1"/>
  <c r="L1410" i="1" s="1"/>
  <c r="H1406" i="1"/>
  <c r="L1406" i="1" s="1"/>
  <c r="H1402" i="1"/>
  <c r="L1402" i="1" s="1"/>
  <c r="H1398" i="1"/>
  <c r="L1398" i="1" s="1"/>
  <c r="H1394" i="1"/>
  <c r="L1394" i="1" s="1"/>
  <c r="H1390" i="1"/>
  <c r="L1390" i="1" s="1"/>
  <c r="H1386" i="1"/>
  <c r="L1386" i="1" s="1"/>
  <c r="H1382" i="1"/>
  <c r="L1382" i="1" s="1"/>
  <c r="H1378" i="1"/>
  <c r="L1378" i="1" s="1"/>
  <c r="H1374" i="1"/>
  <c r="L1374" i="1" s="1"/>
  <c r="H1370" i="1"/>
  <c r="L1370" i="1" s="1"/>
  <c r="H1366" i="1"/>
  <c r="L1366" i="1" s="1"/>
  <c r="H1362" i="1"/>
  <c r="L1362" i="1" s="1"/>
  <c r="H1358" i="1"/>
  <c r="L1358" i="1" s="1"/>
  <c r="H1354" i="1"/>
  <c r="L1354" i="1" s="1"/>
  <c r="H1350" i="1"/>
  <c r="L1350" i="1" s="1"/>
  <c r="H1346" i="1"/>
  <c r="L1346" i="1" s="1"/>
  <c r="H1342" i="1"/>
  <c r="L1342" i="1" s="1"/>
  <c r="H1338" i="1"/>
  <c r="L1338" i="1" s="1"/>
  <c r="H1334" i="1"/>
  <c r="L1334" i="1" s="1"/>
  <c r="H1330" i="1"/>
  <c r="L1330" i="1" s="1"/>
  <c r="H1326" i="1"/>
  <c r="L1326" i="1" s="1"/>
  <c r="H1322" i="1"/>
  <c r="L1322" i="1" s="1"/>
  <c r="H1318" i="1"/>
  <c r="L1318" i="1" s="1"/>
  <c r="H1314" i="1"/>
  <c r="L1314" i="1" s="1"/>
  <c r="H1310" i="1"/>
  <c r="L1310" i="1" s="1"/>
  <c r="H1306" i="1"/>
  <c r="L1306" i="1" s="1"/>
  <c r="H1302" i="1"/>
  <c r="L1302" i="1" s="1"/>
  <c r="H1298" i="1"/>
  <c r="L1298" i="1" s="1"/>
  <c r="H1294" i="1"/>
  <c r="L1294" i="1" s="1"/>
  <c r="H1290" i="1"/>
  <c r="L1290" i="1" s="1"/>
  <c r="H1286" i="1"/>
  <c r="L1286" i="1" s="1"/>
  <c r="H1282" i="1"/>
  <c r="L1282" i="1" s="1"/>
  <c r="H1278" i="1"/>
  <c r="L1278" i="1" s="1"/>
  <c r="H1274" i="1"/>
  <c r="L1274" i="1" s="1"/>
  <c r="H1270" i="1"/>
  <c r="L1270" i="1" s="1"/>
  <c r="H1266" i="1"/>
  <c r="L1266" i="1" s="1"/>
  <c r="H1262" i="1"/>
  <c r="L1262" i="1" s="1"/>
  <c r="H1258" i="1"/>
  <c r="L1258" i="1" s="1"/>
  <c r="H1254" i="1"/>
  <c r="L1254" i="1" s="1"/>
  <c r="H1250" i="1"/>
  <c r="L1250" i="1" s="1"/>
  <c r="H1246" i="1"/>
  <c r="L1246" i="1" s="1"/>
  <c r="H1242" i="1"/>
  <c r="L1242" i="1" s="1"/>
  <c r="H1238" i="1"/>
  <c r="L1238" i="1" s="1"/>
  <c r="H1234" i="1"/>
  <c r="L1234" i="1" s="1"/>
  <c r="H1230" i="1"/>
  <c r="L1230" i="1" s="1"/>
  <c r="H1226" i="1"/>
  <c r="L1226" i="1" s="1"/>
  <c r="H1222" i="1"/>
  <c r="L1222" i="1" s="1"/>
  <c r="H1218" i="1"/>
  <c r="L1218" i="1" s="1"/>
  <c r="H1214" i="1"/>
  <c r="L1214" i="1" s="1"/>
  <c r="H1210" i="1"/>
  <c r="L1210" i="1" s="1"/>
  <c r="H1206" i="1"/>
  <c r="L1206" i="1" s="1"/>
  <c r="H1202" i="1"/>
  <c r="L1202" i="1" s="1"/>
  <c r="H1198" i="1"/>
  <c r="L1198" i="1" s="1"/>
  <c r="H1194" i="1"/>
  <c r="L1194" i="1" s="1"/>
  <c r="H1190" i="1"/>
  <c r="L1190" i="1" s="1"/>
  <c r="H1186" i="1"/>
  <c r="L1186" i="1" s="1"/>
  <c r="H1182" i="1"/>
  <c r="L1182" i="1" s="1"/>
  <c r="H1178" i="1"/>
  <c r="L1178" i="1" s="1"/>
  <c r="H1174" i="1"/>
  <c r="L1174" i="1" s="1"/>
  <c r="H1170" i="1"/>
  <c r="L1170" i="1" s="1"/>
  <c r="H1166" i="1"/>
  <c r="L1166" i="1" s="1"/>
  <c r="H1162" i="1"/>
  <c r="L1162" i="1" s="1"/>
  <c r="H1158" i="1"/>
  <c r="L1158" i="1" s="1"/>
  <c r="H1154" i="1"/>
  <c r="L1154" i="1" s="1"/>
  <c r="H1150" i="1"/>
  <c r="L1150" i="1" s="1"/>
  <c r="H1146" i="1"/>
  <c r="L1146" i="1" s="1"/>
  <c r="H1142" i="1"/>
  <c r="L1142" i="1" s="1"/>
  <c r="H1138" i="1"/>
  <c r="L1138" i="1" s="1"/>
  <c r="H1134" i="1"/>
  <c r="L1134" i="1" s="1"/>
  <c r="H1130" i="1"/>
  <c r="L1130" i="1" s="1"/>
  <c r="H1126" i="1"/>
  <c r="L1126" i="1" s="1"/>
  <c r="H1122" i="1"/>
  <c r="L1122" i="1" s="1"/>
  <c r="H1118" i="1"/>
  <c r="L1118" i="1" s="1"/>
  <c r="H1114" i="1"/>
  <c r="L1114" i="1" s="1"/>
  <c r="H1110" i="1"/>
  <c r="L1110" i="1" s="1"/>
  <c r="H1106" i="1"/>
  <c r="L1106" i="1" s="1"/>
  <c r="H1102" i="1"/>
  <c r="L1102" i="1" s="1"/>
  <c r="H1098" i="1"/>
  <c r="L1098" i="1" s="1"/>
  <c r="H1094" i="1"/>
  <c r="L1094" i="1" s="1"/>
  <c r="H1090" i="1"/>
  <c r="L1090" i="1" s="1"/>
  <c r="H1086" i="1"/>
  <c r="L1086" i="1" s="1"/>
  <c r="H1082" i="1"/>
  <c r="L1082" i="1" s="1"/>
  <c r="H1078" i="1"/>
  <c r="L1078" i="1" s="1"/>
  <c r="H1074" i="1"/>
  <c r="L1074" i="1" s="1"/>
  <c r="H1070" i="1"/>
  <c r="L1070" i="1" s="1"/>
  <c r="H1066" i="1"/>
  <c r="L1066" i="1" s="1"/>
  <c r="H1062" i="1"/>
  <c r="L1062" i="1" s="1"/>
  <c r="H1058" i="1"/>
  <c r="L1058" i="1" s="1"/>
  <c r="H1054" i="1"/>
  <c r="L1054" i="1" s="1"/>
  <c r="H1050" i="1"/>
  <c r="L1050" i="1" s="1"/>
  <c r="H1046" i="1"/>
  <c r="L1046" i="1" s="1"/>
  <c r="H1042" i="1"/>
  <c r="L1042" i="1" s="1"/>
  <c r="H1038" i="1"/>
  <c r="L1038" i="1" s="1"/>
  <c r="H1034" i="1"/>
  <c r="L1034" i="1" s="1"/>
  <c r="H1030" i="1"/>
  <c r="L1030" i="1" s="1"/>
  <c r="H1026" i="1"/>
  <c r="L1026" i="1" s="1"/>
  <c r="H1022" i="1"/>
  <c r="L1022" i="1" s="1"/>
  <c r="H1018" i="1"/>
  <c r="L1018" i="1" s="1"/>
  <c r="H1014" i="1"/>
  <c r="L1014" i="1" s="1"/>
  <c r="H1010" i="1"/>
  <c r="L1010" i="1" s="1"/>
  <c r="H1006" i="1"/>
  <c r="L1006" i="1" s="1"/>
  <c r="H1002" i="1"/>
  <c r="L1002" i="1" s="1"/>
  <c r="H998" i="1"/>
  <c r="L998" i="1" s="1"/>
  <c r="H994" i="1"/>
  <c r="L994" i="1" s="1"/>
  <c r="H990" i="1"/>
  <c r="L990" i="1" s="1"/>
  <c r="H986" i="1"/>
  <c r="L986" i="1" s="1"/>
  <c r="H982" i="1"/>
  <c r="L982" i="1" s="1"/>
  <c r="H978" i="1"/>
  <c r="L978" i="1" s="1"/>
  <c r="H974" i="1"/>
  <c r="L974" i="1" s="1"/>
  <c r="H970" i="1"/>
  <c r="L970" i="1" s="1"/>
  <c r="H966" i="1"/>
  <c r="L966" i="1" s="1"/>
  <c r="H962" i="1"/>
  <c r="L962" i="1" s="1"/>
  <c r="H958" i="1"/>
  <c r="L958" i="1" s="1"/>
  <c r="H954" i="1"/>
  <c r="L954" i="1" s="1"/>
  <c r="H950" i="1"/>
  <c r="L950" i="1" s="1"/>
  <c r="H946" i="1"/>
  <c r="L946" i="1" s="1"/>
  <c r="H942" i="1"/>
  <c r="L942" i="1" s="1"/>
  <c r="H938" i="1"/>
  <c r="L938" i="1" s="1"/>
  <c r="H934" i="1"/>
  <c r="L934" i="1" s="1"/>
  <c r="H930" i="1"/>
  <c r="L930" i="1" s="1"/>
  <c r="H926" i="1"/>
  <c r="L926" i="1" s="1"/>
  <c r="H922" i="1"/>
  <c r="L922" i="1" s="1"/>
  <c r="H918" i="1"/>
  <c r="L918" i="1" s="1"/>
  <c r="H914" i="1"/>
  <c r="L914" i="1" s="1"/>
  <c r="H910" i="1"/>
  <c r="L910" i="1" s="1"/>
  <c r="H906" i="1"/>
  <c r="L906" i="1" s="1"/>
  <c r="H902" i="1"/>
  <c r="L902" i="1" s="1"/>
  <c r="H898" i="1"/>
  <c r="L898" i="1" s="1"/>
  <c r="H894" i="1"/>
  <c r="L894" i="1" s="1"/>
  <c r="H890" i="1"/>
  <c r="L890" i="1" s="1"/>
  <c r="H886" i="1"/>
  <c r="L886" i="1" s="1"/>
  <c r="H882" i="1"/>
  <c r="L882" i="1" s="1"/>
  <c r="H878" i="1"/>
  <c r="L878" i="1" s="1"/>
  <c r="H874" i="1"/>
  <c r="L874" i="1" s="1"/>
  <c r="H870" i="1"/>
  <c r="L870" i="1" s="1"/>
  <c r="H866" i="1"/>
  <c r="L866" i="1" s="1"/>
  <c r="H862" i="1"/>
  <c r="L862" i="1" s="1"/>
  <c r="H858" i="1"/>
  <c r="L858" i="1" s="1"/>
  <c r="H854" i="1"/>
  <c r="L854" i="1" s="1"/>
  <c r="H850" i="1"/>
  <c r="L850" i="1" s="1"/>
  <c r="H846" i="1"/>
  <c r="L846" i="1" s="1"/>
  <c r="H842" i="1"/>
  <c r="L842" i="1" s="1"/>
  <c r="H838" i="1"/>
  <c r="L838" i="1" s="1"/>
  <c r="H834" i="1"/>
  <c r="L834" i="1" s="1"/>
  <c r="H830" i="1"/>
  <c r="L830" i="1" s="1"/>
  <c r="H826" i="1"/>
  <c r="L826" i="1" s="1"/>
  <c r="H822" i="1"/>
  <c r="L822" i="1" s="1"/>
  <c r="H818" i="1"/>
  <c r="L818" i="1" s="1"/>
  <c r="H814" i="1"/>
  <c r="L814" i="1" s="1"/>
  <c r="H810" i="1"/>
  <c r="L810" i="1" s="1"/>
  <c r="H806" i="1"/>
  <c r="L806" i="1" s="1"/>
  <c r="H802" i="1"/>
  <c r="L802" i="1" s="1"/>
  <c r="H798" i="1"/>
  <c r="L798" i="1" s="1"/>
  <c r="H794" i="1"/>
  <c r="L794" i="1" s="1"/>
  <c r="H790" i="1"/>
  <c r="L790" i="1" s="1"/>
  <c r="H786" i="1"/>
  <c r="L786" i="1" s="1"/>
  <c r="H782" i="1"/>
  <c r="L782" i="1" s="1"/>
  <c r="H778" i="1"/>
  <c r="L778" i="1" s="1"/>
  <c r="H774" i="1"/>
  <c r="L774" i="1" s="1"/>
  <c r="H770" i="1"/>
  <c r="L770" i="1" s="1"/>
  <c r="H766" i="1"/>
  <c r="L766" i="1" s="1"/>
  <c r="H762" i="1"/>
  <c r="L762" i="1" s="1"/>
  <c r="H758" i="1"/>
  <c r="L758" i="1" s="1"/>
  <c r="H754" i="1"/>
  <c r="L754" i="1" s="1"/>
  <c r="H750" i="1"/>
  <c r="L750" i="1" s="1"/>
  <c r="H746" i="1"/>
  <c r="L746" i="1" s="1"/>
  <c r="H742" i="1"/>
  <c r="L742" i="1" s="1"/>
  <c r="H738" i="1"/>
  <c r="L738" i="1" s="1"/>
  <c r="H734" i="1"/>
  <c r="L734" i="1" s="1"/>
  <c r="H730" i="1"/>
  <c r="L730" i="1" s="1"/>
  <c r="H726" i="1"/>
  <c r="L726" i="1" s="1"/>
  <c r="H722" i="1"/>
  <c r="L722" i="1" s="1"/>
  <c r="H718" i="1"/>
  <c r="L718" i="1" s="1"/>
  <c r="H714" i="1"/>
  <c r="L714" i="1" s="1"/>
  <c r="H710" i="1"/>
  <c r="L710" i="1" s="1"/>
  <c r="H706" i="1"/>
  <c r="L706" i="1" s="1"/>
  <c r="H702" i="1"/>
  <c r="L702" i="1" s="1"/>
  <c r="H698" i="1"/>
  <c r="L698" i="1" s="1"/>
  <c r="H694" i="1"/>
  <c r="L694" i="1" s="1"/>
  <c r="H690" i="1"/>
  <c r="L690" i="1" s="1"/>
  <c r="H686" i="1"/>
  <c r="L686" i="1" s="1"/>
  <c r="H682" i="1"/>
  <c r="L682" i="1" s="1"/>
  <c r="H678" i="1"/>
  <c r="L678" i="1" s="1"/>
  <c r="H674" i="1"/>
  <c r="L674" i="1" s="1"/>
  <c r="H670" i="1"/>
  <c r="L670" i="1" s="1"/>
  <c r="H666" i="1"/>
  <c r="L666" i="1" s="1"/>
  <c r="H662" i="1"/>
  <c r="L662" i="1" s="1"/>
  <c r="H658" i="1"/>
  <c r="L658" i="1" s="1"/>
  <c r="H654" i="1"/>
  <c r="L654" i="1" s="1"/>
  <c r="H650" i="1"/>
  <c r="L650" i="1" s="1"/>
  <c r="H646" i="1"/>
  <c r="L646" i="1" s="1"/>
  <c r="H642" i="1"/>
  <c r="L642" i="1" s="1"/>
  <c r="H638" i="1"/>
  <c r="L638" i="1" s="1"/>
  <c r="H634" i="1"/>
  <c r="L634" i="1" s="1"/>
  <c r="H630" i="1"/>
  <c r="L630" i="1" s="1"/>
  <c r="H626" i="1"/>
  <c r="L626" i="1" s="1"/>
  <c r="H622" i="1"/>
  <c r="L622" i="1" s="1"/>
  <c r="H618" i="1"/>
  <c r="L618" i="1" s="1"/>
  <c r="H614" i="1"/>
  <c r="L614" i="1" s="1"/>
  <c r="H610" i="1"/>
  <c r="L610" i="1" s="1"/>
  <c r="H606" i="1"/>
  <c r="L606" i="1" s="1"/>
  <c r="H602" i="1"/>
  <c r="L602" i="1" s="1"/>
  <c r="H598" i="1"/>
  <c r="L598" i="1" s="1"/>
  <c r="H594" i="1"/>
  <c r="L594" i="1" s="1"/>
  <c r="H590" i="1"/>
  <c r="L590" i="1" s="1"/>
  <c r="H586" i="1"/>
  <c r="L586" i="1" s="1"/>
  <c r="H582" i="1"/>
  <c r="L582" i="1" s="1"/>
  <c r="H578" i="1"/>
  <c r="L578" i="1" s="1"/>
  <c r="H574" i="1"/>
  <c r="L574" i="1" s="1"/>
  <c r="H570" i="1"/>
  <c r="L570" i="1" s="1"/>
  <c r="H566" i="1"/>
  <c r="L566" i="1" s="1"/>
  <c r="H562" i="1"/>
  <c r="L562" i="1" s="1"/>
  <c r="H558" i="1"/>
  <c r="L558" i="1" s="1"/>
  <c r="H554" i="1"/>
  <c r="L554" i="1" s="1"/>
  <c r="H550" i="1"/>
  <c r="L550" i="1" s="1"/>
  <c r="H546" i="1"/>
  <c r="L546" i="1" s="1"/>
  <c r="H542" i="1"/>
  <c r="L542" i="1" s="1"/>
  <c r="H538" i="1"/>
  <c r="L538" i="1" s="1"/>
  <c r="H534" i="1"/>
  <c r="L534" i="1" s="1"/>
  <c r="H530" i="1"/>
  <c r="L530" i="1" s="1"/>
  <c r="H526" i="1"/>
  <c r="L526" i="1" s="1"/>
  <c r="H522" i="1"/>
  <c r="L522" i="1" s="1"/>
  <c r="H518" i="1"/>
  <c r="L518" i="1" s="1"/>
  <c r="H514" i="1"/>
  <c r="L514" i="1" s="1"/>
  <c r="H510" i="1"/>
  <c r="L510" i="1" s="1"/>
  <c r="H506" i="1"/>
  <c r="L506" i="1" s="1"/>
  <c r="H502" i="1"/>
  <c r="L502" i="1" s="1"/>
  <c r="H498" i="1"/>
  <c r="L498" i="1" s="1"/>
  <c r="H494" i="1"/>
  <c r="L494" i="1" s="1"/>
  <c r="H490" i="1"/>
  <c r="L490" i="1" s="1"/>
  <c r="H486" i="1"/>
  <c r="L486" i="1" s="1"/>
  <c r="H482" i="1"/>
  <c r="L482" i="1" s="1"/>
  <c r="H478" i="1"/>
  <c r="L478" i="1" s="1"/>
  <c r="H474" i="1"/>
  <c r="L474" i="1" s="1"/>
  <c r="H470" i="1"/>
  <c r="L470" i="1" s="1"/>
  <c r="H466" i="1"/>
  <c r="L466" i="1" s="1"/>
  <c r="H462" i="1"/>
  <c r="L462" i="1" s="1"/>
  <c r="H458" i="1"/>
  <c r="L458" i="1" s="1"/>
  <c r="H454" i="1"/>
  <c r="L454" i="1" s="1"/>
  <c r="H450" i="1"/>
  <c r="L450" i="1" s="1"/>
  <c r="H446" i="1"/>
  <c r="L446" i="1" s="1"/>
  <c r="H442" i="1"/>
  <c r="L442" i="1" s="1"/>
  <c r="H438" i="1"/>
  <c r="L438" i="1" s="1"/>
  <c r="H434" i="1"/>
  <c r="L434" i="1" s="1"/>
  <c r="H430" i="1"/>
  <c r="L430" i="1" s="1"/>
  <c r="H426" i="1"/>
  <c r="L426" i="1" s="1"/>
  <c r="H422" i="1"/>
  <c r="L422" i="1" s="1"/>
  <c r="H418" i="1"/>
  <c r="L418" i="1" s="1"/>
  <c r="H414" i="1"/>
  <c r="L414" i="1" s="1"/>
  <c r="H410" i="1"/>
  <c r="L410" i="1" s="1"/>
  <c r="H406" i="1"/>
  <c r="L406" i="1" s="1"/>
  <c r="H402" i="1"/>
  <c r="L402" i="1" s="1"/>
  <c r="H398" i="1"/>
  <c r="L398" i="1" s="1"/>
  <c r="H394" i="1"/>
  <c r="L394" i="1" s="1"/>
  <c r="H390" i="1"/>
  <c r="L390" i="1" s="1"/>
  <c r="H386" i="1"/>
  <c r="L386" i="1" s="1"/>
  <c r="H382" i="1"/>
  <c r="L382" i="1" s="1"/>
  <c r="H378" i="1"/>
  <c r="L378" i="1" s="1"/>
  <c r="H374" i="1"/>
  <c r="L374" i="1" s="1"/>
  <c r="H370" i="1"/>
  <c r="L370" i="1" s="1"/>
  <c r="H366" i="1"/>
  <c r="L366" i="1" s="1"/>
  <c r="H362" i="1"/>
  <c r="L362" i="1" s="1"/>
  <c r="H358" i="1"/>
  <c r="L358" i="1" s="1"/>
  <c r="H354" i="1"/>
  <c r="L354" i="1" s="1"/>
  <c r="H350" i="1"/>
  <c r="L350" i="1" s="1"/>
  <c r="H346" i="1"/>
  <c r="L346" i="1" s="1"/>
  <c r="H342" i="1"/>
  <c r="L342" i="1" s="1"/>
  <c r="H338" i="1"/>
  <c r="L338" i="1" s="1"/>
  <c r="H334" i="1"/>
  <c r="L334" i="1" s="1"/>
  <c r="H330" i="1"/>
  <c r="L330" i="1" s="1"/>
  <c r="H326" i="1"/>
  <c r="L326" i="1" s="1"/>
  <c r="H322" i="1"/>
  <c r="L322" i="1" s="1"/>
  <c r="H318" i="1"/>
  <c r="L318" i="1" s="1"/>
  <c r="H314" i="1"/>
  <c r="L314" i="1" s="1"/>
  <c r="H310" i="1"/>
  <c r="L310" i="1" s="1"/>
  <c r="H306" i="1"/>
  <c r="L306" i="1" s="1"/>
  <c r="H302" i="1"/>
  <c r="L302" i="1" s="1"/>
  <c r="H298" i="1"/>
  <c r="L298" i="1" s="1"/>
  <c r="H294" i="1"/>
  <c r="L294" i="1" s="1"/>
  <c r="H290" i="1"/>
  <c r="L290" i="1" s="1"/>
  <c r="H286" i="1"/>
  <c r="L286" i="1" s="1"/>
  <c r="H282" i="1"/>
  <c r="L282" i="1" s="1"/>
  <c r="H278" i="1"/>
  <c r="L278" i="1" s="1"/>
  <c r="H274" i="1"/>
  <c r="L274" i="1" s="1"/>
  <c r="H270" i="1"/>
  <c r="L270" i="1" s="1"/>
  <c r="H266" i="1"/>
  <c r="L266" i="1" s="1"/>
  <c r="H262" i="1"/>
  <c r="L262" i="1" s="1"/>
  <c r="H258" i="1"/>
  <c r="L258" i="1" s="1"/>
  <c r="H254" i="1"/>
  <c r="L254" i="1" s="1"/>
  <c r="H250" i="1"/>
  <c r="L250" i="1" s="1"/>
  <c r="H246" i="1"/>
  <c r="L246" i="1" s="1"/>
  <c r="H242" i="1"/>
  <c r="L242" i="1" s="1"/>
  <c r="H238" i="1"/>
  <c r="L238" i="1" s="1"/>
  <c r="H234" i="1"/>
  <c r="L234" i="1" s="1"/>
  <c r="H230" i="1"/>
  <c r="L230" i="1" s="1"/>
  <c r="H226" i="1"/>
  <c r="L226" i="1" s="1"/>
  <c r="H222" i="1"/>
  <c r="L222" i="1" s="1"/>
  <c r="H218" i="1"/>
  <c r="L218" i="1" s="1"/>
  <c r="H214" i="1"/>
  <c r="L214" i="1" s="1"/>
  <c r="H210" i="1"/>
  <c r="L210" i="1" s="1"/>
  <c r="H206" i="1"/>
  <c r="L206" i="1" s="1"/>
  <c r="H202" i="1"/>
  <c r="L202" i="1" s="1"/>
  <c r="H198" i="1"/>
  <c r="L198" i="1" s="1"/>
  <c r="H194" i="1"/>
  <c r="L194" i="1" s="1"/>
  <c r="H190" i="1"/>
  <c r="L190" i="1" s="1"/>
  <c r="H186" i="1"/>
  <c r="L186" i="1" s="1"/>
  <c r="H182" i="1"/>
  <c r="L182" i="1" s="1"/>
  <c r="H178" i="1"/>
  <c r="L178" i="1" s="1"/>
  <c r="H174" i="1"/>
  <c r="L174" i="1" s="1"/>
  <c r="H170" i="1"/>
  <c r="L170" i="1" s="1"/>
  <c r="H166" i="1"/>
  <c r="L166" i="1" s="1"/>
  <c r="H162" i="1"/>
  <c r="L162" i="1" s="1"/>
  <c r="H158" i="1"/>
  <c r="L158" i="1" s="1"/>
  <c r="H154" i="1"/>
  <c r="L154" i="1" s="1"/>
  <c r="H150" i="1"/>
  <c r="L150" i="1" s="1"/>
  <c r="H146" i="1"/>
  <c r="L146" i="1" s="1"/>
  <c r="H142" i="1"/>
  <c r="L142" i="1" s="1"/>
  <c r="H138" i="1"/>
  <c r="L138" i="1" s="1"/>
  <c r="H134" i="1"/>
  <c r="L134" i="1" s="1"/>
  <c r="H130" i="1"/>
  <c r="L130" i="1" s="1"/>
  <c r="H126" i="1"/>
  <c r="L126" i="1" s="1"/>
  <c r="H122" i="1"/>
  <c r="L122" i="1" s="1"/>
  <c r="H118" i="1"/>
  <c r="L118" i="1" s="1"/>
  <c r="H114" i="1"/>
  <c r="L114" i="1" s="1"/>
  <c r="H110" i="1"/>
  <c r="L110" i="1" s="1"/>
  <c r="H106" i="1"/>
  <c r="L106" i="1" s="1"/>
  <c r="H102" i="1"/>
  <c r="L102" i="1" s="1"/>
  <c r="H98" i="1"/>
  <c r="L98" i="1" s="1"/>
  <c r="H94" i="1"/>
  <c r="L94" i="1" s="1"/>
  <c r="H90" i="1"/>
  <c r="L90" i="1" s="1"/>
  <c r="H86" i="1"/>
  <c r="L86" i="1" s="1"/>
  <c r="H82" i="1"/>
  <c r="L82" i="1" s="1"/>
  <c r="H78" i="1"/>
  <c r="L78" i="1" s="1"/>
  <c r="H74" i="1"/>
  <c r="L74" i="1" s="1"/>
  <c r="H70" i="1"/>
  <c r="L70" i="1" s="1"/>
  <c r="H66" i="1"/>
  <c r="L66" i="1" s="1"/>
  <c r="H62" i="1"/>
  <c r="L62" i="1" s="1"/>
  <c r="H58" i="1"/>
  <c r="L58" i="1" s="1"/>
  <c r="H54" i="1"/>
  <c r="L54" i="1" s="1"/>
  <c r="H50" i="1"/>
  <c r="L50" i="1" s="1"/>
  <c r="H46" i="1"/>
  <c r="L46" i="1" s="1"/>
  <c r="H42" i="1"/>
  <c r="L42" i="1" s="1"/>
  <c r="H38" i="1"/>
  <c r="L38" i="1" s="1"/>
  <c r="H34" i="1"/>
  <c r="L34" i="1" s="1"/>
  <c r="H30" i="1"/>
  <c r="L30" i="1" s="1"/>
  <c r="H26" i="1"/>
  <c r="L26" i="1" s="1"/>
  <c r="H22" i="1"/>
  <c r="L22" i="1" s="1"/>
  <c r="H18" i="1"/>
  <c r="L18" i="1" s="1"/>
  <c r="H14" i="1"/>
  <c r="L14" i="1" s="1"/>
  <c r="H10" i="1"/>
  <c r="L10" i="1" s="1"/>
  <c r="H6" i="1"/>
  <c r="L6" i="1" s="1"/>
  <c r="H2001" i="1"/>
  <c r="L2001" i="1" s="1"/>
  <c r="H1997" i="1"/>
  <c r="L1997" i="1" s="1"/>
  <c r="H1993" i="1"/>
  <c r="L1993" i="1" s="1"/>
  <c r="H1989" i="1"/>
  <c r="L1989" i="1" s="1"/>
  <c r="H1985" i="1"/>
  <c r="L1985" i="1" s="1"/>
  <c r="H1981" i="1"/>
  <c r="L1981" i="1" s="1"/>
  <c r="H1977" i="1"/>
  <c r="L1977" i="1" s="1"/>
  <c r="H1973" i="1"/>
  <c r="L1973" i="1" s="1"/>
  <c r="H1969" i="1"/>
  <c r="L1969" i="1" s="1"/>
  <c r="H1965" i="1"/>
  <c r="L1965" i="1" s="1"/>
  <c r="H1961" i="1"/>
  <c r="L1961" i="1" s="1"/>
  <c r="H1957" i="1"/>
  <c r="L1957" i="1" s="1"/>
  <c r="H1953" i="1"/>
  <c r="L1953" i="1" s="1"/>
  <c r="H1949" i="1"/>
  <c r="L1949" i="1" s="1"/>
  <c r="H1945" i="1"/>
  <c r="L1945" i="1" s="1"/>
  <c r="H1941" i="1"/>
  <c r="L1941" i="1" s="1"/>
  <c r="H1937" i="1"/>
  <c r="L1937" i="1" s="1"/>
  <c r="H1933" i="1"/>
  <c r="L1933" i="1" s="1"/>
  <c r="H1929" i="1"/>
  <c r="L1929" i="1" s="1"/>
  <c r="H1925" i="1"/>
  <c r="L1925" i="1" s="1"/>
  <c r="H1921" i="1"/>
  <c r="L1921" i="1" s="1"/>
  <c r="H1917" i="1"/>
  <c r="L1917" i="1" s="1"/>
  <c r="H1913" i="1"/>
  <c r="L1913" i="1" s="1"/>
  <c r="H1909" i="1"/>
  <c r="L1909" i="1" s="1"/>
  <c r="H1905" i="1"/>
  <c r="L1905" i="1" s="1"/>
  <c r="H1901" i="1"/>
  <c r="L1901" i="1" s="1"/>
  <c r="H1897" i="1"/>
  <c r="L1897" i="1" s="1"/>
  <c r="H1893" i="1"/>
  <c r="L1893" i="1" s="1"/>
  <c r="H1889" i="1"/>
  <c r="L1889" i="1" s="1"/>
  <c r="H1885" i="1"/>
  <c r="L1885" i="1" s="1"/>
  <c r="H1881" i="1"/>
  <c r="L1881" i="1" s="1"/>
  <c r="H1877" i="1"/>
  <c r="L1877" i="1" s="1"/>
  <c r="H1873" i="1"/>
  <c r="L1873" i="1" s="1"/>
  <c r="H1869" i="1"/>
  <c r="L1869" i="1" s="1"/>
  <c r="H1865" i="1"/>
  <c r="L1865" i="1" s="1"/>
  <c r="H1861" i="1"/>
  <c r="L1861" i="1" s="1"/>
  <c r="H1857" i="1"/>
  <c r="L1857" i="1" s="1"/>
  <c r="H1853" i="1"/>
  <c r="L1853" i="1" s="1"/>
  <c r="H1849" i="1"/>
  <c r="L1849" i="1" s="1"/>
  <c r="H1845" i="1"/>
  <c r="L1845" i="1" s="1"/>
  <c r="H1841" i="1"/>
  <c r="L1841" i="1" s="1"/>
  <c r="H1837" i="1"/>
  <c r="L1837" i="1" s="1"/>
  <c r="H1833" i="1"/>
  <c r="L1833" i="1" s="1"/>
  <c r="H1829" i="1"/>
  <c r="L1829" i="1" s="1"/>
  <c r="H1825" i="1"/>
  <c r="L1825" i="1" s="1"/>
  <c r="H1821" i="1"/>
  <c r="L1821" i="1" s="1"/>
  <c r="H1817" i="1"/>
  <c r="L1817" i="1" s="1"/>
  <c r="H1813" i="1"/>
  <c r="L1813" i="1" s="1"/>
  <c r="H1809" i="1"/>
  <c r="L1809" i="1" s="1"/>
  <c r="H1805" i="1"/>
  <c r="L1805" i="1" s="1"/>
  <c r="H1801" i="1"/>
  <c r="L1801" i="1" s="1"/>
  <c r="H1797" i="1"/>
  <c r="L1797" i="1" s="1"/>
  <c r="H1793" i="1"/>
  <c r="L1793" i="1" s="1"/>
  <c r="H1789" i="1"/>
  <c r="L1789" i="1" s="1"/>
  <c r="H1785" i="1"/>
  <c r="L1785" i="1" s="1"/>
  <c r="H1781" i="1"/>
  <c r="L1781" i="1" s="1"/>
  <c r="H1777" i="1"/>
  <c r="L1777" i="1" s="1"/>
  <c r="H1773" i="1"/>
  <c r="L1773" i="1" s="1"/>
  <c r="H1769" i="1"/>
  <c r="L1769" i="1" s="1"/>
  <c r="H1765" i="1"/>
  <c r="L1765" i="1" s="1"/>
  <c r="H1761" i="1"/>
  <c r="L1761" i="1" s="1"/>
  <c r="H1757" i="1"/>
  <c r="L1757" i="1" s="1"/>
  <c r="H1753" i="1"/>
  <c r="L1753" i="1" s="1"/>
  <c r="H1749" i="1"/>
  <c r="L1749" i="1" s="1"/>
  <c r="H1745" i="1"/>
  <c r="L1745" i="1" s="1"/>
  <c r="H1741" i="1"/>
  <c r="L1741" i="1" s="1"/>
  <c r="H1737" i="1"/>
  <c r="L1737" i="1" s="1"/>
  <c r="H1733" i="1"/>
  <c r="L1733" i="1" s="1"/>
  <c r="H1729" i="1"/>
  <c r="L1729" i="1" s="1"/>
  <c r="H1725" i="1"/>
  <c r="L1725" i="1" s="1"/>
  <c r="H1721" i="1"/>
  <c r="L1721" i="1" s="1"/>
  <c r="H1717" i="1"/>
  <c r="L1717" i="1" s="1"/>
  <c r="H1713" i="1"/>
  <c r="L1713" i="1" s="1"/>
  <c r="H1709" i="1"/>
  <c r="L1709" i="1" s="1"/>
  <c r="H1705" i="1"/>
  <c r="L1705" i="1" s="1"/>
  <c r="H1701" i="1"/>
  <c r="L1701" i="1" s="1"/>
  <c r="H1697" i="1"/>
  <c r="L1697" i="1" s="1"/>
  <c r="H1693" i="1"/>
  <c r="L1693" i="1" s="1"/>
  <c r="H1689" i="1"/>
  <c r="L1689" i="1" s="1"/>
  <c r="H1685" i="1"/>
  <c r="L1685" i="1" s="1"/>
  <c r="H1681" i="1"/>
  <c r="L1681" i="1" s="1"/>
  <c r="H1677" i="1"/>
  <c r="L1677" i="1" s="1"/>
  <c r="H1673" i="1"/>
  <c r="L1673" i="1" s="1"/>
  <c r="H1669" i="1"/>
  <c r="L1669" i="1" s="1"/>
  <c r="H1665" i="1"/>
  <c r="L1665" i="1" s="1"/>
  <c r="H1661" i="1"/>
  <c r="L1661" i="1" s="1"/>
  <c r="H1657" i="1"/>
  <c r="L1657" i="1" s="1"/>
  <c r="H1653" i="1"/>
  <c r="L1653" i="1" s="1"/>
  <c r="H1649" i="1"/>
  <c r="L1649" i="1" s="1"/>
  <c r="H1645" i="1"/>
  <c r="L1645" i="1" s="1"/>
  <c r="H1641" i="1"/>
  <c r="L1641" i="1" s="1"/>
  <c r="H1637" i="1"/>
  <c r="L1637" i="1" s="1"/>
  <c r="H1633" i="1"/>
  <c r="L1633" i="1" s="1"/>
  <c r="H1629" i="1"/>
  <c r="L1629" i="1" s="1"/>
  <c r="H1625" i="1"/>
  <c r="L1625" i="1" s="1"/>
  <c r="H1621" i="1"/>
  <c r="L1621" i="1" s="1"/>
  <c r="H708" i="1"/>
  <c r="L708" i="1" s="1"/>
  <c r="H396" i="1"/>
  <c r="L396" i="1" s="1"/>
  <c r="H1617" i="1"/>
  <c r="L1617" i="1" s="1"/>
  <c r="H1613" i="1"/>
  <c r="L1613" i="1" s="1"/>
  <c r="H1609" i="1"/>
  <c r="L1609" i="1" s="1"/>
  <c r="H1605" i="1"/>
  <c r="L1605" i="1" s="1"/>
  <c r="H1601" i="1"/>
  <c r="L1601" i="1" s="1"/>
  <c r="H1597" i="1"/>
  <c r="L1597" i="1" s="1"/>
  <c r="H1593" i="1"/>
  <c r="L1593" i="1" s="1"/>
  <c r="H1589" i="1"/>
  <c r="L1589" i="1" s="1"/>
  <c r="H1585" i="1"/>
  <c r="L1585" i="1" s="1"/>
  <c r="H1581" i="1"/>
  <c r="L1581" i="1" s="1"/>
  <c r="H1577" i="1"/>
  <c r="L1577" i="1" s="1"/>
  <c r="H1573" i="1"/>
  <c r="L1573" i="1" s="1"/>
  <c r="H1569" i="1"/>
  <c r="L1569" i="1" s="1"/>
  <c r="H1565" i="1"/>
  <c r="L1565" i="1" s="1"/>
  <c r="H1561" i="1"/>
  <c r="L1561" i="1" s="1"/>
  <c r="H1557" i="1"/>
  <c r="L1557" i="1" s="1"/>
  <c r="H1553" i="1"/>
  <c r="L1553" i="1" s="1"/>
  <c r="H1549" i="1"/>
  <c r="L1549" i="1" s="1"/>
  <c r="H1545" i="1"/>
  <c r="L1545" i="1" s="1"/>
  <c r="H1541" i="1"/>
  <c r="L1541" i="1" s="1"/>
  <c r="H1537" i="1"/>
  <c r="L1537" i="1" s="1"/>
  <c r="H1533" i="1"/>
  <c r="L1533" i="1" s="1"/>
  <c r="H1529" i="1"/>
  <c r="L1529" i="1" s="1"/>
  <c r="H1525" i="1"/>
  <c r="L1525" i="1" s="1"/>
  <c r="H1521" i="1"/>
  <c r="L1521" i="1" s="1"/>
  <c r="H1517" i="1"/>
  <c r="L1517" i="1" s="1"/>
  <c r="H1513" i="1"/>
  <c r="L1513" i="1" s="1"/>
  <c r="H1509" i="1"/>
  <c r="L1509" i="1" s="1"/>
  <c r="H1505" i="1"/>
  <c r="L1505" i="1" s="1"/>
  <c r="H1501" i="1"/>
  <c r="L1501" i="1" s="1"/>
  <c r="H1497" i="1"/>
  <c r="L1497" i="1" s="1"/>
  <c r="H1493" i="1"/>
  <c r="L1493" i="1" s="1"/>
  <c r="H1489" i="1"/>
  <c r="L1489" i="1" s="1"/>
  <c r="H1485" i="1"/>
  <c r="L1485" i="1" s="1"/>
  <c r="H1481" i="1"/>
  <c r="L1481" i="1" s="1"/>
  <c r="H1477" i="1"/>
  <c r="L1477" i="1" s="1"/>
  <c r="H1473" i="1"/>
  <c r="L1473" i="1" s="1"/>
  <c r="H1469" i="1"/>
  <c r="L1469" i="1" s="1"/>
  <c r="H1465" i="1"/>
  <c r="L1465" i="1" s="1"/>
  <c r="H1461" i="1"/>
  <c r="L1461" i="1" s="1"/>
  <c r="H1457" i="1"/>
  <c r="L1457" i="1" s="1"/>
  <c r="H1453" i="1"/>
  <c r="L1453" i="1" s="1"/>
  <c r="H1449" i="1"/>
  <c r="L1449" i="1" s="1"/>
  <c r="H1445" i="1"/>
  <c r="L1445" i="1" s="1"/>
  <c r="H1441" i="1"/>
  <c r="L1441" i="1" s="1"/>
  <c r="H1437" i="1"/>
  <c r="L1437" i="1" s="1"/>
  <c r="H1433" i="1"/>
  <c r="L1433" i="1" s="1"/>
  <c r="H1429" i="1"/>
  <c r="L1429" i="1" s="1"/>
  <c r="H1425" i="1"/>
  <c r="L1425" i="1" s="1"/>
  <c r="H1421" i="1"/>
  <c r="L1421" i="1" s="1"/>
  <c r="H1417" i="1"/>
  <c r="L1417" i="1" s="1"/>
  <c r="H1413" i="1"/>
  <c r="L1413" i="1" s="1"/>
  <c r="H1409" i="1"/>
  <c r="L1409" i="1" s="1"/>
  <c r="H1405" i="1"/>
  <c r="L1405" i="1" s="1"/>
  <c r="H1401" i="1"/>
  <c r="L1401" i="1" s="1"/>
  <c r="H1397" i="1"/>
  <c r="L1397" i="1" s="1"/>
  <c r="H1393" i="1"/>
  <c r="L1393" i="1" s="1"/>
  <c r="H1389" i="1"/>
  <c r="L1389" i="1" s="1"/>
  <c r="H1385" i="1"/>
  <c r="L1385" i="1" s="1"/>
  <c r="H1381" i="1"/>
  <c r="L1381" i="1" s="1"/>
  <c r="H1377" i="1"/>
  <c r="L1377" i="1" s="1"/>
  <c r="H1373" i="1"/>
  <c r="L1373" i="1" s="1"/>
  <c r="H1369" i="1"/>
  <c r="L1369" i="1" s="1"/>
  <c r="H1365" i="1"/>
  <c r="L1365" i="1" s="1"/>
  <c r="H1361" i="1"/>
  <c r="L1361" i="1" s="1"/>
  <c r="H1357" i="1"/>
  <c r="L1357" i="1" s="1"/>
  <c r="H1353" i="1"/>
  <c r="L1353" i="1" s="1"/>
  <c r="H1349" i="1"/>
  <c r="L1349" i="1" s="1"/>
  <c r="H1345" i="1"/>
  <c r="L1345" i="1" s="1"/>
  <c r="H1341" i="1"/>
  <c r="L1341" i="1" s="1"/>
  <c r="H1337" i="1"/>
  <c r="L1337" i="1" s="1"/>
  <c r="H1333" i="1"/>
  <c r="L1333" i="1" s="1"/>
  <c r="H1329" i="1"/>
  <c r="L1329" i="1" s="1"/>
  <c r="H1325" i="1"/>
  <c r="L1325" i="1" s="1"/>
  <c r="H1321" i="1"/>
  <c r="L1321" i="1" s="1"/>
  <c r="H1317" i="1"/>
  <c r="L1317" i="1" s="1"/>
  <c r="H1313" i="1"/>
  <c r="L1313" i="1" s="1"/>
  <c r="H1309" i="1"/>
  <c r="L1309" i="1" s="1"/>
  <c r="H1305" i="1"/>
  <c r="L1305" i="1" s="1"/>
  <c r="H1301" i="1"/>
  <c r="L1301" i="1" s="1"/>
  <c r="H1297" i="1"/>
  <c r="L1297" i="1" s="1"/>
  <c r="H1293" i="1"/>
  <c r="L1293" i="1" s="1"/>
  <c r="H1289" i="1"/>
  <c r="L1289" i="1" s="1"/>
  <c r="H1285" i="1"/>
  <c r="L1285" i="1" s="1"/>
  <c r="H1281" i="1"/>
  <c r="L1281" i="1" s="1"/>
  <c r="H1277" i="1"/>
  <c r="L1277" i="1" s="1"/>
  <c r="H1273" i="1"/>
  <c r="L1273" i="1" s="1"/>
  <c r="H1269" i="1"/>
  <c r="L1269" i="1" s="1"/>
  <c r="H1265" i="1"/>
  <c r="L1265" i="1" s="1"/>
  <c r="H1261" i="1"/>
  <c r="L1261" i="1" s="1"/>
  <c r="H1257" i="1"/>
  <c r="L1257" i="1" s="1"/>
  <c r="H1253" i="1"/>
  <c r="L1253" i="1" s="1"/>
  <c r="H1249" i="1"/>
  <c r="L1249" i="1" s="1"/>
  <c r="H1245" i="1"/>
  <c r="L1245" i="1" s="1"/>
  <c r="H1241" i="1"/>
  <c r="L1241" i="1" s="1"/>
  <c r="H1237" i="1"/>
  <c r="L1237" i="1" s="1"/>
  <c r="H1233" i="1"/>
  <c r="L1233" i="1" s="1"/>
  <c r="H1229" i="1"/>
  <c r="L1229" i="1" s="1"/>
  <c r="H1225" i="1"/>
  <c r="L1225" i="1" s="1"/>
  <c r="H1221" i="1"/>
  <c r="L1221" i="1" s="1"/>
  <c r="H1217" i="1"/>
  <c r="L1217" i="1" s="1"/>
  <c r="H1213" i="1"/>
  <c r="L1213" i="1" s="1"/>
  <c r="H1209" i="1"/>
  <c r="L1209" i="1" s="1"/>
  <c r="H1205" i="1"/>
  <c r="L1205" i="1" s="1"/>
  <c r="H1201" i="1"/>
  <c r="L1201" i="1" s="1"/>
  <c r="H1197" i="1"/>
  <c r="L1197" i="1" s="1"/>
  <c r="H1193" i="1"/>
  <c r="L1193" i="1" s="1"/>
  <c r="H1189" i="1"/>
  <c r="L1189" i="1" s="1"/>
  <c r="H1185" i="1"/>
  <c r="L1185" i="1" s="1"/>
  <c r="H1181" i="1"/>
  <c r="L1181" i="1" s="1"/>
  <c r="H1177" i="1"/>
  <c r="L1177" i="1" s="1"/>
  <c r="H1173" i="1"/>
  <c r="L1173" i="1" s="1"/>
  <c r="H1169" i="1"/>
  <c r="L1169" i="1" s="1"/>
  <c r="H1165" i="1"/>
  <c r="L1165" i="1" s="1"/>
  <c r="H1161" i="1"/>
  <c r="L1161" i="1" s="1"/>
  <c r="H1157" i="1"/>
  <c r="L1157" i="1" s="1"/>
  <c r="H1153" i="1"/>
  <c r="L1153" i="1" s="1"/>
  <c r="H1149" i="1"/>
  <c r="L1149" i="1" s="1"/>
  <c r="H1145" i="1"/>
  <c r="L1145" i="1" s="1"/>
  <c r="H1141" i="1"/>
  <c r="L1141" i="1" s="1"/>
  <c r="H1137" i="1"/>
  <c r="L1137" i="1" s="1"/>
  <c r="H1133" i="1"/>
  <c r="L1133" i="1" s="1"/>
  <c r="H1129" i="1"/>
  <c r="L1129" i="1" s="1"/>
  <c r="H1125" i="1"/>
  <c r="L1125" i="1" s="1"/>
  <c r="H1121" i="1"/>
  <c r="L1121" i="1" s="1"/>
  <c r="H1117" i="1"/>
  <c r="L1117" i="1" s="1"/>
  <c r="H1113" i="1"/>
  <c r="L1113" i="1" s="1"/>
  <c r="H1109" i="1"/>
  <c r="L1109" i="1" s="1"/>
  <c r="H1105" i="1"/>
  <c r="L1105" i="1" s="1"/>
  <c r="H1101" i="1"/>
  <c r="L1101" i="1" s="1"/>
  <c r="H1097" i="1"/>
  <c r="L1097" i="1" s="1"/>
  <c r="H1093" i="1"/>
  <c r="L1093" i="1" s="1"/>
  <c r="H1089" i="1"/>
  <c r="L1089" i="1" s="1"/>
  <c r="H1085" i="1"/>
  <c r="L1085" i="1" s="1"/>
  <c r="H1081" i="1"/>
  <c r="L1081" i="1" s="1"/>
  <c r="H1077" i="1"/>
  <c r="L1077" i="1" s="1"/>
  <c r="H1073" i="1"/>
  <c r="L1073" i="1" s="1"/>
  <c r="H1069" i="1"/>
  <c r="L1069" i="1" s="1"/>
  <c r="H1065" i="1"/>
  <c r="L1065" i="1" s="1"/>
  <c r="H1061" i="1"/>
  <c r="L1061" i="1" s="1"/>
  <c r="H1057" i="1"/>
  <c r="L1057" i="1" s="1"/>
  <c r="H1053" i="1"/>
  <c r="L1053" i="1" s="1"/>
  <c r="H1049" i="1"/>
  <c r="L1049" i="1" s="1"/>
  <c r="H1045" i="1"/>
  <c r="L1045" i="1" s="1"/>
  <c r="H1041" i="1"/>
  <c r="L1041" i="1" s="1"/>
  <c r="H1037" i="1"/>
  <c r="L1037" i="1" s="1"/>
  <c r="H1033" i="1"/>
  <c r="L1033" i="1" s="1"/>
  <c r="H1029" i="1"/>
  <c r="L1029" i="1" s="1"/>
  <c r="H1025" i="1"/>
  <c r="L1025" i="1" s="1"/>
  <c r="H1021" i="1"/>
  <c r="L1021" i="1" s="1"/>
  <c r="H1017" i="1"/>
  <c r="L1017" i="1" s="1"/>
  <c r="H1013" i="1"/>
  <c r="L1013" i="1" s="1"/>
  <c r="H1009" i="1"/>
  <c r="L1009" i="1" s="1"/>
  <c r="H1005" i="1"/>
  <c r="L1005" i="1" s="1"/>
  <c r="H1001" i="1"/>
  <c r="L1001" i="1" s="1"/>
  <c r="H997" i="1"/>
  <c r="L997" i="1" s="1"/>
  <c r="H993" i="1"/>
  <c r="L993" i="1" s="1"/>
  <c r="H989" i="1"/>
  <c r="L989" i="1" s="1"/>
  <c r="H985" i="1"/>
  <c r="L985" i="1" s="1"/>
  <c r="H981" i="1"/>
  <c r="L981" i="1" s="1"/>
  <c r="H977" i="1"/>
  <c r="L977" i="1" s="1"/>
  <c r="H973" i="1"/>
  <c r="L973" i="1" s="1"/>
  <c r="H969" i="1"/>
  <c r="L969" i="1" s="1"/>
  <c r="H965" i="1"/>
  <c r="L965" i="1" s="1"/>
  <c r="H961" i="1"/>
  <c r="L961" i="1" s="1"/>
  <c r="H957" i="1"/>
  <c r="L957" i="1" s="1"/>
  <c r="H953" i="1"/>
  <c r="L953" i="1" s="1"/>
  <c r="H949" i="1"/>
  <c r="L949" i="1" s="1"/>
  <c r="H945" i="1"/>
  <c r="L945" i="1" s="1"/>
  <c r="H941" i="1"/>
  <c r="L941" i="1" s="1"/>
  <c r="H937" i="1"/>
  <c r="L937" i="1" s="1"/>
  <c r="H933" i="1"/>
  <c r="L933" i="1" s="1"/>
  <c r="H929" i="1"/>
  <c r="L929" i="1" s="1"/>
  <c r="H925" i="1"/>
  <c r="L925" i="1" s="1"/>
  <c r="H921" i="1"/>
  <c r="L921" i="1" s="1"/>
  <c r="H917" i="1"/>
  <c r="L917" i="1" s="1"/>
  <c r="H913" i="1"/>
  <c r="L913" i="1" s="1"/>
  <c r="H909" i="1"/>
  <c r="L909" i="1" s="1"/>
  <c r="H905" i="1"/>
  <c r="L905" i="1" s="1"/>
  <c r="H901" i="1"/>
  <c r="L901" i="1" s="1"/>
  <c r="H897" i="1"/>
  <c r="L897" i="1" s="1"/>
  <c r="H893" i="1"/>
  <c r="L893" i="1" s="1"/>
  <c r="H889" i="1"/>
  <c r="L889" i="1" s="1"/>
  <c r="H885" i="1"/>
  <c r="L885" i="1" s="1"/>
  <c r="H881" i="1"/>
  <c r="L881" i="1" s="1"/>
  <c r="H877" i="1"/>
  <c r="L877" i="1" s="1"/>
  <c r="H873" i="1"/>
  <c r="L873" i="1" s="1"/>
  <c r="H869" i="1"/>
  <c r="L869" i="1" s="1"/>
  <c r="H865" i="1"/>
  <c r="L865" i="1" s="1"/>
  <c r="H861" i="1"/>
  <c r="L861" i="1" s="1"/>
  <c r="H857" i="1"/>
  <c r="L857" i="1" s="1"/>
  <c r="H853" i="1"/>
  <c r="L853" i="1" s="1"/>
  <c r="H849" i="1"/>
  <c r="L849" i="1" s="1"/>
  <c r="H845" i="1"/>
  <c r="L845" i="1" s="1"/>
  <c r="H841" i="1"/>
  <c r="L841" i="1" s="1"/>
  <c r="H837" i="1"/>
  <c r="L837" i="1" s="1"/>
  <c r="H833" i="1"/>
  <c r="L833" i="1" s="1"/>
  <c r="H829" i="1"/>
  <c r="L829" i="1" s="1"/>
  <c r="H825" i="1"/>
  <c r="L825" i="1" s="1"/>
  <c r="H821" i="1"/>
  <c r="L821" i="1" s="1"/>
  <c r="H817" i="1"/>
  <c r="L817" i="1" s="1"/>
  <c r="H813" i="1"/>
  <c r="L813" i="1" s="1"/>
  <c r="H809" i="1"/>
  <c r="L809" i="1" s="1"/>
  <c r="H805" i="1"/>
  <c r="L805" i="1" s="1"/>
  <c r="H801" i="1"/>
  <c r="L801" i="1" s="1"/>
  <c r="H797" i="1"/>
  <c r="L797" i="1" s="1"/>
  <c r="H793" i="1"/>
  <c r="L793" i="1" s="1"/>
  <c r="H789" i="1"/>
  <c r="L789" i="1" s="1"/>
  <c r="H785" i="1"/>
  <c r="L785" i="1" s="1"/>
  <c r="H781" i="1"/>
  <c r="L781" i="1" s="1"/>
  <c r="H777" i="1"/>
  <c r="L777" i="1" s="1"/>
  <c r="H773" i="1"/>
  <c r="L773" i="1" s="1"/>
  <c r="H769" i="1"/>
  <c r="L769" i="1" s="1"/>
  <c r="H765" i="1"/>
  <c r="L765" i="1" s="1"/>
  <c r="H761" i="1"/>
  <c r="L761" i="1" s="1"/>
  <c r="H757" i="1"/>
  <c r="L757" i="1" s="1"/>
  <c r="H753" i="1"/>
  <c r="L753" i="1" s="1"/>
  <c r="H749" i="1"/>
  <c r="L749" i="1" s="1"/>
  <c r="H745" i="1"/>
  <c r="L745" i="1" s="1"/>
  <c r="H741" i="1"/>
  <c r="L741" i="1" s="1"/>
  <c r="H737" i="1"/>
  <c r="L737" i="1" s="1"/>
  <c r="H733" i="1"/>
  <c r="L733" i="1" s="1"/>
  <c r="H729" i="1"/>
  <c r="L729" i="1" s="1"/>
  <c r="H725" i="1"/>
  <c r="L725" i="1" s="1"/>
  <c r="H721" i="1"/>
  <c r="L721" i="1" s="1"/>
  <c r="H717" i="1"/>
  <c r="L717" i="1" s="1"/>
  <c r="H713" i="1"/>
  <c r="L713" i="1" s="1"/>
  <c r="H709" i="1"/>
  <c r="L709" i="1" s="1"/>
  <c r="H705" i="1"/>
  <c r="L705" i="1" s="1"/>
  <c r="H701" i="1"/>
  <c r="L701" i="1" s="1"/>
  <c r="H697" i="1"/>
  <c r="L697" i="1" s="1"/>
  <c r="H693" i="1"/>
  <c r="L693" i="1" s="1"/>
  <c r="H689" i="1"/>
  <c r="L689" i="1" s="1"/>
  <c r="H685" i="1"/>
  <c r="L685" i="1" s="1"/>
  <c r="H681" i="1"/>
  <c r="L681" i="1" s="1"/>
  <c r="H677" i="1"/>
  <c r="L677" i="1" s="1"/>
  <c r="H673" i="1"/>
  <c r="L673" i="1" s="1"/>
  <c r="H669" i="1"/>
  <c r="L669" i="1" s="1"/>
  <c r="H665" i="1"/>
  <c r="L665" i="1" s="1"/>
  <c r="H661" i="1"/>
  <c r="L661" i="1" s="1"/>
  <c r="H657" i="1"/>
  <c r="L657" i="1" s="1"/>
  <c r="H653" i="1"/>
  <c r="L653" i="1" s="1"/>
  <c r="H649" i="1"/>
  <c r="L649" i="1" s="1"/>
  <c r="H645" i="1"/>
  <c r="L645" i="1" s="1"/>
  <c r="H641" i="1"/>
  <c r="L641" i="1" s="1"/>
  <c r="H637" i="1"/>
  <c r="L637" i="1" s="1"/>
  <c r="H633" i="1"/>
  <c r="L633" i="1" s="1"/>
  <c r="H629" i="1"/>
  <c r="L629" i="1" s="1"/>
  <c r="H625" i="1"/>
  <c r="L625" i="1" s="1"/>
  <c r="H621" i="1"/>
  <c r="L621" i="1" s="1"/>
  <c r="H617" i="1"/>
  <c r="L617" i="1" s="1"/>
  <c r="H613" i="1"/>
  <c r="L613" i="1" s="1"/>
  <c r="H609" i="1"/>
  <c r="L609" i="1" s="1"/>
  <c r="H605" i="1"/>
  <c r="L605" i="1" s="1"/>
  <c r="H601" i="1"/>
  <c r="L601" i="1" s="1"/>
  <c r="H597" i="1"/>
  <c r="L597" i="1" s="1"/>
  <c r="H593" i="1"/>
  <c r="L593" i="1" s="1"/>
  <c r="H589" i="1"/>
  <c r="L589" i="1" s="1"/>
  <c r="H585" i="1"/>
  <c r="L585" i="1" s="1"/>
  <c r="H581" i="1"/>
  <c r="L581" i="1" s="1"/>
  <c r="H577" i="1"/>
  <c r="L577" i="1" s="1"/>
  <c r="H573" i="1"/>
  <c r="L573" i="1" s="1"/>
  <c r="H569" i="1"/>
  <c r="L569" i="1" s="1"/>
  <c r="H565" i="1"/>
  <c r="L565" i="1" s="1"/>
  <c r="H561" i="1"/>
  <c r="L561" i="1" s="1"/>
  <c r="H557" i="1"/>
  <c r="L557" i="1" s="1"/>
  <c r="H553" i="1"/>
  <c r="L553" i="1" s="1"/>
  <c r="H549" i="1"/>
  <c r="L549" i="1" s="1"/>
  <c r="H545" i="1"/>
  <c r="L545" i="1" s="1"/>
  <c r="H541" i="1"/>
  <c r="L541" i="1" s="1"/>
  <c r="H537" i="1"/>
  <c r="L537" i="1" s="1"/>
  <c r="H533" i="1"/>
  <c r="L533" i="1" s="1"/>
  <c r="H529" i="1"/>
  <c r="L529" i="1" s="1"/>
  <c r="H525" i="1"/>
  <c r="L525" i="1" s="1"/>
  <c r="H521" i="1"/>
  <c r="L521" i="1" s="1"/>
  <c r="H517" i="1"/>
  <c r="L517" i="1" s="1"/>
  <c r="H513" i="1"/>
  <c r="L513" i="1" s="1"/>
  <c r="H509" i="1"/>
  <c r="L509" i="1" s="1"/>
  <c r="H505" i="1"/>
  <c r="L505" i="1" s="1"/>
  <c r="H501" i="1"/>
  <c r="L501" i="1" s="1"/>
  <c r="H497" i="1"/>
  <c r="L497" i="1" s="1"/>
  <c r="H493" i="1"/>
  <c r="L493" i="1" s="1"/>
  <c r="H489" i="1"/>
  <c r="L489" i="1" s="1"/>
  <c r="H485" i="1"/>
  <c r="L485" i="1" s="1"/>
  <c r="H481" i="1"/>
  <c r="L481" i="1" s="1"/>
  <c r="H477" i="1"/>
  <c r="L477" i="1" s="1"/>
  <c r="H473" i="1"/>
  <c r="L473" i="1" s="1"/>
  <c r="H469" i="1"/>
  <c r="L469" i="1" s="1"/>
  <c r="H465" i="1"/>
  <c r="L465" i="1" s="1"/>
  <c r="H461" i="1"/>
  <c r="L461" i="1" s="1"/>
  <c r="H457" i="1"/>
  <c r="L457" i="1" s="1"/>
  <c r="H453" i="1"/>
  <c r="L453" i="1" s="1"/>
  <c r="H449" i="1"/>
  <c r="L449" i="1" s="1"/>
  <c r="H445" i="1"/>
  <c r="L445" i="1" s="1"/>
  <c r="H441" i="1"/>
  <c r="L441" i="1" s="1"/>
  <c r="H437" i="1"/>
  <c r="L437" i="1" s="1"/>
  <c r="H433" i="1"/>
  <c r="L433" i="1" s="1"/>
  <c r="H429" i="1"/>
  <c r="L429" i="1" s="1"/>
  <c r="H425" i="1"/>
  <c r="L425" i="1" s="1"/>
  <c r="H421" i="1"/>
  <c r="L421" i="1" s="1"/>
  <c r="H417" i="1"/>
  <c r="L417" i="1" s="1"/>
  <c r="H413" i="1"/>
  <c r="L413" i="1" s="1"/>
  <c r="H409" i="1"/>
  <c r="L409" i="1" s="1"/>
  <c r="H405" i="1"/>
  <c r="L405" i="1" s="1"/>
  <c r="H401" i="1"/>
  <c r="L401" i="1" s="1"/>
  <c r="H397" i="1"/>
  <c r="L397" i="1" s="1"/>
  <c r="H393" i="1"/>
  <c r="L393" i="1" s="1"/>
  <c r="H389" i="1"/>
  <c r="L389" i="1" s="1"/>
  <c r="H385" i="1"/>
  <c r="L385" i="1" s="1"/>
  <c r="H381" i="1"/>
  <c r="L381" i="1" s="1"/>
  <c r="H377" i="1"/>
  <c r="L377" i="1" s="1"/>
  <c r="H373" i="1"/>
  <c r="L373" i="1" s="1"/>
  <c r="H369" i="1"/>
  <c r="L369" i="1" s="1"/>
  <c r="H365" i="1"/>
  <c r="L365" i="1" s="1"/>
  <c r="H361" i="1"/>
  <c r="L361" i="1" s="1"/>
  <c r="H357" i="1"/>
  <c r="L357" i="1" s="1"/>
  <c r="H353" i="1"/>
  <c r="L353" i="1" s="1"/>
  <c r="H349" i="1"/>
  <c r="L349" i="1" s="1"/>
  <c r="H345" i="1"/>
  <c r="L345" i="1" s="1"/>
  <c r="H341" i="1"/>
  <c r="L341" i="1" s="1"/>
  <c r="H337" i="1"/>
  <c r="L337" i="1" s="1"/>
  <c r="H333" i="1"/>
  <c r="L333" i="1" s="1"/>
  <c r="H329" i="1"/>
  <c r="L329" i="1" s="1"/>
  <c r="H325" i="1"/>
  <c r="L325" i="1" s="1"/>
  <c r="H321" i="1"/>
  <c r="L321" i="1" s="1"/>
  <c r="H317" i="1"/>
  <c r="L317" i="1" s="1"/>
  <c r="H313" i="1"/>
  <c r="L313" i="1" s="1"/>
  <c r="H309" i="1"/>
  <c r="L309" i="1" s="1"/>
  <c r="H305" i="1"/>
  <c r="L305" i="1" s="1"/>
  <c r="H301" i="1"/>
  <c r="L301" i="1" s="1"/>
  <c r="H297" i="1"/>
  <c r="L297" i="1" s="1"/>
  <c r="H293" i="1"/>
  <c r="L293" i="1" s="1"/>
  <c r="H289" i="1"/>
  <c r="L289" i="1" s="1"/>
  <c r="H285" i="1"/>
  <c r="L285" i="1" s="1"/>
  <c r="H281" i="1"/>
  <c r="L281" i="1" s="1"/>
  <c r="H964" i="1"/>
  <c r="L964" i="1" s="1"/>
  <c r="H960" i="1"/>
  <c r="L960" i="1" s="1"/>
  <c r="H956" i="1"/>
  <c r="L956" i="1" s="1"/>
  <c r="H952" i="1"/>
  <c r="L952" i="1" s="1"/>
  <c r="H948" i="1"/>
  <c r="L948" i="1" s="1"/>
  <c r="H944" i="1"/>
  <c r="L944" i="1" s="1"/>
  <c r="H940" i="1"/>
  <c r="L940" i="1" s="1"/>
  <c r="H936" i="1"/>
  <c r="L936" i="1" s="1"/>
  <c r="H932" i="1"/>
  <c r="L932" i="1" s="1"/>
  <c r="H928" i="1"/>
  <c r="L928" i="1" s="1"/>
  <c r="H924" i="1"/>
  <c r="L924" i="1" s="1"/>
  <c r="H920" i="1"/>
  <c r="L920" i="1" s="1"/>
  <c r="H916" i="1"/>
  <c r="L916" i="1" s="1"/>
  <c r="H912" i="1"/>
  <c r="L912" i="1" s="1"/>
  <c r="H908" i="1"/>
  <c r="L908" i="1" s="1"/>
  <c r="H904" i="1"/>
  <c r="L904" i="1" s="1"/>
  <c r="H900" i="1"/>
  <c r="L900" i="1" s="1"/>
  <c r="H896" i="1"/>
  <c r="L896" i="1" s="1"/>
  <c r="H892" i="1"/>
  <c r="L892" i="1" s="1"/>
  <c r="H888" i="1"/>
  <c r="L888" i="1" s="1"/>
  <c r="H884" i="1"/>
  <c r="L884" i="1" s="1"/>
  <c r="H880" i="1"/>
  <c r="L880" i="1" s="1"/>
  <c r="H876" i="1"/>
  <c r="L876" i="1" s="1"/>
  <c r="H872" i="1"/>
  <c r="L872" i="1" s="1"/>
  <c r="H868" i="1"/>
  <c r="L868" i="1" s="1"/>
  <c r="H864" i="1"/>
  <c r="L864" i="1" s="1"/>
  <c r="H860" i="1"/>
  <c r="L860" i="1" s="1"/>
  <c r="H856" i="1"/>
  <c r="L856" i="1" s="1"/>
  <c r="H852" i="1"/>
  <c r="L852" i="1" s="1"/>
  <c r="H848" i="1"/>
  <c r="L848" i="1" s="1"/>
  <c r="H844" i="1"/>
  <c r="L844" i="1" s="1"/>
  <c r="H840" i="1"/>
  <c r="L840" i="1" s="1"/>
  <c r="H836" i="1"/>
  <c r="L836" i="1" s="1"/>
  <c r="H832" i="1"/>
  <c r="L832" i="1" s="1"/>
  <c r="H828" i="1"/>
  <c r="L828" i="1" s="1"/>
  <c r="H824" i="1"/>
  <c r="L824" i="1" s="1"/>
  <c r="H820" i="1"/>
  <c r="L820" i="1" s="1"/>
  <c r="H816" i="1"/>
  <c r="L816" i="1" s="1"/>
  <c r="H812" i="1"/>
  <c r="L812" i="1" s="1"/>
  <c r="H808" i="1"/>
  <c r="L808" i="1" s="1"/>
  <c r="H804" i="1"/>
  <c r="L804" i="1" s="1"/>
  <c r="H800" i="1"/>
  <c r="L800" i="1" s="1"/>
  <c r="H796" i="1"/>
  <c r="L796" i="1" s="1"/>
  <c r="H792" i="1"/>
  <c r="L792" i="1" s="1"/>
  <c r="H788" i="1"/>
  <c r="L788" i="1" s="1"/>
  <c r="H784" i="1"/>
  <c r="L784" i="1" s="1"/>
  <c r="H780" i="1"/>
  <c r="L780" i="1" s="1"/>
  <c r="H776" i="1"/>
  <c r="L776" i="1" s="1"/>
  <c r="H772" i="1"/>
  <c r="L772" i="1" s="1"/>
  <c r="H768" i="1"/>
  <c r="L768" i="1" s="1"/>
  <c r="H764" i="1"/>
  <c r="L764" i="1" s="1"/>
  <c r="H760" i="1"/>
  <c r="L760" i="1" s="1"/>
  <c r="H756" i="1"/>
  <c r="L756" i="1" s="1"/>
  <c r="H544" i="1"/>
  <c r="L544" i="1" s="1"/>
  <c r="H277" i="1"/>
  <c r="L277" i="1" s="1"/>
  <c r="H273" i="1"/>
  <c r="L273" i="1" s="1"/>
  <c r="H269" i="1"/>
  <c r="L269" i="1" s="1"/>
  <c r="H265" i="1"/>
  <c r="L265" i="1" s="1"/>
  <c r="H261" i="1"/>
  <c r="L261" i="1" s="1"/>
  <c r="H257" i="1"/>
  <c r="L257" i="1" s="1"/>
  <c r="H253" i="1"/>
  <c r="L253" i="1" s="1"/>
  <c r="H249" i="1"/>
  <c r="L249" i="1" s="1"/>
  <c r="H245" i="1"/>
  <c r="L245" i="1" s="1"/>
  <c r="H241" i="1"/>
  <c r="L241" i="1" s="1"/>
  <c r="H237" i="1"/>
  <c r="L237" i="1" s="1"/>
  <c r="H233" i="1"/>
  <c r="L233" i="1" s="1"/>
  <c r="H229" i="1"/>
  <c r="L229" i="1" s="1"/>
  <c r="H225" i="1"/>
  <c r="L225" i="1" s="1"/>
  <c r="H221" i="1"/>
  <c r="L221" i="1" s="1"/>
  <c r="H217" i="1"/>
  <c r="L217" i="1" s="1"/>
  <c r="H213" i="1"/>
  <c r="L213" i="1" s="1"/>
  <c r="H209" i="1"/>
  <c r="L209" i="1" s="1"/>
  <c r="H205" i="1"/>
  <c r="L205" i="1" s="1"/>
  <c r="H201" i="1"/>
  <c r="L201" i="1" s="1"/>
  <c r="H197" i="1"/>
  <c r="L197" i="1" s="1"/>
  <c r="H193" i="1"/>
  <c r="L193" i="1" s="1"/>
  <c r="H189" i="1"/>
  <c r="L189" i="1" s="1"/>
  <c r="H185" i="1"/>
  <c r="L185" i="1" s="1"/>
  <c r="H181" i="1"/>
  <c r="L181" i="1" s="1"/>
  <c r="H177" i="1"/>
  <c r="L177" i="1" s="1"/>
  <c r="H173" i="1"/>
  <c r="L173" i="1" s="1"/>
  <c r="H169" i="1"/>
  <c r="L169" i="1" s="1"/>
  <c r="H165" i="1"/>
  <c r="L165" i="1" s="1"/>
  <c r="H161" i="1"/>
  <c r="L161" i="1" s="1"/>
  <c r="H157" i="1"/>
  <c r="L157" i="1" s="1"/>
  <c r="H153" i="1"/>
  <c r="L153" i="1" s="1"/>
  <c r="H149" i="1"/>
  <c r="L149" i="1" s="1"/>
  <c r="H145" i="1"/>
  <c r="L145" i="1" s="1"/>
  <c r="H141" i="1"/>
  <c r="L141" i="1" s="1"/>
  <c r="H137" i="1"/>
  <c r="L137" i="1" s="1"/>
  <c r="H133" i="1"/>
  <c r="L133" i="1" s="1"/>
  <c r="H129" i="1"/>
  <c r="L129" i="1" s="1"/>
  <c r="H125" i="1"/>
  <c r="L125" i="1" s="1"/>
  <c r="H121" i="1"/>
  <c r="L121" i="1" s="1"/>
  <c r="H117" i="1"/>
  <c r="L117" i="1" s="1"/>
  <c r="H113" i="1"/>
  <c r="L113" i="1" s="1"/>
  <c r="H109" i="1"/>
  <c r="L109" i="1" s="1"/>
  <c r="H105" i="1"/>
  <c r="L105" i="1" s="1"/>
  <c r="H101" i="1"/>
  <c r="L101" i="1" s="1"/>
  <c r="H97" i="1"/>
  <c r="L97" i="1" s="1"/>
  <c r="H93" i="1"/>
  <c r="L93" i="1" s="1"/>
  <c r="H89" i="1"/>
  <c r="L89" i="1" s="1"/>
  <c r="H85" i="1"/>
  <c r="L85" i="1" s="1"/>
  <c r="H81" i="1"/>
  <c r="L81" i="1" s="1"/>
  <c r="H77" i="1"/>
  <c r="L77" i="1" s="1"/>
  <c r="H73" i="1"/>
  <c r="L73" i="1" s="1"/>
  <c r="H69" i="1"/>
  <c r="L69" i="1" s="1"/>
  <c r="H65" i="1"/>
  <c r="L65" i="1" s="1"/>
  <c r="H61" i="1"/>
  <c r="L61" i="1" s="1"/>
  <c r="H57" i="1"/>
  <c r="L57" i="1" s="1"/>
  <c r="H53" i="1"/>
  <c r="L53" i="1" s="1"/>
  <c r="H49" i="1"/>
  <c r="L49" i="1" s="1"/>
  <c r="H45" i="1"/>
  <c r="L45" i="1" s="1"/>
  <c r="H41" i="1"/>
  <c r="L41" i="1" s="1"/>
  <c r="H37" i="1"/>
  <c r="L37" i="1" s="1"/>
  <c r="H33" i="1"/>
  <c r="L33" i="1" s="1"/>
  <c r="H29" i="1"/>
  <c r="L29" i="1" s="1"/>
  <c r="H25" i="1"/>
  <c r="L25" i="1" s="1"/>
  <c r="H21" i="1"/>
  <c r="L21" i="1" s="1"/>
  <c r="H17" i="1"/>
  <c r="L17" i="1" s="1"/>
  <c r="H13" i="1"/>
  <c r="L13" i="1" s="1"/>
  <c r="H9" i="1"/>
  <c r="L9" i="1" s="1"/>
  <c r="H5" i="1"/>
  <c r="L5" i="1" s="1"/>
  <c r="H1995" i="1"/>
  <c r="L1995" i="1" s="1"/>
  <c r="H1979" i="1"/>
  <c r="L1979" i="1" s="1"/>
  <c r="H1963" i="1"/>
  <c r="L1963" i="1" s="1"/>
  <c r="H1947" i="1"/>
  <c r="L1947" i="1" s="1"/>
  <c r="H1931" i="1"/>
  <c r="L1931" i="1" s="1"/>
  <c r="H1915" i="1"/>
  <c r="L1915" i="1" s="1"/>
  <c r="H1899" i="1"/>
  <c r="L1899" i="1" s="1"/>
  <c r="H1883" i="1"/>
  <c r="L1883" i="1" s="1"/>
  <c r="H1867" i="1"/>
  <c r="L1867" i="1" s="1"/>
  <c r="H1851" i="1"/>
  <c r="L1851" i="1" s="1"/>
  <c r="H752" i="1"/>
  <c r="L752" i="1" s="1"/>
  <c r="H748" i="1"/>
  <c r="L748" i="1" s="1"/>
  <c r="H744" i="1"/>
  <c r="L744" i="1" s="1"/>
  <c r="H740" i="1"/>
  <c r="L740" i="1" s="1"/>
  <c r="H736" i="1"/>
  <c r="L736" i="1" s="1"/>
  <c r="H732" i="1"/>
  <c r="L732" i="1" s="1"/>
  <c r="H728" i="1"/>
  <c r="L728" i="1" s="1"/>
  <c r="H724" i="1"/>
  <c r="L724" i="1" s="1"/>
  <c r="H720" i="1"/>
  <c r="L720" i="1" s="1"/>
  <c r="H716" i="1"/>
  <c r="L716" i="1" s="1"/>
  <c r="H712" i="1"/>
  <c r="L712" i="1" s="1"/>
  <c r="H704" i="1"/>
  <c r="L704" i="1" s="1"/>
  <c r="H700" i="1"/>
  <c r="L700" i="1" s="1"/>
  <c r="H696" i="1"/>
  <c r="L696" i="1" s="1"/>
  <c r="H692" i="1"/>
  <c r="L692" i="1" s="1"/>
  <c r="H688" i="1"/>
  <c r="L688" i="1" s="1"/>
  <c r="H684" i="1"/>
  <c r="L684" i="1" s="1"/>
  <c r="H680" i="1"/>
  <c r="L680" i="1" s="1"/>
  <c r="H676" i="1"/>
  <c r="L676" i="1" s="1"/>
  <c r="H672" i="1"/>
  <c r="L672" i="1" s="1"/>
  <c r="H668" i="1"/>
  <c r="L668" i="1" s="1"/>
  <c r="H664" i="1"/>
  <c r="L664" i="1" s="1"/>
  <c r="H660" i="1"/>
  <c r="L660" i="1" s="1"/>
  <c r="H656" i="1"/>
  <c r="L656" i="1" s="1"/>
  <c r="H652" i="1"/>
  <c r="L652" i="1" s="1"/>
  <c r="H648" i="1"/>
  <c r="L648" i="1" s="1"/>
  <c r="H644" i="1"/>
  <c r="L644" i="1" s="1"/>
  <c r="H640" i="1"/>
  <c r="L640" i="1" s="1"/>
  <c r="H636" i="1"/>
  <c r="L636" i="1" s="1"/>
  <c r="H632" i="1"/>
  <c r="L632" i="1" s="1"/>
  <c r="H628" i="1"/>
  <c r="L628" i="1" s="1"/>
  <c r="H624" i="1"/>
  <c r="L624" i="1" s="1"/>
  <c r="H620" i="1"/>
  <c r="L620" i="1" s="1"/>
  <c r="H616" i="1"/>
  <c r="L616" i="1" s="1"/>
  <c r="H612" i="1"/>
  <c r="L612" i="1" s="1"/>
  <c r="H608" i="1"/>
  <c r="L608" i="1" s="1"/>
  <c r="H604" i="1"/>
  <c r="L604" i="1" s="1"/>
  <c r="H600" i="1"/>
  <c r="L600" i="1" s="1"/>
  <c r="H596" i="1"/>
  <c r="L596" i="1" s="1"/>
  <c r="H592" i="1"/>
  <c r="L592" i="1" s="1"/>
  <c r="H588" i="1"/>
  <c r="L588" i="1" s="1"/>
  <c r="H584" i="1"/>
  <c r="L584" i="1" s="1"/>
  <c r="H580" i="1"/>
  <c r="L580" i="1" s="1"/>
  <c r="H576" i="1"/>
  <c r="L576" i="1" s="1"/>
  <c r="H572" i="1"/>
  <c r="L572" i="1" s="1"/>
  <c r="H568" i="1"/>
  <c r="L568" i="1" s="1"/>
  <c r="H564" i="1"/>
  <c r="L564" i="1" s="1"/>
  <c r="H560" i="1"/>
  <c r="L560" i="1" s="1"/>
  <c r="H556" i="1"/>
  <c r="L556" i="1" s="1"/>
  <c r="H552" i="1"/>
  <c r="L552" i="1" s="1"/>
  <c r="H548" i="1"/>
  <c r="L548" i="1" s="1"/>
  <c r="H540" i="1"/>
  <c r="L540" i="1" s="1"/>
  <c r="H536" i="1"/>
  <c r="L536" i="1" s="1"/>
  <c r="H532" i="1"/>
  <c r="L532" i="1" s="1"/>
  <c r="H528" i="1"/>
  <c r="L528" i="1" s="1"/>
  <c r="H524" i="1"/>
  <c r="L524" i="1" s="1"/>
  <c r="H520" i="1"/>
  <c r="L520" i="1" s="1"/>
  <c r="H516" i="1"/>
  <c r="L516" i="1" s="1"/>
  <c r="H512" i="1"/>
  <c r="L512" i="1" s="1"/>
  <c r="H508" i="1"/>
  <c r="L508" i="1" s="1"/>
  <c r="H504" i="1"/>
  <c r="L504" i="1" s="1"/>
  <c r="H500" i="1"/>
  <c r="L500" i="1" s="1"/>
  <c r="H496" i="1"/>
  <c r="L496" i="1" s="1"/>
  <c r="H492" i="1"/>
  <c r="L492" i="1" s="1"/>
  <c r="H488" i="1"/>
  <c r="L488" i="1" s="1"/>
  <c r="H484" i="1"/>
  <c r="L484" i="1" s="1"/>
  <c r="H480" i="1"/>
  <c r="L480" i="1" s="1"/>
  <c r="H476" i="1"/>
  <c r="L476" i="1" s="1"/>
  <c r="H472" i="1"/>
  <c r="L472" i="1" s="1"/>
  <c r="H468" i="1"/>
  <c r="L468" i="1" s="1"/>
  <c r="H464" i="1"/>
  <c r="L464" i="1" s="1"/>
  <c r="H460" i="1"/>
  <c r="L460" i="1" s="1"/>
  <c r="H456" i="1"/>
  <c r="L456" i="1" s="1"/>
  <c r="H452" i="1"/>
  <c r="L452" i="1" s="1"/>
  <c r="H448" i="1"/>
  <c r="L448" i="1" s="1"/>
  <c r="H444" i="1"/>
  <c r="L444" i="1" s="1"/>
  <c r="H440" i="1"/>
  <c r="L440" i="1" s="1"/>
  <c r="H436" i="1"/>
  <c r="L436" i="1" s="1"/>
  <c r="H432" i="1"/>
  <c r="L432" i="1" s="1"/>
  <c r="H428" i="1"/>
  <c r="L428" i="1" s="1"/>
  <c r="H424" i="1"/>
  <c r="L424" i="1" s="1"/>
  <c r="H420" i="1"/>
  <c r="L420" i="1" s="1"/>
  <c r="H416" i="1"/>
  <c r="L416" i="1" s="1"/>
  <c r="H412" i="1"/>
  <c r="L412" i="1" s="1"/>
  <c r="H408" i="1"/>
  <c r="L408" i="1" s="1"/>
  <c r="H404" i="1"/>
  <c r="L404" i="1" s="1"/>
  <c r="H400" i="1"/>
  <c r="L400" i="1" s="1"/>
  <c r="H392" i="1"/>
  <c r="L392" i="1" s="1"/>
  <c r="H388" i="1"/>
  <c r="L388" i="1" s="1"/>
  <c r="H384" i="1"/>
  <c r="L384" i="1" s="1"/>
  <c r="H380" i="1"/>
  <c r="L380" i="1" s="1"/>
  <c r="H376" i="1"/>
  <c r="L376" i="1" s="1"/>
  <c r="H372" i="1"/>
  <c r="L372" i="1" s="1"/>
  <c r="H368" i="1"/>
  <c r="L368" i="1" s="1"/>
  <c r="H364" i="1"/>
  <c r="L364" i="1" s="1"/>
  <c r="H360" i="1"/>
  <c r="L360" i="1" s="1"/>
  <c r="H356" i="1"/>
  <c r="L356" i="1" s="1"/>
  <c r="H352" i="1"/>
  <c r="L352" i="1" s="1"/>
  <c r="H348" i="1"/>
  <c r="L348" i="1" s="1"/>
  <c r="H344" i="1"/>
  <c r="L344" i="1" s="1"/>
  <c r="H340" i="1"/>
  <c r="L340" i="1" s="1"/>
  <c r="H336" i="1"/>
  <c r="L336" i="1" s="1"/>
  <c r="H332" i="1"/>
  <c r="L332" i="1" s="1"/>
  <c r="H328" i="1"/>
  <c r="L328" i="1" s="1"/>
  <c r="H324" i="1"/>
  <c r="L324" i="1" s="1"/>
  <c r="H320" i="1"/>
  <c r="L320" i="1" s="1"/>
  <c r="H316" i="1"/>
  <c r="L316" i="1" s="1"/>
  <c r="H312" i="1"/>
  <c r="L312" i="1" s="1"/>
  <c r="H308" i="1"/>
  <c r="L308" i="1" s="1"/>
  <c r="H304" i="1"/>
  <c r="L304" i="1" s="1"/>
  <c r="H300" i="1"/>
  <c r="L300" i="1" s="1"/>
  <c r="H1835" i="1"/>
  <c r="L1835" i="1" s="1"/>
  <c r="H1819" i="1"/>
  <c r="L1819" i="1" s="1"/>
  <c r="H1803" i="1"/>
  <c r="L1803" i="1" s="1"/>
  <c r="H1787" i="1"/>
  <c r="L1787" i="1" s="1"/>
  <c r="H1771" i="1"/>
  <c r="L1771" i="1" s="1"/>
  <c r="H1755" i="1"/>
  <c r="L1755" i="1" s="1"/>
  <c r="H1739" i="1"/>
  <c r="L1739" i="1" s="1"/>
  <c r="H1723" i="1"/>
  <c r="L1723" i="1" s="1"/>
  <c r="H1707" i="1"/>
  <c r="L1707" i="1" s="1"/>
  <c r="H1691" i="1"/>
  <c r="L1691" i="1" s="1"/>
  <c r="H1675" i="1"/>
  <c r="L1675" i="1" s="1"/>
  <c r="H1659" i="1"/>
  <c r="L1659" i="1" s="1"/>
  <c r="H1643" i="1"/>
  <c r="L1643" i="1" s="1"/>
  <c r="H1627" i="1"/>
  <c r="L1627" i="1" s="1"/>
  <c r="H1611" i="1"/>
  <c r="L1611" i="1" s="1"/>
  <c r="H1595" i="1"/>
  <c r="L1595" i="1" s="1"/>
  <c r="H1579" i="1"/>
  <c r="L1579" i="1" s="1"/>
  <c r="H1563" i="1"/>
  <c r="L1563" i="1" s="1"/>
  <c r="H1547" i="1"/>
  <c r="L1547" i="1" s="1"/>
  <c r="H1531" i="1"/>
  <c r="L1531" i="1" s="1"/>
  <c r="H1515" i="1"/>
  <c r="L1515" i="1" s="1"/>
  <c r="H1499" i="1"/>
  <c r="L1499" i="1" s="1"/>
  <c r="H1483" i="1"/>
  <c r="L1483" i="1" s="1"/>
  <c r="H1467" i="1"/>
  <c r="L1467" i="1" s="1"/>
  <c r="H1451" i="1"/>
  <c r="L1451" i="1" s="1"/>
  <c r="H1435" i="1"/>
  <c r="L1435" i="1" s="1"/>
  <c r="H1419" i="1"/>
  <c r="L1419" i="1" s="1"/>
  <c r="H1403" i="1"/>
  <c r="L1403" i="1" s="1"/>
  <c r="H1387" i="1"/>
  <c r="L1387" i="1" s="1"/>
  <c r="H1371" i="1"/>
  <c r="L1371" i="1" s="1"/>
  <c r="H1071" i="1"/>
  <c r="L1071" i="1" s="1"/>
  <c r="H1043" i="1"/>
  <c r="L1043" i="1" s="1"/>
  <c r="H1023" i="1"/>
  <c r="L1023" i="1" s="1"/>
  <c r="H923" i="1"/>
  <c r="L923" i="1" s="1"/>
  <c r="H859" i="1"/>
  <c r="L859" i="1" s="1"/>
  <c r="H443" i="1"/>
  <c r="L443" i="1" s="1"/>
  <c r="H379" i="1"/>
  <c r="L379" i="1" s="1"/>
  <c r="H296" i="1"/>
  <c r="L296" i="1" s="1"/>
  <c r="H292" i="1"/>
  <c r="L292" i="1" s="1"/>
  <c r="H288" i="1"/>
  <c r="L288" i="1" s="1"/>
  <c r="H284" i="1"/>
  <c r="L284" i="1" s="1"/>
  <c r="H280" i="1"/>
  <c r="L280" i="1" s="1"/>
  <c r="H276" i="1"/>
  <c r="L276" i="1" s="1"/>
  <c r="H272" i="1"/>
  <c r="L272" i="1" s="1"/>
  <c r="H268" i="1"/>
  <c r="L268" i="1" s="1"/>
  <c r="H264" i="1"/>
  <c r="L264" i="1" s="1"/>
  <c r="H260" i="1"/>
  <c r="L260" i="1" s="1"/>
  <c r="H256" i="1"/>
  <c r="L256" i="1" s="1"/>
  <c r="H252" i="1"/>
  <c r="L252" i="1" s="1"/>
  <c r="H248" i="1"/>
  <c r="L248" i="1" s="1"/>
  <c r="H244" i="1"/>
  <c r="L244" i="1" s="1"/>
  <c r="H240" i="1"/>
  <c r="L240" i="1" s="1"/>
  <c r="H236" i="1"/>
  <c r="L236" i="1" s="1"/>
  <c r="H232" i="1"/>
  <c r="L232" i="1" s="1"/>
  <c r="H228" i="1"/>
  <c r="L228" i="1" s="1"/>
  <c r="H224" i="1"/>
  <c r="L224" i="1" s="1"/>
  <c r="H220" i="1"/>
  <c r="L220" i="1" s="1"/>
  <c r="H216" i="1"/>
  <c r="L216" i="1" s="1"/>
  <c r="H212" i="1"/>
  <c r="L212" i="1" s="1"/>
  <c r="H208" i="1"/>
  <c r="L208" i="1" s="1"/>
  <c r="H204" i="1"/>
  <c r="L204" i="1" s="1"/>
  <c r="H200" i="1"/>
  <c r="L200" i="1" s="1"/>
  <c r="H196" i="1"/>
  <c r="L196" i="1" s="1"/>
  <c r="H192" i="1"/>
  <c r="L192" i="1" s="1"/>
  <c r="H188" i="1"/>
  <c r="L188" i="1" s="1"/>
  <c r="H184" i="1"/>
  <c r="L184" i="1" s="1"/>
  <c r="H180" i="1"/>
  <c r="L180" i="1" s="1"/>
  <c r="H176" i="1"/>
  <c r="L176" i="1" s="1"/>
  <c r="H172" i="1"/>
  <c r="L172" i="1" s="1"/>
  <c r="H168" i="1"/>
  <c r="L168" i="1" s="1"/>
  <c r="H164" i="1"/>
  <c r="L164" i="1" s="1"/>
  <c r="H160" i="1"/>
  <c r="L160" i="1" s="1"/>
  <c r="H156" i="1"/>
  <c r="L156" i="1" s="1"/>
  <c r="H152" i="1"/>
  <c r="L152" i="1" s="1"/>
  <c r="H148" i="1"/>
  <c r="L148" i="1" s="1"/>
  <c r="H144" i="1"/>
  <c r="L144" i="1" s="1"/>
  <c r="H140" i="1"/>
  <c r="L140" i="1" s="1"/>
  <c r="H136" i="1"/>
  <c r="L136" i="1" s="1"/>
  <c r="H132" i="1"/>
  <c r="L132" i="1" s="1"/>
  <c r="H128" i="1"/>
  <c r="L128" i="1" s="1"/>
  <c r="H124" i="1"/>
  <c r="L124" i="1" s="1"/>
  <c r="H120" i="1"/>
  <c r="L120" i="1" s="1"/>
  <c r="H116" i="1"/>
  <c r="L116" i="1" s="1"/>
  <c r="H112" i="1"/>
  <c r="L112" i="1" s="1"/>
  <c r="H108" i="1"/>
  <c r="L108" i="1" s="1"/>
  <c r="H104" i="1"/>
  <c r="L104" i="1" s="1"/>
  <c r="H100" i="1"/>
  <c r="L100" i="1" s="1"/>
  <c r="H96" i="1"/>
  <c r="L96" i="1" s="1"/>
  <c r="H92" i="1"/>
  <c r="L92" i="1" s="1"/>
  <c r="H88" i="1"/>
  <c r="L88" i="1" s="1"/>
  <c r="H84" i="1"/>
  <c r="L84" i="1" s="1"/>
  <c r="H80" i="1"/>
  <c r="L80" i="1" s="1"/>
  <c r="H76" i="1"/>
  <c r="L76" i="1" s="1"/>
  <c r="H72" i="1"/>
  <c r="L72" i="1" s="1"/>
  <c r="H68" i="1"/>
  <c r="L68" i="1" s="1"/>
  <c r="H64" i="1"/>
  <c r="L64" i="1" s="1"/>
  <c r="H60" i="1"/>
  <c r="L60" i="1" s="1"/>
  <c r="H56" i="1"/>
  <c r="L56" i="1" s="1"/>
  <c r="H52" i="1"/>
  <c r="L52" i="1" s="1"/>
  <c r="H48" i="1"/>
  <c r="L48" i="1" s="1"/>
  <c r="H44" i="1"/>
  <c r="L44" i="1" s="1"/>
  <c r="H40" i="1"/>
  <c r="L40" i="1" s="1"/>
  <c r="H36" i="1"/>
  <c r="L36" i="1" s="1"/>
  <c r="H32" i="1"/>
  <c r="L32" i="1" s="1"/>
  <c r="H28" i="1"/>
  <c r="L28" i="1" s="1"/>
  <c r="H24" i="1"/>
  <c r="L24" i="1" s="1"/>
  <c r="H20" i="1"/>
  <c r="L20" i="1" s="1"/>
  <c r="H16" i="1"/>
  <c r="L16" i="1" s="1"/>
  <c r="H12" i="1"/>
  <c r="L12" i="1" s="1"/>
  <c r="H8" i="1"/>
  <c r="L8" i="1" s="1"/>
  <c r="H1119" i="1"/>
  <c r="L1119" i="1" s="1"/>
  <c r="H1091" i="1"/>
  <c r="L1091" i="1" s="1"/>
  <c r="H1063" i="1"/>
  <c r="L1063" i="1" s="1"/>
  <c r="H999" i="1"/>
  <c r="L999" i="1" s="1"/>
  <c r="H935" i="1"/>
  <c r="L935" i="1" s="1"/>
  <c r="H871" i="1"/>
  <c r="L871" i="1" s="1"/>
  <c r="H795" i="1"/>
  <c r="L795" i="1" s="1"/>
  <c r="H735" i="1"/>
  <c r="L735" i="1" s="1"/>
  <c r="H695" i="1"/>
  <c r="L695" i="1" s="1"/>
  <c r="H671" i="1"/>
  <c r="L671" i="1" s="1"/>
  <c r="H631" i="1"/>
  <c r="L631" i="1" s="1"/>
  <c r="H607" i="1"/>
  <c r="L607" i="1" s="1"/>
  <c r="H567" i="1"/>
  <c r="L567" i="1" s="1"/>
  <c r="H507" i="1"/>
  <c r="L507" i="1" s="1"/>
  <c r="H431" i="1"/>
  <c r="L431" i="1" s="1"/>
  <c r="H367" i="1"/>
  <c r="L367" i="1" s="1"/>
  <c r="H1999" i="1"/>
  <c r="L1999" i="1" s="1"/>
  <c r="H1983" i="1"/>
  <c r="L1983" i="1" s="1"/>
  <c r="H1975" i="1"/>
  <c r="L1975" i="1" s="1"/>
  <c r="H1967" i="1"/>
  <c r="L1967" i="1" s="1"/>
  <c r="H1955" i="1"/>
  <c r="L1955" i="1" s="1"/>
  <c r="H1943" i="1"/>
  <c r="L1943" i="1" s="1"/>
  <c r="H1935" i="1"/>
  <c r="L1935" i="1" s="1"/>
  <c r="H1923" i="1"/>
  <c r="L1923" i="1" s="1"/>
  <c r="H1911" i="1"/>
  <c r="L1911" i="1" s="1"/>
  <c r="H1903" i="1"/>
  <c r="L1903" i="1" s="1"/>
  <c r="H1895" i="1"/>
  <c r="L1895" i="1" s="1"/>
  <c r="H1887" i="1"/>
  <c r="L1887" i="1" s="1"/>
  <c r="H1875" i="1"/>
  <c r="L1875" i="1" s="1"/>
  <c r="H1859" i="1"/>
  <c r="L1859" i="1" s="1"/>
  <c r="H1839" i="1"/>
  <c r="L1839" i="1" s="1"/>
  <c r="H1827" i="1"/>
  <c r="L1827" i="1" s="1"/>
  <c r="H1815" i="1"/>
  <c r="L1815" i="1" s="1"/>
  <c r="H1807" i="1"/>
  <c r="L1807" i="1" s="1"/>
  <c r="H1795" i="1"/>
  <c r="L1795" i="1" s="1"/>
  <c r="H1783" i="1"/>
  <c r="L1783" i="1" s="1"/>
  <c r="H1775" i="1"/>
  <c r="L1775" i="1" s="1"/>
  <c r="H1763" i="1"/>
  <c r="L1763" i="1" s="1"/>
  <c r="H1751" i="1"/>
  <c r="L1751" i="1" s="1"/>
  <c r="H1743" i="1"/>
  <c r="L1743" i="1" s="1"/>
  <c r="H1731" i="1"/>
  <c r="L1731" i="1" s="1"/>
  <c r="H1719" i="1"/>
  <c r="L1719" i="1" s="1"/>
  <c r="H1711" i="1"/>
  <c r="L1711" i="1" s="1"/>
  <c r="H1699" i="1"/>
  <c r="L1699" i="1" s="1"/>
  <c r="H1687" i="1"/>
  <c r="L1687" i="1" s="1"/>
  <c r="H1679" i="1"/>
  <c r="L1679" i="1" s="1"/>
  <c r="H1667" i="1"/>
  <c r="L1667" i="1" s="1"/>
  <c r="H1655" i="1"/>
  <c r="L1655" i="1" s="1"/>
  <c r="H1647" i="1"/>
  <c r="L1647" i="1" s="1"/>
  <c r="H1639" i="1"/>
  <c r="L1639" i="1" s="1"/>
  <c r="H1631" i="1"/>
  <c r="L1631" i="1" s="1"/>
  <c r="H1623" i="1"/>
  <c r="L1623" i="1" s="1"/>
  <c r="H1615" i="1"/>
  <c r="L1615" i="1" s="1"/>
  <c r="H1603" i="1"/>
  <c r="L1603" i="1" s="1"/>
  <c r="H1591" i="1"/>
  <c r="L1591" i="1" s="1"/>
  <c r="H1583" i="1"/>
  <c r="L1583" i="1" s="1"/>
  <c r="H1571" i="1"/>
  <c r="L1571" i="1" s="1"/>
  <c r="H1555" i="1"/>
  <c r="L1555" i="1" s="1"/>
  <c r="H1543" i="1"/>
  <c r="L1543" i="1" s="1"/>
  <c r="H1535" i="1"/>
  <c r="L1535" i="1" s="1"/>
  <c r="H1523" i="1"/>
  <c r="L1523" i="1" s="1"/>
  <c r="H1511" i="1"/>
  <c r="L1511" i="1" s="1"/>
  <c r="H1503" i="1"/>
  <c r="L1503" i="1" s="1"/>
  <c r="H1495" i="1"/>
  <c r="L1495" i="1" s="1"/>
  <c r="H1487" i="1"/>
  <c r="L1487" i="1" s="1"/>
  <c r="H1475" i="1"/>
  <c r="L1475" i="1" s="1"/>
  <c r="H1463" i="1"/>
  <c r="L1463" i="1" s="1"/>
  <c r="H1455" i="1"/>
  <c r="L1455" i="1" s="1"/>
  <c r="H1443" i="1"/>
  <c r="L1443" i="1" s="1"/>
  <c r="H1427" i="1"/>
  <c r="L1427" i="1" s="1"/>
  <c r="H1415" i="1"/>
  <c r="L1415" i="1" s="1"/>
  <c r="H1407" i="1"/>
  <c r="L1407" i="1" s="1"/>
  <c r="H1395" i="1"/>
  <c r="L1395" i="1" s="1"/>
  <c r="H1379" i="1"/>
  <c r="L1379" i="1" s="1"/>
  <c r="H1363" i="1"/>
  <c r="L1363" i="1" s="1"/>
  <c r="H1359" i="1"/>
  <c r="L1359" i="1" s="1"/>
  <c r="H1351" i="1"/>
  <c r="L1351" i="1" s="1"/>
  <c r="H1343" i="1"/>
  <c r="L1343" i="1" s="1"/>
  <c r="H1335" i="1"/>
  <c r="L1335" i="1" s="1"/>
  <c r="H1327" i="1"/>
  <c r="L1327" i="1" s="1"/>
  <c r="H1319" i="1"/>
  <c r="L1319" i="1" s="1"/>
  <c r="H1311" i="1"/>
  <c r="L1311" i="1" s="1"/>
  <c r="H1299" i="1"/>
  <c r="L1299" i="1" s="1"/>
  <c r="H1291" i="1"/>
  <c r="L1291" i="1" s="1"/>
  <c r="H1283" i="1"/>
  <c r="L1283" i="1" s="1"/>
  <c r="H1275" i="1"/>
  <c r="L1275" i="1" s="1"/>
  <c r="H1267" i="1"/>
  <c r="L1267" i="1" s="1"/>
  <c r="H1259" i="1"/>
  <c r="L1259" i="1" s="1"/>
  <c r="H1251" i="1"/>
  <c r="L1251" i="1" s="1"/>
  <c r="H1243" i="1"/>
  <c r="L1243" i="1" s="1"/>
  <c r="H1235" i="1"/>
  <c r="L1235" i="1" s="1"/>
  <c r="H1227" i="1"/>
  <c r="L1227" i="1" s="1"/>
  <c r="H1215" i="1"/>
  <c r="L1215" i="1" s="1"/>
  <c r="H1019" i="1"/>
  <c r="L1019" i="1" s="1"/>
  <c r="H1991" i="1"/>
  <c r="L1991" i="1" s="1"/>
  <c r="H1987" i="1"/>
  <c r="L1987" i="1" s="1"/>
  <c r="H1971" i="1"/>
  <c r="L1971" i="1" s="1"/>
  <c r="H1959" i="1"/>
  <c r="L1959" i="1" s="1"/>
  <c r="H1951" i="1"/>
  <c r="L1951" i="1" s="1"/>
  <c r="H1939" i="1"/>
  <c r="L1939" i="1" s="1"/>
  <c r="H1927" i="1"/>
  <c r="L1927" i="1" s="1"/>
  <c r="H1919" i="1"/>
  <c r="L1919" i="1" s="1"/>
  <c r="H1907" i="1"/>
  <c r="L1907" i="1" s="1"/>
  <c r="H1891" i="1"/>
  <c r="L1891" i="1" s="1"/>
  <c r="H1879" i="1"/>
  <c r="L1879" i="1" s="1"/>
  <c r="H1871" i="1"/>
  <c r="L1871" i="1" s="1"/>
  <c r="H1863" i="1"/>
  <c r="L1863" i="1" s="1"/>
  <c r="H1855" i="1"/>
  <c r="L1855" i="1" s="1"/>
  <c r="H1847" i="1"/>
  <c r="L1847" i="1" s="1"/>
  <c r="H1843" i="1"/>
  <c r="L1843" i="1" s="1"/>
  <c r="H1831" i="1"/>
  <c r="L1831" i="1" s="1"/>
  <c r="H1823" i="1"/>
  <c r="L1823" i="1" s="1"/>
  <c r="H1811" i="1"/>
  <c r="L1811" i="1" s="1"/>
  <c r="H1799" i="1"/>
  <c r="L1799" i="1" s="1"/>
  <c r="H1791" i="1"/>
  <c r="L1791" i="1" s="1"/>
  <c r="H1779" i="1"/>
  <c r="L1779" i="1" s="1"/>
  <c r="H1767" i="1"/>
  <c r="L1767" i="1" s="1"/>
  <c r="H1759" i="1"/>
  <c r="L1759" i="1" s="1"/>
  <c r="H1747" i="1"/>
  <c r="L1747" i="1" s="1"/>
  <c r="H1735" i="1"/>
  <c r="L1735" i="1" s="1"/>
  <c r="H1727" i="1"/>
  <c r="L1727" i="1" s="1"/>
  <c r="H1715" i="1"/>
  <c r="L1715" i="1" s="1"/>
  <c r="H1703" i="1"/>
  <c r="L1703" i="1" s="1"/>
  <c r="H1695" i="1"/>
  <c r="L1695" i="1" s="1"/>
  <c r="H1683" i="1"/>
  <c r="L1683" i="1" s="1"/>
  <c r="H1671" i="1"/>
  <c r="L1671" i="1" s="1"/>
  <c r="H1663" i="1"/>
  <c r="L1663" i="1" s="1"/>
  <c r="H1651" i="1"/>
  <c r="L1651" i="1" s="1"/>
  <c r="H1635" i="1"/>
  <c r="L1635" i="1" s="1"/>
  <c r="H1619" i="1"/>
  <c r="L1619" i="1" s="1"/>
  <c r="H1607" i="1"/>
  <c r="L1607" i="1" s="1"/>
  <c r="H1599" i="1"/>
  <c r="L1599" i="1" s="1"/>
  <c r="H1587" i="1"/>
  <c r="L1587" i="1" s="1"/>
  <c r="H1575" i="1"/>
  <c r="L1575" i="1" s="1"/>
  <c r="H1567" i="1"/>
  <c r="L1567" i="1" s="1"/>
  <c r="H1559" i="1"/>
  <c r="L1559" i="1" s="1"/>
  <c r="H1551" i="1"/>
  <c r="L1551" i="1" s="1"/>
  <c r="H1539" i="1"/>
  <c r="L1539" i="1" s="1"/>
  <c r="H1527" i="1"/>
  <c r="L1527" i="1" s="1"/>
  <c r="H1519" i="1"/>
  <c r="L1519" i="1" s="1"/>
  <c r="H1507" i="1"/>
  <c r="L1507" i="1" s="1"/>
  <c r="H1491" i="1"/>
  <c r="L1491" i="1" s="1"/>
  <c r="H1479" i="1"/>
  <c r="L1479" i="1" s="1"/>
  <c r="H1471" i="1"/>
  <c r="L1471" i="1" s="1"/>
  <c r="H1459" i="1"/>
  <c r="L1459" i="1" s="1"/>
  <c r="H1447" i="1"/>
  <c r="L1447" i="1" s="1"/>
  <c r="H1439" i="1"/>
  <c r="L1439" i="1" s="1"/>
  <c r="H1431" i="1"/>
  <c r="L1431" i="1" s="1"/>
  <c r="H1423" i="1"/>
  <c r="L1423" i="1" s="1"/>
  <c r="H1411" i="1"/>
  <c r="L1411" i="1" s="1"/>
  <c r="H1399" i="1"/>
  <c r="L1399" i="1" s="1"/>
  <c r="H1391" i="1"/>
  <c r="L1391" i="1" s="1"/>
  <c r="H1383" i="1"/>
  <c r="L1383" i="1" s="1"/>
  <c r="H1375" i="1"/>
  <c r="L1375" i="1" s="1"/>
  <c r="H1367" i="1"/>
  <c r="L1367" i="1" s="1"/>
  <c r="H1355" i="1"/>
  <c r="L1355" i="1" s="1"/>
  <c r="H1347" i="1"/>
  <c r="L1347" i="1" s="1"/>
  <c r="H1339" i="1"/>
  <c r="L1339" i="1" s="1"/>
  <c r="H1331" i="1"/>
  <c r="L1331" i="1" s="1"/>
  <c r="H1323" i="1"/>
  <c r="L1323" i="1" s="1"/>
  <c r="H1315" i="1"/>
  <c r="L1315" i="1" s="1"/>
  <c r="H1307" i="1"/>
  <c r="L1307" i="1" s="1"/>
  <c r="H1303" i="1"/>
  <c r="L1303" i="1" s="1"/>
  <c r="H1295" i="1"/>
  <c r="L1295" i="1" s="1"/>
  <c r="H1287" i="1"/>
  <c r="L1287" i="1" s="1"/>
  <c r="H1279" i="1"/>
  <c r="L1279" i="1" s="1"/>
  <c r="H1271" i="1"/>
  <c r="L1271" i="1" s="1"/>
  <c r="H1263" i="1"/>
  <c r="L1263" i="1" s="1"/>
  <c r="H1255" i="1"/>
  <c r="L1255" i="1" s="1"/>
  <c r="H1247" i="1"/>
  <c r="L1247" i="1" s="1"/>
  <c r="H1239" i="1"/>
  <c r="L1239" i="1" s="1"/>
  <c r="H1231" i="1"/>
  <c r="L1231" i="1" s="1"/>
  <c r="H1223" i="1"/>
  <c r="L1223" i="1" s="1"/>
  <c r="H1219" i="1"/>
  <c r="L1219" i="1" s="1"/>
  <c r="H1211" i="1"/>
  <c r="L1211" i="1" s="1"/>
  <c r="H1207" i="1"/>
  <c r="L1207" i="1" s="1"/>
  <c r="H1203" i="1"/>
  <c r="L1203" i="1" s="1"/>
  <c r="H1199" i="1"/>
  <c r="L1199" i="1" s="1"/>
  <c r="H1195" i="1"/>
  <c r="L1195" i="1" s="1"/>
  <c r="H1191" i="1"/>
  <c r="L1191" i="1" s="1"/>
  <c r="H1187" i="1"/>
  <c r="L1187" i="1" s="1"/>
  <c r="H1183" i="1"/>
  <c r="L1183" i="1" s="1"/>
  <c r="H1179" i="1"/>
  <c r="L1179" i="1" s="1"/>
  <c r="H1175" i="1"/>
  <c r="L1175" i="1" s="1"/>
  <c r="H1171" i="1"/>
  <c r="L1171" i="1" s="1"/>
  <c r="H1167" i="1"/>
  <c r="L1167" i="1" s="1"/>
  <c r="H1163" i="1"/>
  <c r="L1163" i="1" s="1"/>
  <c r="H1159" i="1"/>
  <c r="L1159" i="1" s="1"/>
  <c r="H1155" i="1"/>
  <c r="L1155" i="1" s="1"/>
  <c r="H1151" i="1"/>
  <c r="L1151" i="1" s="1"/>
  <c r="H1147" i="1"/>
  <c r="L1147" i="1" s="1"/>
  <c r="H1143" i="1"/>
  <c r="L1143" i="1" s="1"/>
  <c r="H1139" i="1"/>
  <c r="L1139" i="1" s="1"/>
  <c r="H1135" i="1"/>
  <c r="L1135" i="1" s="1"/>
  <c r="H1131" i="1"/>
  <c r="L1131" i="1" s="1"/>
  <c r="H1127" i="1"/>
  <c r="L1127" i="1" s="1"/>
  <c r="H1123" i="1"/>
  <c r="L1123" i="1" s="1"/>
  <c r="H1115" i="1"/>
  <c r="L1115" i="1" s="1"/>
  <c r="H1111" i="1"/>
  <c r="L1111" i="1" s="1"/>
  <c r="H1107" i="1"/>
  <c r="L1107" i="1" s="1"/>
  <c r="H1103" i="1"/>
  <c r="L1103" i="1" s="1"/>
  <c r="H1099" i="1"/>
  <c r="L1099" i="1" s="1"/>
  <c r="H1095" i="1"/>
  <c r="L1095" i="1" s="1"/>
  <c r="H1087" i="1"/>
  <c r="L1087" i="1" s="1"/>
  <c r="H1083" i="1"/>
  <c r="L1083" i="1" s="1"/>
  <c r="H1079" i="1"/>
  <c r="L1079" i="1" s="1"/>
  <c r="H1075" i="1"/>
  <c r="L1075" i="1" s="1"/>
  <c r="H1067" i="1"/>
  <c r="L1067" i="1" s="1"/>
  <c r="H1059" i="1"/>
  <c r="L1059" i="1" s="1"/>
  <c r="H1055" i="1"/>
  <c r="L1055" i="1" s="1"/>
  <c r="H1051" i="1"/>
  <c r="L1051" i="1" s="1"/>
  <c r="H1047" i="1"/>
  <c r="L1047" i="1" s="1"/>
  <c r="H1039" i="1"/>
  <c r="L1039" i="1" s="1"/>
  <c r="H1035" i="1"/>
  <c r="L1035" i="1" s="1"/>
  <c r="H1031" i="1"/>
  <c r="L1031" i="1" s="1"/>
  <c r="H1027" i="1"/>
  <c r="L1027" i="1" s="1"/>
  <c r="H1015" i="1"/>
  <c r="L1015" i="1" s="1"/>
  <c r="H1011" i="1"/>
  <c r="L1011" i="1" s="1"/>
  <c r="H1007" i="1"/>
  <c r="L1007" i="1" s="1"/>
  <c r="H1003" i="1"/>
  <c r="L1003" i="1" s="1"/>
  <c r="H995" i="1"/>
  <c r="L995" i="1" s="1"/>
  <c r="H991" i="1"/>
  <c r="L991" i="1" s="1"/>
  <c r="H987" i="1"/>
  <c r="L987" i="1" s="1"/>
  <c r="H983" i="1"/>
  <c r="L983" i="1" s="1"/>
  <c r="H979" i="1"/>
  <c r="L979" i="1" s="1"/>
  <c r="H975" i="1"/>
  <c r="L975" i="1" s="1"/>
  <c r="H971" i="1"/>
  <c r="L971" i="1" s="1"/>
  <c r="H967" i="1"/>
  <c r="L967" i="1" s="1"/>
  <c r="H963" i="1"/>
  <c r="L963" i="1" s="1"/>
  <c r="H959" i="1"/>
  <c r="L959" i="1" s="1"/>
  <c r="H955" i="1"/>
  <c r="L955" i="1" s="1"/>
  <c r="H951" i="1"/>
  <c r="L951" i="1" s="1"/>
  <c r="H947" i="1"/>
  <c r="L947" i="1" s="1"/>
  <c r="H943" i="1"/>
  <c r="L943" i="1" s="1"/>
  <c r="H939" i="1"/>
  <c r="L939" i="1" s="1"/>
  <c r="H931" i="1"/>
  <c r="L931" i="1" s="1"/>
  <c r="H927" i="1"/>
  <c r="L927" i="1" s="1"/>
  <c r="H919" i="1"/>
  <c r="L919" i="1" s="1"/>
  <c r="H915" i="1"/>
  <c r="L915" i="1" s="1"/>
  <c r="H911" i="1"/>
  <c r="L911" i="1" s="1"/>
  <c r="H907" i="1"/>
  <c r="L907" i="1" s="1"/>
  <c r="H903" i="1"/>
  <c r="L903" i="1" s="1"/>
  <c r="H899" i="1"/>
  <c r="L899" i="1" s="1"/>
  <c r="H895" i="1"/>
  <c r="L895" i="1" s="1"/>
  <c r="H891" i="1"/>
  <c r="L891" i="1" s="1"/>
  <c r="H887" i="1"/>
  <c r="L887" i="1" s="1"/>
  <c r="H883" i="1"/>
  <c r="L883" i="1" s="1"/>
  <c r="H879" i="1"/>
  <c r="L879" i="1" s="1"/>
  <c r="H875" i="1"/>
  <c r="L875" i="1" s="1"/>
  <c r="H867" i="1"/>
  <c r="L867" i="1" s="1"/>
  <c r="H863" i="1"/>
  <c r="L863" i="1" s="1"/>
  <c r="H855" i="1"/>
  <c r="L855" i="1" s="1"/>
  <c r="H851" i="1"/>
  <c r="L851" i="1" s="1"/>
  <c r="H847" i="1"/>
  <c r="L847" i="1" s="1"/>
  <c r="H843" i="1"/>
  <c r="L843" i="1" s="1"/>
  <c r="H839" i="1"/>
  <c r="L839" i="1" s="1"/>
  <c r="H835" i="1"/>
  <c r="L835" i="1" s="1"/>
  <c r="H831" i="1"/>
  <c r="L831" i="1" s="1"/>
  <c r="H827" i="1"/>
  <c r="L827" i="1" s="1"/>
  <c r="H823" i="1"/>
  <c r="L823" i="1" s="1"/>
  <c r="H819" i="1"/>
  <c r="L819" i="1" s="1"/>
  <c r="H815" i="1"/>
  <c r="L815" i="1" s="1"/>
  <c r="H811" i="1"/>
  <c r="L811" i="1" s="1"/>
  <c r="H807" i="1"/>
  <c r="L807" i="1" s="1"/>
  <c r="H803" i="1"/>
  <c r="L803" i="1" s="1"/>
  <c r="H799" i="1"/>
  <c r="L799" i="1" s="1"/>
  <c r="H791" i="1"/>
  <c r="L791" i="1" s="1"/>
  <c r="H787" i="1"/>
  <c r="L787" i="1" s="1"/>
  <c r="H783" i="1"/>
  <c r="L783" i="1" s="1"/>
  <c r="H779" i="1"/>
  <c r="L779" i="1" s="1"/>
  <c r="H775" i="1"/>
  <c r="L775" i="1" s="1"/>
  <c r="H771" i="1"/>
  <c r="L771" i="1" s="1"/>
  <c r="H767" i="1"/>
  <c r="L767" i="1" s="1"/>
  <c r="H763" i="1"/>
  <c r="L763" i="1" s="1"/>
  <c r="H759" i="1"/>
  <c r="L759" i="1" s="1"/>
  <c r="H755" i="1"/>
  <c r="L755" i="1" s="1"/>
  <c r="H751" i="1"/>
  <c r="L751" i="1" s="1"/>
  <c r="H747" i="1"/>
  <c r="L747" i="1" s="1"/>
  <c r="H743" i="1"/>
  <c r="L743" i="1" s="1"/>
  <c r="H739" i="1"/>
  <c r="L739" i="1" s="1"/>
  <c r="H731" i="1"/>
  <c r="L731" i="1" s="1"/>
  <c r="H727" i="1"/>
  <c r="L727" i="1" s="1"/>
  <c r="H723" i="1"/>
  <c r="L723" i="1" s="1"/>
  <c r="H719" i="1"/>
  <c r="L719" i="1" s="1"/>
  <c r="H715" i="1"/>
  <c r="L715" i="1" s="1"/>
  <c r="H711" i="1"/>
  <c r="L711" i="1" s="1"/>
  <c r="H707" i="1"/>
  <c r="L707" i="1" s="1"/>
  <c r="H703" i="1"/>
  <c r="L703" i="1" s="1"/>
  <c r="H699" i="1"/>
  <c r="L699" i="1" s="1"/>
  <c r="H691" i="1"/>
  <c r="L691" i="1" s="1"/>
  <c r="H687" i="1"/>
  <c r="L687" i="1" s="1"/>
  <c r="H683" i="1"/>
  <c r="L683" i="1" s="1"/>
  <c r="H679" i="1"/>
  <c r="L679" i="1" s="1"/>
  <c r="H675" i="1"/>
  <c r="L675" i="1" s="1"/>
  <c r="H667" i="1"/>
  <c r="L667" i="1" s="1"/>
  <c r="H663" i="1"/>
  <c r="L663" i="1" s="1"/>
  <c r="H659" i="1"/>
  <c r="L659" i="1" s="1"/>
  <c r="H655" i="1"/>
  <c r="L655" i="1" s="1"/>
  <c r="H651" i="1"/>
  <c r="L651" i="1" s="1"/>
  <c r="H647" i="1"/>
  <c r="L647" i="1" s="1"/>
  <c r="H643" i="1"/>
  <c r="L643" i="1" s="1"/>
  <c r="H639" i="1"/>
  <c r="L639" i="1" s="1"/>
  <c r="H635" i="1"/>
  <c r="L635" i="1" s="1"/>
  <c r="H627" i="1"/>
  <c r="L627" i="1" s="1"/>
  <c r="H623" i="1"/>
  <c r="L623" i="1" s="1"/>
  <c r="H619" i="1"/>
  <c r="L619" i="1" s="1"/>
  <c r="H615" i="1"/>
  <c r="L615" i="1" s="1"/>
  <c r="H611" i="1"/>
  <c r="L611" i="1" s="1"/>
  <c r="H603" i="1"/>
  <c r="L603" i="1" s="1"/>
  <c r="H599" i="1"/>
  <c r="L599" i="1" s="1"/>
  <c r="H595" i="1"/>
  <c r="L595" i="1" s="1"/>
  <c r="H591" i="1"/>
  <c r="L591" i="1" s="1"/>
  <c r="H587" i="1"/>
  <c r="L587" i="1" s="1"/>
  <c r="H583" i="1"/>
  <c r="L583" i="1" s="1"/>
  <c r="H579" i="1"/>
  <c r="L579" i="1" s="1"/>
  <c r="H575" i="1"/>
  <c r="L575" i="1" s="1"/>
  <c r="H571" i="1"/>
  <c r="L571" i="1" s="1"/>
  <c r="H563" i="1"/>
  <c r="L563" i="1" s="1"/>
  <c r="H559" i="1"/>
  <c r="L559" i="1" s="1"/>
  <c r="H555" i="1"/>
  <c r="L555" i="1" s="1"/>
  <c r="H551" i="1"/>
  <c r="L551" i="1" s="1"/>
  <c r="H547" i="1"/>
  <c r="L547" i="1" s="1"/>
  <c r="H543" i="1"/>
  <c r="L543" i="1" s="1"/>
  <c r="H539" i="1"/>
  <c r="L539" i="1" s="1"/>
  <c r="H535" i="1"/>
  <c r="L535" i="1" s="1"/>
  <c r="H531" i="1"/>
  <c r="L531" i="1" s="1"/>
  <c r="H527" i="1"/>
  <c r="L527" i="1" s="1"/>
  <c r="H523" i="1"/>
  <c r="L523" i="1" s="1"/>
  <c r="H519" i="1"/>
  <c r="L519" i="1" s="1"/>
  <c r="H515" i="1"/>
  <c r="L515" i="1" s="1"/>
  <c r="H511" i="1"/>
  <c r="L511" i="1" s="1"/>
  <c r="H503" i="1"/>
  <c r="L503" i="1" s="1"/>
  <c r="H499" i="1"/>
  <c r="L499" i="1" s="1"/>
  <c r="H495" i="1"/>
  <c r="L495" i="1" s="1"/>
  <c r="H491" i="1"/>
  <c r="L491" i="1" s="1"/>
  <c r="H487" i="1"/>
  <c r="L487" i="1" s="1"/>
  <c r="H483" i="1"/>
  <c r="L483" i="1" s="1"/>
  <c r="H479" i="1"/>
  <c r="L479" i="1" s="1"/>
  <c r="H475" i="1"/>
  <c r="L475" i="1" s="1"/>
  <c r="H471" i="1"/>
  <c r="L471" i="1" s="1"/>
  <c r="H467" i="1"/>
  <c r="L467" i="1" s="1"/>
  <c r="H463" i="1"/>
  <c r="L463" i="1" s="1"/>
  <c r="H459" i="1"/>
  <c r="L459" i="1" s="1"/>
  <c r="H455" i="1"/>
  <c r="L455" i="1" s="1"/>
  <c r="H451" i="1"/>
  <c r="L451" i="1" s="1"/>
  <c r="H447" i="1"/>
  <c r="L447" i="1" s="1"/>
  <c r="H439" i="1"/>
  <c r="L439" i="1" s="1"/>
  <c r="H435" i="1"/>
  <c r="L435" i="1" s="1"/>
  <c r="H427" i="1"/>
  <c r="L427" i="1" s="1"/>
  <c r="H423" i="1"/>
  <c r="L423" i="1" s="1"/>
  <c r="H419" i="1"/>
  <c r="L419" i="1" s="1"/>
  <c r="H415" i="1"/>
  <c r="L415" i="1" s="1"/>
  <c r="H411" i="1"/>
  <c r="L411" i="1" s="1"/>
  <c r="H407" i="1"/>
  <c r="L407" i="1" s="1"/>
  <c r="H403" i="1"/>
  <c r="L403" i="1" s="1"/>
  <c r="H399" i="1"/>
  <c r="L399" i="1" s="1"/>
  <c r="H395" i="1"/>
  <c r="L395" i="1" s="1"/>
  <c r="H391" i="1"/>
  <c r="L391" i="1" s="1"/>
  <c r="H387" i="1"/>
  <c r="L387" i="1" s="1"/>
  <c r="H383" i="1"/>
  <c r="L383" i="1" s="1"/>
  <c r="H375" i="1"/>
  <c r="L375" i="1" s="1"/>
  <c r="H371" i="1"/>
  <c r="L371" i="1" s="1"/>
  <c r="H363" i="1"/>
  <c r="L363" i="1" s="1"/>
  <c r="H359" i="1"/>
  <c r="L359" i="1" s="1"/>
  <c r="H355" i="1"/>
  <c r="L355" i="1" s="1"/>
  <c r="H351" i="1"/>
  <c r="L351" i="1" s="1"/>
  <c r="H347" i="1"/>
  <c r="L347" i="1" s="1"/>
  <c r="H343" i="1"/>
  <c r="L343" i="1" s="1"/>
  <c r="H339" i="1"/>
  <c r="L339" i="1" s="1"/>
  <c r="H335" i="1"/>
  <c r="L335" i="1" s="1"/>
  <c r="H331" i="1"/>
  <c r="L331" i="1" s="1"/>
  <c r="H327" i="1"/>
  <c r="L327" i="1" s="1"/>
  <c r="H323" i="1"/>
  <c r="L323" i="1" s="1"/>
  <c r="H319" i="1"/>
  <c r="L319" i="1" s="1"/>
  <c r="H315" i="1"/>
  <c r="L315" i="1" s="1"/>
  <c r="H311" i="1"/>
  <c r="L311" i="1" s="1"/>
  <c r="H307" i="1"/>
  <c r="L307" i="1" s="1"/>
  <c r="H303" i="1"/>
  <c r="L303" i="1" s="1"/>
  <c r="H299" i="1"/>
  <c r="L299" i="1" s="1"/>
  <c r="H295" i="1"/>
  <c r="L295" i="1" s="1"/>
  <c r="H291" i="1"/>
  <c r="L291" i="1" s="1"/>
  <c r="H287" i="1"/>
  <c r="L287" i="1" s="1"/>
  <c r="H283" i="1"/>
  <c r="L283" i="1" s="1"/>
  <c r="H279" i="1"/>
  <c r="L279" i="1" s="1"/>
  <c r="H275" i="1"/>
  <c r="L275" i="1" s="1"/>
  <c r="H271" i="1"/>
  <c r="L271" i="1" s="1"/>
  <c r="H267" i="1"/>
  <c r="L267" i="1" s="1"/>
  <c r="H263" i="1"/>
  <c r="L263" i="1" s="1"/>
  <c r="H259" i="1"/>
  <c r="L259" i="1" s="1"/>
  <c r="H255" i="1"/>
  <c r="L255" i="1" s="1"/>
  <c r="H251" i="1"/>
  <c r="L251" i="1" s="1"/>
  <c r="H247" i="1"/>
  <c r="L247" i="1" s="1"/>
  <c r="H243" i="1"/>
  <c r="L243" i="1" s="1"/>
  <c r="H239" i="1"/>
  <c r="L239" i="1" s="1"/>
  <c r="H235" i="1"/>
  <c r="L235" i="1" s="1"/>
  <c r="H231" i="1"/>
  <c r="L231" i="1" s="1"/>
  <c r="H227" i="1"/>
  <c r="L227" i="1" s="1"/>
  <c r="H223" i="1"/>
  <c r="L223" i="1" s="1"/>
  <c r="H219" i="1"/>
  <c r="L219" i="1" s="1"/>
  <c r="H215" i="1"/>
  <c r="L215" i="1" s="1"/>
  <c r="H211" i="1"/>
  <c r="L211" i="1" s="1"/>
  <c r="H207" i="1"/>
  <c r="L207" i="1" s="1"/>
  <c r="H203" i="1"/>
  <c r="L203" i="1" s="1"/>
  <c r="H199" i="1"/>
  <c r="L199" i="1" s="1"/>
  <c r="H195" i="1"/>
  <c r="L195" i="1" s="1"/>
  <c r="H191" i="1"/>
  <c r="L191" i="1" s="1"/>
  <c r="H187" i="1"/>
  <c r="L187" i="1" s="1"/>
  <c r="H183" i="1"/>
  <c r="L183" i="1" s="1"/>
  <c r="H179" i="1"/>
  <c r="L179" i="1" s="1"/>
  <c r="H175" i="1"/>
  <c r="L175" i="1" s="1"/>
  <c r="H171" i="1"/>
  <c r="L171" i="1" s="1"/>
  <c r="H167" i="1"/>
  <c r="L167" i="1" s="1"/>
  <c r="H163" i="1"/>
  <c r="L163" i="1" s="1"/>
  <c r="H159" i="1"/>
  <c r="L159" i="1" s="1"/>
  <c r="H155" i="1"/>
  <c r="L155" i="1" s="1"/>
  <c r="H151" i="1"/>
  <c r="L151" i="1" s="1"/>
  <c r="H147" i="1"/>
  <c r="L147" i="1" s="1"/>
  <c r="H143" i="1"/>
  <c r="L143" i="1" s="1"/>
  <c r="H139" i="1"/>
  <c r="L139" i="1" s="1"/>
  <c r="H135" i="1"/>
  <c r="L135" i="1" s="1"/>
  <c r="H131" i="1"/>
  <c r="L131" i="1" s="1"/>
  <c r="H127" i="1"/>
  <c r="L127" i="1" s="1"/>
  <c r="H123" i="1"/>
  <c r="L123" i="1" s="1"/>
  <c r="H119" i="1"/>
  <c r="L119" i="1" s="1"/>
  <c r="H115" i="1"/>
  <c r="L115" i="1" s="1"/>
  <c r="H111" i="1"/>
  <c r="L111" i="1" s="1"/>
  <c r="H107" i="1"/>
  <c r="L107" i="1" s="1"/>
  <c r="H103" i="1"/>
  <c r="L103" i="1" s="1"/>
  <c r="H99" i="1"/>
  <c r="L99" i="1" s="1"/>
  <c r="H95" i="1"/>
  <c r="L95" i="1" s="1"/>
  <c r="H91" i="1"/>
  <c r="L91" i="1" s="1"/>
  <c r="H87" i="1"/>
  <c r="L87" i="1" s="1"/>
  <c r="H83" i="1"/>
  <c r="L83" i="1" s="1"/>
  <c r="H79" i="1"/>
  <c r="L79" i="1" s="1"/>
  <c r="H75" i="1"/>
  <c r="L75" i="1" s="1"/>
  <c r="H71" i="1"/>
  <c r="L71" i="1" s="1"/>
  <c r="H67" i="1"/>
  <c r="L67" i="1" s="1"/>
  <c r="H63" i="1"/>
  <c r="L63" i="1" s="1"/>
  <c r="H59" i="1"/>
  <c r="L59" i="1" s="1"/>
  <c r="H55" i="1"/>
  <c r="L55" i="1" s="1"/>
  <c r="H51" i="1"/>
  <c r="L51" i="1" s="1"/>
  <c r="H47" i="1"/>
  <c r="L47" i="1" s="1"/>
  <c r="H43" i="1"/>
  <c r="L43" i="1" s="1"/>
  <c r="H39" i="1"/>
  <c r="L39" i="1" s="1"/>
  <c r="H35" i="1"/>
  <c r="L35" i="1" s="1"/>
  <c r="H31" i="1"/>
  <c r="L31" i="1" s="1"/>
  <c r="H27" i="1"/>
  <c r="L27" i="1" s="1"/>
  <c r="H23" i="1"/>
  <c r="L23" i="1" s="1"/>
  <c r="H19" i="1"/>
  <c r="L19" i="1" s="1"/>
  <c r="H15" i="1"/>
  <c r="L15" i="1" s="1"/>
  <c r="H11" i="1"/>
  <c r="L11" i="1" s="1"/>
  <c r="H7" i="1"/>
  <c r="L7" i="1" s="1"/>
  <c r="P8" i="1" l="1"/>
</calcChain>
</file>

<file path=xl/sharedStrings.xml><?xml version="1.0" encoding="utf-8"?>
<sst xmlns="http://schemas.openxmlformats.org/spreadsheetml/2006/main" count="2025" uniqueCount="2024">
  <si>
    <t>Customer_ID</t>
  </si>
  <si>
    <t>Group</t>
  </si>
  <si>
    <t>Age</t>
  </si>
  <si>
    <t>Gender</t>
  </si>
  <si>
    <t>Category</t>
  </si>
  <si>
    <t>Original_Price</t>
  </si>
  <si>
    <t>Discount_Percent</t>
  </si>
  <si>
    <t>Final_Price</t>
  </si>
  <si>
    <t>Viewed</t>
  </si>
  <si>
    <t>Added_to_cart</t>
  </si>
  <si>
    <t>Purchased</t>
  </si>
  <si>
    <t>Order_value</t>
  </si>
  <si>
    <t>Delivery_days</t>
  </si>
  <si>
    <t>Return</t>
  </si>
  <si>
    <t>CUST001</t>
  </si>
  <si>
    <t>Control</t>
  </si>
  <si>
    <t>Female</t>
  </si>
  <si>
    <t>Dresses</t>
  </si>
  <si>
    <t>CUST002</t>
  </si>
  <si>
    <t>Male</t>
  </si>
  <si>
    <t>Shoes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</si>
  <si>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</si>
  <si>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</si>
  <si>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</si>
  <si>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</si>
  <si>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</si>
  <si>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</si>
  <si>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</si>
  <si>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</si>
  <si>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</si>
  <si>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</si>
  <si>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</si>
  <si>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</si>
  <si>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</si>
  <si>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</si>
  <si>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</si>
  <si>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</si>
  <si>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</si>
  <si>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</si>
  <si>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</si>
  <si>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</si>
  <si>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</si>
  <si>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</si>
  <si>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</si>
  <si>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</si>
  <si>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</si>
  <si>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</si>
  <si>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</si>
  <si>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</si>
  <si>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</si>
  <si>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</si>
  <si>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</si>
  <si>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</si>
  <si>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</si>
  <si>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</si>
  <si>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</si>
  <si>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</si>
  <si>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</si>
  <si>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</si>
  <si>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</si>
  <si>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</si>
  <si>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</si>
  <si>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</si>
  <si>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</si>
  <si>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</si>
  <si>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</si>
  <si>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</si>
  <si>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</si>
  <si>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</si>
  <si>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</si>
  <si>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</si>
  <si>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</si>
  <si>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</si>
  <si>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</si>
  <si>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</si>
  <si>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</si>
  <si>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</si>
  <si>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</si>
  <si>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</si>
  <si>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</si>
  <si>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</si>
  <si>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</si>
  <si>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</si>
  <si>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</si>
  <si>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</si>
  <si>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</si>
  <si>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</si>
  <si>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</si>
  <si>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</si>
  <si>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</si>
  <si>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</si>
  <si>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</si>
  <si>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</si>
  <si>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</si>
  <si>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</si>
  <si>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</si>
  <si>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</si>
  <si>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</si>
  <si>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</si>
  <si>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</si>
  <si>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</si>
  <si>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</si>
  <si>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</si>
  <si>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</si>
  <si>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</si>
  <si>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</si>
  <si>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</si>
  <si>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</si>
  <si>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</si>
  <si>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</si>
  <si>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</si>
  <si>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</si>
  <si>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</si>
  <si>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</si>
  <si>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</si>
  <si>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</si>
  <si>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</si>
  <si>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</si>
  <si>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</si>
  <si>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</si>
  <si>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</si>
  <si>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</si>
  <si>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</si>
  <si>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</si>
  <si>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</si>
  <si>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</si>
  <si>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</si>
  <si>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</si>
  <si>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</si>
  <si>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</si>
  <si>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</si>
  <si>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</si>
  <si>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</si>
  <si>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</si>
  <si>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</si>
  <si>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</si>
  <si>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</si>
  <si>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</si>
  <si>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</si>
  <si>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</si>
  <si>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</si>
  <si>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</si>
  <si>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</si>
  <si>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</si>
  <si>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</si>
  <si>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</si>
  <si>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</si>
  <si>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</si>
  <si>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</si>
  <si>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</si>
  <si>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</si>
  <si>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</si>
  <si>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</si>
  <si>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</si>
  <si>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</si>
  <si>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</si>
  <si>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</si>
  <si>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</si>
  <si>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</si>
  <si>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</si>
  <si>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</si>
  <si>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</si>
  <si>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</si>
  <si>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</si>
  <si>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</si>
  <si>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</si>
  <si>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</si>
  <si>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</si>
  <si>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</si>
  <si>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</si>
  <si>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</si>
  <si>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</si>
  <si>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</si>
  <si>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</si>
  <si>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</si>
  <si>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</si>
  <si>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</si>
  <si>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</si>
  <si>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</si>
  <si>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</si>
  <si>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</si>
  <si>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</si>
  <si>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</si>
  <si>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</si>
  <si>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</si>
  <si>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</si>
  <si>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</si>
  <si>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</si>
  <si>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</si>
  <si>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</si>
  <si>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</si>
  <si>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</si>
  <si>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</si>
  <si>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</si>
  <si>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</si>
  <si>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</si>
  <si>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</si>
  <si>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</si>
  <si>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</si>
  <si>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</si>
  <si>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</si>
  <si>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</si>
  <si>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</si>
  <si>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</si>
  <si>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</si>
  <si>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</si>
  <si>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</si>
  <si>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</si>
  <si>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</si>
  <si>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</si>
  <si>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</si>
  <si>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</si>
  <si>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</si>
  <si>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</si>
  <si>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</si>
  <si>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</si>
  <si>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</si>
  <si>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</si>
  <si>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</si>
  <si>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</si>
  <si>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</si>
  <si>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</si>
  <si>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</si>
  <si>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</si>
  <si>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</si>
  <si>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</si>
  <si>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</si>
  <si>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</si>
  <si>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</si>
  <si>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</si>
  <si>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</si>
  <si>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</si>
  <si>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</si>
  <si>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</si>
  <si>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</si>
  <si>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</si>
  <si>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</si>
  <si>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</si>
  <si>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</si>
  <si>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</si>
  <si>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</si>
  <si>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</si>
  <si>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</si>
  <si>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</si>
  <si>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</si>
  <si>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</si>
  <si>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</si>
  <si>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</si>
  <si>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</si>
  <si>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</si>
  <si>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</si>
  <si>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</si>
  <si>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</si>
  <si>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</si>
  <si>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</si>
  <si>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</si>
  <si>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</si>
  <si>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</si>
  <si>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</si>
  <si>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</si>
  <si>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</si>
  <si>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</si>
  <si>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</si>
  <si>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</si>
  <si>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</si>
  <si>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</si>
  <si>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</si>
  <si>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</si>
  <si>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</si>
  <si>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</si>
  <si>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</si>
  <si>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</si>
  <si>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</si>
  <si>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</si>
  <si>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</si>
  <si>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</si>
  <si>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</si>
  <si>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</si>
  <si>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</si>
  <si>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</si>
  <si>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</si>
  <si>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</si>
  <si>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</si>
  <si>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</si>
  <si>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</si>
  <si>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</si>
  <si>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</si>
  <si>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</si>
  <si>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</si>
  <si>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</si>
  <si>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</si>
  <si>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</si>
  <si>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</si>
  <si>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</si>
  <si>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</si>
  <si>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</si>
  <si>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</si>
  <si>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</si>
  <si>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</si>
  <si>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</si>
  <si>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</si>
  <si>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</si>
  <si>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</si>
  <si>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</si>
  <si>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</si>
  <si>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</si>
  <si>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</si>
  <si>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</si>
  <si>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</si>
  <si>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</si>
  <si>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</si>
  <si>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</si>
  <si>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</si>
  <si>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</si>
  <si>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</si>
  <si>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</si>
  <si>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</si>
  <si>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</si>
  <si>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</si>
  <si>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</si>
  <si>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</si>
  <si>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</si>
  <si>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</si>
  <si>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</si>
  <si>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</si>
  <si>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</si>
  <si>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</si>
  <si>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</si>
  <si>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</si>
  <si>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</si>
  <si>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</si>
  <si>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</si>
  <si>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</si>
  <si>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</si>
  <si>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</si>
  <si>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</si>
  <si>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</si>
  <si>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</si>
  <si>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</si>
  <si>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</si>
  <si>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</si>
  <si>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</si>
  <si>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</si>
  <si>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</si>
  <si>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</si>
  <si>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</si>
  <si>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</si>
  <si>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</si>
  <si>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</si>
  <si>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</si>
  <si>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</si>
  <si>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</si>
  <si>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</si>
  <si>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</si>
  <si>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</si>
  <si>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</si>
  <si>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</si>
  <si>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</si>
  <si>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</si>
  <si>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</si>
  <si>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</si>
  <si>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</si>
  <si>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</si>
  <si>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</si>
  <si>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</si>
  <si>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</si>
  <si>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</si>
  <si>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</si>
  <si>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</si>
  <si>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</si>
  <si>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</si>
  <si>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</si>
  <si>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</si>
  <si>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</si>
  <si>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</si>
  <si>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</si>
  <si>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</si>
  <si>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</si>
  <si>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</si>
  <si>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</si>
  <si>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</si>
  <si>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</si>
  <si>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</si>
  <si>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</si>
  <si>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</si>
  <si>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</si>
  <si>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</si>
  <si>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</si>
  <si>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</si>
  <si>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</si>
  <si>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</si>
  <si>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</si>
  <si>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</si>
  <si>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</si>
  <si>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</si>
  <si>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</si>
  <si>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</si>
  <si>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</si>
  <si>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</si>
  <si>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</si>
  <si>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</si>
  <si>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</si>
  <si>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</si>
  <si>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</si>
  <si>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</si>
  <si>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</si>
  <si>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</si>
  <si>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</si>
  <si>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</si>
  <si>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</si>
  <si>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</si>
  <si>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</si>
  <si>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</si>
  <si>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</si>
  <si>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</si>
  <si>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</si>
  <si>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</si>
  <si>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</si>
  <si>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</si>
  <si>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</si>
  <si>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</si>
  <si>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</si>
  <si>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</si>
  <si>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</si>
  <si>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</si>
  <si>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</si>
  <si>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</si>
  <si>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</si>
  <si>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</si>
  <si>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</si>
  <si>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</si>
  <si>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</si>
  <si>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</si>
  <si>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</si>
  <si>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</si>
  <si>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</si>
  <si>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</si>
  <si>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</si>
  <si>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</si>
  <si>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</si>
  <si>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</si>
  <si>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</si>
  <si>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</si>
  <si>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</si>
  <si>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</si>
  <si>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</si>
  <si>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</si>
  <si>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</si>
  <si>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</si>
  <si>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</si>
  <si>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</si>
  <si>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</si>
  <si>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</si>
  <si>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</si>
  <si>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</si>
  <si>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</si>
  <si>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</si>
  <si>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</si>
  <si>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</si>
  <si>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</si>
  <si>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</si>
  <si>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</si>
  <si>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</si>
  <si>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</si>
  <si>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</si>
  <si>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</si>
  <si>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</si>
  <si>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</si>
  <si>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</si>
  <si>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</si>
  <si>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</si>
  <si>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</si>
  <si>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</si>
  <si>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</si>
  <si>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</si>
  <si>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</si>
  <si>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</si>
  <si>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</si>
  <si>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</si>
  <si>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</si>
  <si>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</si>
  <si>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</si>
  <si>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</si>
  <si>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</si>
  <si>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</si>
  <si>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</si>
  <si>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</si>
  <si>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</si>
  <si>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</si>
  <si>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</si>
  <si>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</si>
  <si>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</si>
  <si>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</si>
  <si>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</si>
  <si>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</si>
  <si>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</si>
  <si>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</si>
  <si>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</si>
  <si>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</si>
  <si>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</si>
  <si>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</si>
  <si>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</si>
  <si>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</si>
  <si>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</si>
  <si>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</si>
  <si>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</si>
  <si>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</si>
  <si>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</si>
  <si>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</si>
  <si>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</si>
  <si>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</si>
  <si>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</si>
  <si>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</si>
  <si>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</si>
  <si>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</si>
  <si>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</si>
  <si>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</si>
  <si>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</si>
  <si>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</si>
  <si>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</si>
  <si>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</si>
  <si>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</si>
  <si>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</si>
  <si>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</si>
  <si>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</si>
  <si>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</si>
  <si>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</si>
  <si>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</si>
  <si>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</si>
  <si>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</si>
  <si>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</si>
  <si>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</si>
  <si>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</si>
  <si>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</si>
  <si>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</si>
  <si>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</si>
  <si>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</si>
  <si>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</si>
  <si>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</si>
  <si>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</si>
  <si>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</si>
  <si>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</si>
  <si>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</si>
  <si>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</si>
  <si>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</si>
  <si>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</si>
  <si>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</si>
  <si>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</si>
  <si>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</si>
  <si>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</si>
  <si>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</si>
  <si>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</si>
  <si>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</si>
  <si>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</si>
  <si>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</si>
  <si>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</si>
  <si>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</si>
  <si>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</si>
  <si>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</si>
  <si>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</si>
  <si>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</si>
  <si>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</si>
  <si>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</si>
  <si>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</si>
  <si>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</si>
  <si>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</si>
  <si>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</si>
  <si>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</si>
  <si>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</si>
  <si>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</si>
  <si>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</si>
  <si>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</si>
  <si>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</si>
  <si>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</si>
  <si>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</si>
  <si>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</si>
  <si>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</si>
  <si>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</si>
  <si>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</si>
  <si>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</si>
  <si>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</si>
  <si>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</si>
  <si>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</si>
  <si>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</si>
  <si>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</si>
  <si>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</si>
  <si>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</si>
  <si>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</si>
  <si>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</si>
  <si>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</si>
  <si>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</si>
  <si>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</si>
  <si>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</si>
  <si>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</si>
  <si>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</si>
  <si>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</si>
  <si>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</si>
  <si>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</si>
  <si>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</si>
  <si>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</si>
  <si>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</si>
  <si>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</si>
  <si>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</si>
  <si>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</si>
  <si>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</si>
  <si>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</si>
  <si>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</si>
  <si>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</si>
  <si>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</si>
  <si>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</si>
  <si>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</si>
  <si>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</si>
  <si>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</si>
  <si>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</si>
  <si>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</si>
  <si>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</si>
  <si>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</si>
  <si>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</si>
  <si>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</si>
  <si>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</si>
  <si>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</si>
  <si>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</si>
  <si>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</si>
  <si>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</si>
  <si>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</si>
  <si>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</si>
  <si>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</si>
  <si>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</si>
  <si>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</si>
  <si>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</si>
  <si>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</si>
  <si>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</si>
  <si>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</si>
  <si>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</si>
  <si>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</si>
  <si>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</si>
  <si>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</si>
  <si>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</si>
  <si>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</si>
  <si>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</si>
  <si>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</si>
  <si>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</si>
  <si>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</si>
  <si>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</si>
  <si>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</si>
  <si>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</si>
  <si>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</si>
  <si>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</si>
  <si>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</si>
  <si>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</si>
  <si>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</si>
  <si>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</si>
  <si>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</si>
  <si>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</si>
  <si>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</si>
  <si>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</si>
  <si>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</si>
  <si>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</si>
  <si>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</si>
  <si>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</si>
  <si>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</si>
  <si>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</si>
  <si>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</si>
  <si>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</si>
  <si>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</si>
  <si>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</si>
  <si>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</si>
  <si>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</si>
  <si>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</si>
  <si>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</si>
  <si>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</si>
  <si>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</si>
  <si>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</si>
  <si>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</si>
  <si>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</si>
  <si>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</si>
  <si>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</si>
  <si>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</si>
  <si>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</si>
  <si>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</si>
  <si>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</si>
  <si>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</si>
  <si>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</si>
  <si>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</si>
  <si>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</si>
  <si>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</si>
  <si>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</si>
  <si>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</si>
  <si>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</si>
  <si>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</si>
  <si>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</si>
  <si>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</si>
  <si>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</si>
  <si>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</si>
  <si>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</si>
  <si>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</si>
  <si>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</si>
  <si>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</si>
  <si>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</si>
  <si>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</si>
  <si>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</si>
  <si>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</si>
  <si>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</si>
  <si>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</si>
  <si>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</si>
  <si>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</si>
  <si>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</si>
  <si>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</si>
  <si>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</si>
  <si>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</si>
  <si>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</si>
  <si>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</si>
  <si>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</si>
  <si>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</si>
  <si>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</si>
  <si>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</si>
  <si>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</si>
  <si>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</si>
  <si>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</si>
  <si>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</si>
  <si>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</si>
  <si>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</si>
  <si>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</si>
  <si>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</si>
  <si>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</si>
  <si>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</si>
  <si>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</si>
  <si>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</si>
  <si>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</si>
  <si>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</si>
  <si>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</si>
  <si>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</si>
  <si>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</si>
  <si>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</si>
  <si>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</si>
  <si>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</si>
  <si>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</si>
  <si>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</si>
  <si>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</si>
  <si>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</si>
  <si>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</si>
  <si>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</si>
  <si>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</si>
  <si>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</si>
  <si>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</si>
  <si>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</si>
  <si>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</si>
  <si>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</si>
  <si>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</si>
  <si>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</si>
  <si>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</si>
  <si>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</si>
  <si>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</si>
  <si>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</si>
  <si>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</si>
  <si>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</si>
  <si>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</si>
  <si>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</si>
  <si>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</si>
  <si>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</si>
  <si>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</si>
  <si>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</si>
  <si>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</si>
  <si>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</si>
  <si>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</si>
  <si>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</si>
  <si>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</si>
  <si>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</si>
  <si>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</si>
  <si>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</si>
  <si>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</si>
  <si>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</si>
  <si>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</si>
  <si>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</si>
  <si>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</si>
  <si>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</si>
  <si>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</si>
  <si>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</si>
  <si>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</si>
  <si>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</si>
  <si>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</si>
  <si>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</si>
  <si>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</si>
  <si>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</si>
  <si>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</si>
  <si>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</si>
  <si>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</si>
  <si>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</si>
  <si>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</si>
  <si>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</si>
  <si>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</si>
  <si>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</si>
  <si>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</si>
  <si>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</si>
  <si>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</si>
  <si>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</si>
  <si>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</si>
  <si>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</si>
  <si>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</si>
  <si>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</si>
  <si>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</si>
  <si>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</si>
  <si>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</si>
  <si>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</si>
  <si>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</si>
  <si>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</si>
  <si>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</si>
  <si>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</si>
  <si>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</si>
  <si>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</si>
  <si>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</si>
  <si>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</si>
  <si>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</si>
  <si>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</si>
  <si>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</si>
  <si>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</si>
  <si>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</si>
  <si>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</si>
  <si>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</si>
  <si>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</si>
  <si>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</si>
  <si>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</si>
  <si>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</si>
  <si>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</si>
  <si>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</si>
  <si>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</si>
  <si>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</si>
  <si>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</si>
  <si>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</si>
  <si>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</si>
  <si>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</si>
  <si>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</si>
  <si>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</si>
  <si>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</si>
  <si>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</si>
  <si>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</si>
  <si>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</si>
  <si>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</si>
  <si>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</si>
  <si>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</si>
  <si>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</si>
  <si>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</si>
  <si>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</si>
  <si>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</si>
  <si>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</si>
  <si>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</si>
  <si>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</si>
  <si>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</si>
  <si>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</si>
  <si>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</si>
  <si>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</si>
  <si>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</si>
  <si>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</si>
  <si>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</si>
  <si>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</si>
  <si>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</si>
  <si>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</si>
  <si>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</si>
  <si>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</si>
  <si>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</si>
  <si>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</si>
  <si>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</si>
  <si>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</si>
  <si>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</si>
  <si>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</si>
  <si>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</si>
  <si>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</si>
  <si>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</si>
  <si>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</si>
  <si>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</si>
  <si>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</si>
  <si>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</si>
  <si>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</si>
  <si>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</si>
  <si>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</si>
  <si>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</si>
  <si>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</si>
  <si>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</si>
  <si>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</si>
  <si>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</si>
  <si>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</si>
  <si>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</si>
  <si>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</si>
  <si>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</si>
  <si>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</si>
  <si>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</si>
  <si>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</si>
  <si>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</si>
  <si>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</si>
  <si>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</si>
  <si>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</si>
  <si>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</si>
  <si>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</si>
  <si>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</si>
  <si>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</si>
  <si>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</si>
  <si>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</si>
  <si>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</si>
  <si>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</si>
  <si>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</si>
  <si>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</si>
  <si>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</si>
  <si>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</si>
  <si>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</si>
  <si>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</si>
  <si>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</si>
  <si>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</si>
  <si>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</si>
  <si>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</si>
  <si>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</si>
  <si>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</si>
  <si>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</si>
  <si>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</si>
  <si>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</si>
  <si>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</si>
  <si>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</si>
  <si>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</si>
  <si>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</si>
  <si>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</si>
  <si>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</si>
  <si>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</si>
  <si>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</si>
  <si>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</si>
  <si>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</si>
  <si>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</si>
  <si>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</si>
  <si>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</si>
  <si>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</si>
  <si>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</si>
  <si>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</si>
  <si>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</si>
  <si>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</si>
  <si>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</si>
  <si>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</si>
  <si>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</si>
  <si>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</si>
  <si>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</si>
  <si>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</si>
  <si>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</si>
  <si>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</si>
  <si>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</si>
  <si>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</si>
  <si>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</si>
  <si>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</si>
  <si>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</si>
  <si>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</si>
  <si>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</si>
  <si>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</si>
  <si>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</si>
  <si>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</si>
  <si>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</si>
  <si>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</si>
  <si>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</si>
  <si>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</si>
  <si>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</si>
  <si>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</si>
  <si>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</si>
  <si>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</si>
  <si>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</si>
  <si>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</si>
  <si>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</si>
  <si>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</si>
  <si>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</si>
  <si>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</si>
  <si>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</si>
  <si>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</si>
  <si>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</si>
  <si>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</si>
  <si>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</si>
  <si>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</si>
  <si>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</si>
  <si>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</si>
  <si>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</si>
  <si>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</si>
  <si>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</si>
  <si>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</si>
  <si>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</si>
  <si>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</si>
  <si>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</si>
  <si>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</si>
  <si>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</si>
  <si>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</si>
  <si>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</si>
  <si>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</si>
  <si>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</si>
  <si>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</si>
  <si>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</si>
  <si>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</si>
  <si>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</si>
  <si>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</si>
  <si>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</si>
  <si>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</si>
  <si>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</si>
  <si>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</si>
  <si>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</si>
  <si>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</si>
  <si>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</si>
  <si>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</si>
  <si>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</si>
  <si>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</si>
  <si>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</si>
  <si>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</si>
  <si>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</si>
  <si>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</si>
  <si>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</si>
  <si>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</si>
  <si>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</si>
  <si>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</si>
  <si>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</si>
  <si>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</si>
  <si>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</si>
  <si>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</si>
  <si>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</si>
  <si>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</si>
  <si>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</si>
  <si>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</si>
  <si>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</si>
  <si>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</si>
  <si>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</si>
  <si>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</si>
  <si>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</si>
  <si>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</si>
  <si>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</si>
  <si>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</si>
  <si>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</si>
  <si>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</si>
  <si>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</si>
  <si>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</si>
  <si>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</si>
  <si>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</si>
  <si>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</si>
  <si>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</si>
  <si>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</si>
  <si>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</si>
  <si>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</si>
  <si>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</si>
  <si>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</si>
  <si>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</si>
  <si>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</si>
  <si>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</si>
  <si>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</si>
  <si>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</si>
  <si>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</si>
  <si>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</si>
  <si>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</si>
  <si>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</si>
  <si>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</si>
  <si>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</si>
  <si>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</si>
  <si>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</si>
  <si>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</si>
  <si>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</si>
  <si>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</si>
  <si>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</si>
  <si>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</si>
  <si>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</si>
  <si>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</si>
  <si>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</si>
  <si>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</si>
  <si>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</si>
  <si>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</si>
  <si>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</si>
  <si>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</si>
  <si>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</si>
  <si>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</si>
  <si>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</si>
  <si>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</si>
  <si>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</si>
  <si>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</si>
  <si>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</si>
  <si>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</si>
  <si>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</si>
  <si>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</si>
  <si>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</si>
  <si>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</si>
  <si>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</si>
  <si>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</si>
  <si>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</si>
  <si>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</si>
  <si>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</si>
  <si>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</si>
  <si>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</si>
  <si>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</si>
  <si>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</si>
  <si>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</si>
  <si>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</si>
  <si>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</si>
  <si>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</si>
  <si>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</si>
  <si>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</si>
  <si>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</si>
  <si>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</si>
  <si>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</si>
  <si>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</si>
  <si>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</si>
  <si>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</si>
  <si>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</si>
  <si>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</si>
  <si>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</si>
  <si>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</si>
  <si>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</si>
  <si>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</si>
  <si>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</si>
  <si>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</si>
  <si>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</si>
  <si>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</si>
  <si>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</si>
  <si>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</si>
  <si>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</si>
  <si>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</si>
  <si>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</si>
  <si>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</si>
  <si>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</si>
  <si>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</si>
  <si>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</si>
  <si>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</si>
  <si>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</si>
  <si>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</si>
  <si>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</si>
  <si>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</si>
  <si>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</si>
  <si>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</si>
  <si>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</si>
  <si>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</si>
  <si>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</si>
  <si>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</si>
  <si>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</si>
  <si>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</si>
  <si>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</si>
  <si>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</si>
  <si>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</si>
  <si>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</si>
  <si>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</si>
  <si>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</si>
  <si>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</si>
  <si>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</si>
  <si>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</si>
  <si>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</si>
  <si>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</si>
  <si>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</si>
  <si>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</si>
  <si>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</si>
  <si>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</si>
  <si>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</si>
  <si>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</si>
  <si>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</si>
  <si>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</si>
  <si>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</si>
  <si>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</si>
  <si>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</si>
  <si>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</si>
  <si>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</si>
  <si>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</si>
  <si>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</si>
  <si>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</si>
  <si>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</si>
  <si>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</si>
  <si>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</si>
  <si>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</si>
  <si>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</si>
  <si>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</si>
  <si>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</si>
  <si>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</si>
  <si>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</si>
  <si>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</si>
  <si>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</si>
  <si>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</si>
  <si>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</si>
  <si>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</si>
  <si>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</si>
  <si>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</si>
  <si>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</si>
  <si>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</si>
  <si>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</si>
  <si>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</si>
  <si>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</si>
  <si>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</si>
  <si>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</si>
  <si>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</si>
  <si>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</si>
  <si>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</si>
  <si>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</si>
  <si>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</si>
  <si>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</si>
  <si>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</si>
  <si>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</si>
  <si>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</si>
  <si>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</si>
  <si>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</si>
  <si>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</si>
  <si>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</si>
  <si>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</si>
  <si>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</si>
  <si>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</si>
  <si>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</si>
  <si>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</si>
  <si>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</si>
  <si>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</si>
  <si>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</si>
  <si>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</si>
  <si>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</si>
  <si>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</si>
  <si>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</si>
  <si>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</si>
  <si>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</si>
  <si>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</si>
  <si>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</si>
  <si>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</si>
  <si>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</si>
  <si>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</si>
  <si>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</si>
  <si>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</si>
  <si>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</si>
  <si>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</si>
  <si>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</si>
  <si>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</si>
  <si>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</si>
  <si>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</si>
  <si>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</si>
  <si>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</si>
  <si>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</si>
  <si>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</si>
  <si>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</si>
  <si>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</si>
  <si>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</si>
  <si>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</si>
  <si>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</si>
  <si>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</si>
  <si>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</si>
  <si>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</si>
  <si>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</si>
  <si>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</si>
  <si>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</si>
  <si>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</si>
  <si>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</si>
  <si>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</si>
  <si>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</si>
  <si>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</si>
  <si>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</si>
  <si>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</si>
  <si>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</si>
  <si>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</si>
  <si>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</si>
  <si>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</si>
  <si>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</si>
  <si>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</si>
  <si>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</si>
  <si>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</si>
  <si>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</si>
  <si>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</si>
  <si>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</si>
  <si>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</si>
  <si>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</si>
  <si>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</si>
  <si>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</si>
  <si>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</si>
  <si>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</si>
  <si>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</si>
  <si>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</si>
  <si>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</si>
  <si>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</si>
  <si>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</si>
  <si>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</si>
  <si>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</si>
  <si>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</si>
  <si>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</si>
  <si>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</si>
  <si>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</si>
  <si>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</si>
  <si>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</si>
  <si>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</si>
  <si>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</si>
  <si>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</si>
  <si>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</si>
  <si>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</si>
  <si>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</si>
  <si>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</si>
  <si>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</si>
  <si>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</si>
  <si>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</si>
  <si>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</si>
  <si>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</si>
  <si>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</si>
  <si>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</si>
  <si>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</si>
  <si>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</si>
  <si>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</si>
  <si>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</si>
  <si>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</si>
  <si>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</si>
  <si>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</si>
  <si>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</si>
  <si>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</si>
  <si>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</si>
  <si>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</si>
  <si>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</si>
  <si>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</si>
  <si>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</si>
  <si>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</si>
  <si>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</si>
  <si>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</si>
  <si>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</si>
  <si>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</si>
  <si>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</si>
  <si>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</si>
  <si>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</si>
  <si>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</si>
  <si>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</si>
  <si>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</si>
  <si>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</si>
  <si>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</si>
  <si>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</si>
  <si>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</si>
  <si>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</si>
  <si>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</si>
  <si>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</si>
  <si>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</si>
  <si>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</si>
  <si>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</si>
  <si>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</si>
  <si>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</si>
  <si>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</si>
  <si>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</si>
  <si>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</si>
  <si>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</si>
  <si>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</si>
  <si>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</si>
  <si>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</si>
  <si>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</si>
  <si>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</si>
  <si>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</si>
  <si>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</si>
  <si>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</si>
  <si>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</si>
  <si>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</si>
  <si>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</si>
  <si>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</si>
  <si>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</si>
  <si>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</si>
  <si>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</si>
  <si>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</si>
  <si>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</si>
  <si>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</si>
  <si>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</si>
  <si>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</si>
  <si>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</si>
  <si>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</si>
  <si>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</si>
  <si>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</si>
  <si>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</si>
  <si>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</si>
  <si>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</si>
  <si>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</si>
  <si>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</si>
  <si>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</si>
  <si>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</si>
  <si>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</si>
  <si>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</si>
  <si>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</si>
  <si>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</si>
  <si>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</si>
  <si>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</si>
  <si>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</si>
  <si>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</si>
  <si>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</si>
  <si>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</si>
  <si>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</si>
  <si>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</si>
  <si>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</si>
  <si>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</si>
  <si>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</si>
  <si>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</si>
  <si>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</si>
  <si>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</si>
  <si>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</si>
  <si>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</si>
  <si>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</si>
  <si>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</si>
  <si>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</si>
  <si>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</si>
  <si>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</si>
  <si>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</si>
  <si>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</si>
  <si>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</si>
  <si>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</si>
  <si>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</si>
  <si>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</si>
  <si>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</si>
  <si>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</si>
  <si>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</si>
  <si>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</si>
  <si>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</si>
  <si>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</si>
  <si>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</si>
  <si>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</si>
  <si>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</si>
  <si>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</si>
  <si>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</si>
  <si>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</si>
  <si>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</si>
  <si>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</si>
  <si>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</si>
  <si>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</si>
  <si>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</si>
  <si>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</si>
  <si>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</si>
  <si>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</si>
  <si>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</si>
  <si>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</si>
  <si>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</si>
  <si>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</si>
  <si>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</si>
  <si>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</si>
  <si>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</si>
  <si>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</si>
  <si>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</si>
  <si>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</si>
  <si>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</si>
  <si>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</si>
  <si>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</si>
  <si>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</si>
  <si>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</si>
  <si>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</si>
  <si>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</si>
  <si>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</si>
  <si>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</si>
  <si>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</si>
  <si>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</si>
  <si>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</si>
  <si>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</si>
  <si>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</si>
  <si>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</si>
  <si>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</si>
  <si>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</si>
  <si>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</si>
  <si>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</si>
  <si>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</si>
  <si>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</si>
  <si>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</si>
  <si>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</si>
  <si>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</si>
  <si>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</si>
  <si>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</si>
  <si>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</si>
  <si>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</si>
  <si>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</si>
  <si>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</si>
  <si>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</si>
  <si>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</si>
  <si>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</si>
  <si>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</si>
  <si>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</si>
  <si>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</si>
  <si>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</si>
  <si>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</si>
  <si>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</si>
  <si>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</si>
  <si>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</si>
  <si>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</si>
  <si>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</si>
  <si>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</si>
  <si>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</si>
  <si>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</si>
  <si>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</si>
  <si>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</si>
  <si>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</si>
  <si>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</si>
  <si>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</si>
  <si>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</si>
  <si>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</si>
  <si>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</si>
  <si>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</si>
  <si>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</si>
  <si>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</si>
  <si>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</si>
  <si>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</si>
  <si>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</si>
  <si>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</si>
  <si>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</si>
  <si>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</si>
  <si>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</si>
  <si>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</si>
  <si>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</si>
  <si>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</si>
  <si>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</si>
  <si>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</si>
  <si>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</si>
  <si>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</si>
  <si>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</si>
  <si>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</si>
  <si>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</si>
  <si>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</si>
  <si>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</si>
  <si>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</si>
  <si>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</si>
  <si>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</si>
  <si>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</si>
  <si>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</si>
  <si>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</si>
  <si>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</si>
  <si>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</si>
  <si>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</si>
  <si>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</si>
  <si>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</si>
  <si>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</si>
  <si>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</si>
  <si>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</si>
  <si>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</si>
  <si>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</si>
  <si>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</si>
  <si>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</si>
  <si>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</si>
  <si>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</si>
  <si>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</si>
  <si>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</si>
  <si>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</si>
  <si>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</si>
  <si>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</si>
  <si>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</si>
  <si>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</si>
  <si>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</si>
  <si>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</si>
  <si>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</si>
  <si>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</si>
  <si>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</si>
  <si>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</si>
  <si>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</si>
  <si>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</si>
  <si>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</si>
  <si>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</si>
  <si>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</si>
  <si>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</si>
  <si>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</si>
  <si>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</si>
  <si>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</si>
  <si>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</si>
  <si>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</si>
  <si>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</si>
  <si>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</si>
  <si>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</si>
  <si>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</si>
  <si>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</si>
  <si>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</si>
  <si>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</si>
  <si>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</si>
  <si>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</si>
  <si>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</si>
  <si>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</si>
  <si>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</si>
  <si>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</si>
  <si>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</si>
  <si>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</si>
  <si>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</si>
  <si>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</si>
  <si>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</si>
  <si>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</si>
  <si>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</si>
  <si>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</si>
  <si>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</si>
  <si>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</si>
  <si>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</si>
  <si>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</si>
  <si>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</si>
  <si>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</si>
  <si>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</si>
  <si>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</si>
  <si>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</si>
  <si>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</si>
  <si>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</si>
  <si>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</si>
  <si>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</si>
  <si>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</si>
  <si>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</si>
  <si>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</si>
  <si>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</si>
  <si>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</si>
  <si>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</si>
  <si>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</si>
  <si>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</si>
  <si>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</si>
  <si>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</si>
  <si>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</si>
  <si>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</si>
  <si>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</si>
  <si>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</si>
  <si>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</si>
  <si>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</si>
  <si>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</si>
  <si>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</si>
  <si>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</si>
  <si>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</si>
  <si>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</si>
  <si>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</si>
  <si>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</si>
  <si>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</si>
  <si>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</si>
  <si>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</si>
  <si>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</si>
  <si>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</si>
  <si>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</si>
  <si>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</si>
  <si>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</si>
  <si>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</si>
  <si>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</si>
  <si>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</si>
  <si>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</si>
  <si>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</si>
  <si>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</si>
  <si>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</si>
  <si>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</si>
  <si>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</si>
  <si>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</si>
  <si>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</si>
  <si>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</si>
  <si>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</si>
  <si>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</si>
  <si>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</si>
  <si>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</si>
  <si>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</si>
  <si>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</si>
  <si>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</si>
  <si>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</si>
  <si>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</si>
  <si>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</si>
  <si>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</si>
  <si>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</si>
  <si>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</si>
  <si>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</si>
  <si>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</si>
  <si>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</si>
  <si>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</si>
  <si>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</si>
  <si>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</si>
  <si>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</si>
  <si>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</si>
  <si>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</si>
  <si>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</si>
  <si>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</si>
  <si>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</si>
  <si>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</si>
  <si>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</si>
  <si>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</si>
  <si>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</si>
  <si>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</si>
  <si>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</si>
  <si>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</si>
  <si>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</si>
  <si>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</si>
  <si>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</si>
  <si>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</si>
  <si>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</si>
  <si>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</si>
  <si>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</si>
  <si>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</si>
  <si>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</si>
  <si>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</si>
  <si>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</si>
  <si>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</si>
  <si>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</si>
  <si>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</si>
  <si>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</si>
  <si>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</si>
  <si>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</si>
  <si>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</si>
  <si>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</si>
  <si>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</si>
  <si>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</si>
  <si>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</si>
  <si>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</si>
  <si>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</si>
  <si>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</si>
  <si>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</si>
  <si>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</si>
  <si>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</si>
  <si>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</si>
  <si>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</si>
  <si>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</si>
  <si>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</si>
  <si>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</si>
  <si>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</si>
  <si>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</si>
  <si>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</si>
  <si>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</si>
  <si>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</si>
  <si>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</si>
  <si>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</si>
  <si>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</si>
  <si>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</si>
  <si>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</si>
  <si>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</si>
  <si>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</si>
  <si>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</si>
  <si>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</si>
  <si>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</si>
  <si>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</si>
  <si>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</si>
  <si>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</si>
  <si>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</si>
  <si>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</si>
  <si>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</si>
  <si>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</si>
  <si>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</si>
  <si>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</si>
  <si>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</si>
  <si>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</si>
  <si>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</si>
  <si>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</si>
  <si>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</si>
  <si>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</si>
  <si>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</si>
  <si>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</si>
  <si>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</si>
  <si>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</si>
  <si>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</si>
  <si>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</si>
  <si>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</si>
  <si>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</si>
  <si>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</si>
  <si>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</si>
  <si>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</si>
  <si>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</si>
  <si>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</si>
  <si>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</si>
  <si>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</si>
  <si>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</si>
  <si>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</si>
  <si>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</si>
  <si>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</si>
  <si>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</si>
  <si>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</si>
  <si>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</si>
  <si>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</si>
  <si>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</si>
  <si>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</si>
  <si>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</si>
  <si>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</si>
  <si>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</si>
  <si>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</si>
  <si>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</si>
  <si>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</si>
  <si>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</si>
  <si>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</si>
  <si>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</si>
  <si>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</si>
  <si>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</si>
  <si>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</si>
  <si>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</si>
  <si>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</si>
  <si>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</si>
  <si>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</si>
  <si>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</si>
  <si>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</si>
  <si>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</si>
  <si>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</si>
  <si>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</si>
  <si>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</si>
  <si>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</si>
  <si>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</si>
  <si>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</si>
  <si>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</si>
  <si>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</si>
  <si>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</si>
  <si>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</si>
  <si>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</si>
  <si>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</si>
  <si>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</si>
  <si>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</si>
  <si>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</si>
  <si>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</si>
  <si>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</si>
  <si>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</si>
  <si>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</si>
  <si>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</si>
  <si>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</si>
  <si>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</si>
  <si>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</si>
  <si>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</si>
  <si>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</si>
  <si>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</si>
  <si>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</si>
  <si>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</si>
  <si>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</si>
  <si>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</si>
  <si>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</si>
  <si>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</si>
  <si>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</si>
  <si>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</si>
  <si>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</si>
  <si>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</si>
  <si>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</si>
  <si>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</si>
  <si>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</si>
  <si>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</si>
  <si>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</si>
  <si>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</si>
  <si>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</si>
  <si>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</si>
  <si>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</si>
  <si>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</si>
  <si>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</si>
  <si>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</si>
  <si>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</si>
  <si>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</si>
  <si>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</si>
  <si>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</si>
  <si>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</si>
  <si>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</si>
  <si>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</si>
  <si>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</si>
  <si>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</si>
  <si>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</si>
  <si>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</si>
  <si>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</si>
  <si>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</si>
  <si>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</si>
  <si>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</si>
  <si>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</si>
  <si>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</si>
  <si>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</si>
  <si>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</si>
  <si>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</si>
  <si>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</si>
  <si>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</si>
  <si>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</si>
  <si>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</si>
  <si>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</si>
  <si>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</si>
  <si>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</si>
  <si>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</si>
  <si>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</si>
  <si>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</si>
  <si>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</si>
  <si>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</si>
  <si>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</si>
  <si>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</si>
  <si>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</si>
  <si>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</si>
  <si>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</si>
  <si>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</si>
  <si>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</si>
  <si>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</si>
  <si>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</si>
  <si>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</si>
  <si>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</si>
  <si>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</si>
  <si>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</si>
  <si>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</si>
  <si>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</si>
  <si>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</si>
  <si>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</si>
  <si>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</si>
  <si>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</si>
  <si>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</si>
  <si>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</si>
  <si>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</si>
  <si>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</si>
  <si>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</si>
  <si>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</si>
  <si>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</si>
  <si>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</si>
  <si>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</si>
  <si>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</si>
  <si>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</si>
  <si>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</si>
  <si>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</si>
  <si>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</si>
  <si>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</si>
  <si>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</si>
  <si>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</si>
  <si>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</si>
  <si>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</si>
  <si>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</si>
  <si>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</si>
  <si>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</si>
  <si>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</si>
  <si>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</si>
  <si>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</si>
  <si>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</si>
  <si>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</si>
  <si>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</si>
  <si>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</si>
  <si>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</si>
  <si>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</si>
  <si>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</si>
  <si>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</si>
  <si>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</si>
  <si>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</si>
  <si>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</si>
  <si>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</si>
  <si>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</si>
  <si>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</si>
  <si>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</si>
  <si>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</si>
  <si>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</si>
  <si>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</si>
  <si>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</si>
  <si>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</si>
  <si>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</si>
  <si>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</si>
  <si>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</si>
  <si>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</si>
  <si>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</si>
  <si>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</si>
  <si>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</si>
  <si>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</si>
  <si>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</si>
  <si>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</si>
  <si>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</si>
  <si>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</si>
  <si>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</si>
  <si>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</si>
  <si>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</si>
  <si>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</si>
  <si>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</si>
  <si>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</si>
  <si>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</si>
  <si>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</si>
  <si>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</si>
  <si>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</si>
  <si>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</si>
  <si>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</si>
  <si>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</si>
  <si>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</si>
  <si>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</si>
  <si>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</si>
  <si>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</si>
  <si>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</si>
  <si>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</si>
  <si>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</si>
  <si>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</si>
  <si>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</si>
  <si>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</si>
  <si>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</si>
  <si>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</si>
  <si>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</si>
  <si>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</si>
  <si>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</si>
  <si>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</si>
  <si>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</si>
  <si>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</si>
  <si>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</si>
  <si>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</si>
  <si>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</si>
  <si>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</si>
  <si>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</si>
  <si>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</si>
  <si>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</si>
  <si>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</si>
  <si>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</si>
  <si>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</si>
  <si>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</si>
  <si>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</si>
  <si>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</si>
  <si>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</si>
  <si>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</si>
  <si>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</si>
  <si>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</si>
  <si>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</si>
  <si>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</si>
  <si>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</si>
  <si>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</si>
  <si>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</si>
  <si>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</si>
  <si>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</si>
  <si>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</si>
  <si>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</si>
  <si>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</si>
  <si>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</si>
  <si>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</si>
  <si>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</si>
  <si>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</si>
  <si>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</si>
  <si>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</si>
  <si>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</si>
  <si>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</si>
  <si>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</si>
  <si>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</si>
  <si>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</si>
  <si>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</si>
  <si>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</si>
  <si>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</si>
  <si>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</si>
  <si>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</si>
  <si>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</si>
  <si>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</si>
  <si>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</si>
  <si>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</si>
  <si>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</si>
  <si>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</si>
  <si>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</si>
  <si>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</si>
  <si>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</si>
  <si>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</si>
  <si>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</si>
  <si>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</si>
  <si>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</si>
  <si>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</si>
  <si>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</si>
  <si>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</si>
  <si>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</si>
  <si>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</si>
  <si>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</si>
  <si>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</si>
  <si>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</si>
  <si>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</si>
  <si>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</si>
  <si>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</si>
  <si>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</si>
  <si>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</si>
  <si>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</si>
  <si>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</si>
  <si>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</si>
  <si>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</si>
  <si>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</si>
  <si>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</si>
  <si>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</si>
  <si>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</si>
  <si>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</si>
  <si>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</si>
  <si>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Control_count</t>
  </si>
  <si>
    <t>Test_count</t>
  </si>
  <si>
    <t>Total_purchases</t>
  </si>
  <si>
    <t>Total_returns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</si>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</sst>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07D-9D9E-46D1-89E9-29589D0FAE98}">
  <dimension ref="A1:Q2001"/>
  <sheetViews>
    <sheetView tabSelected="1" workbookViewId="0">
      <selection activeCell="P9" sqref="P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2019</v>
      </c>
      <c r="Q1" s="1" t="s">
        <v>2020</v>
      </c>
    </row>
    <row r="2" spans="1:17" x14ac:dyDescent="0.35">
      <c r="A2" t="s">
        <v>14</v>
      </c>
      <c r="B2" t="s">
        <v>15</v>
      </c>
      <c r="C2">
        <v>23</v>
      </c>
      <c r="D2" t="s">
        <v>16</v>
      </c>
      <c r="E2" t="s">
        <v>17</v>
      </c>
      <c r="F2">
        <v>1499</v>
      </c>
      <c r="G2">
        <v>10</v>
      </c>
      <c r="H2">
        <v>1349.1</v>
      </c>
      <c r="I2">
        <v>1</v>
      </c>
      <c r="J2">
        <v>1</v>
      </c>
      <c r="K2">
        <v>1</v>
      </c>
      <c r="L2">
        <v>1349.1</v>
      </c>
      <c r="M2">
        <v>3</v>
      </c>
      <c r="N2">
        <v>0</v>
      </c>
      <c r="P2">
        <f>COUNTIF(B2:B2001,"Control")</f>
        <v>1000</v>
      </c>
      <c r="Q2">
        <f>COUNTIF(B2:B2001,"Test")</f>
        <v>1000</v>
      </c>
    </row>
    <row r="3" spans="1:17" x14ac:dyDescent="0.35">
      <c r="A3" t="s">
        <v>18</v>
      </c>
      <c r="B3" t="s">
        <v>15</v>
      </c>
      <c r="C3">
        <v>26</v>
      </c>
      <c r="D3" t="s">
        <v>19</v>
      </c>
      <c r="E3" t="s">
        <v>20</v>
      </c>
      <c r="F3">
        <v>2499</v>
      </c>
      <c r="G3">
        <v>20</v>
      </c>
      <c r="H3">
        <v>1999.2</v>
      </c>
      <c r="I3">
        <v>1</v>
      </c>
      <c r="J3">
        <v>1</v>
      </c>
      <c r="K3">
        <v>1</v>
      </c>
      <c r="L3">
        <v>1999.2</v>
      </c>
      <c r="M3">
        <v>4</v>
      </c>
      <c r="N3">
        <v>0</v>
      </c>
      <c r="P3" s="1" t="s">
        <v>2021</v>
      </c>
    </row>
    <row r="4" spans="1:17" x14ac:dyDescent="0.35">
      <c r="A4" t="s">
        <v>21</v>
      </c>
      <c r="B4" t="str">
        <f>IF(ROW()&lt;=1001,"Control","Test")</f>
        <v>Control</v>
      </c>
      <c r="C4">
        <f ca="1">RANDBETWEEN(18,45)</f>
        <v>32</v>
      </c>
      <c r="D4" t="str">
        <f ca="1">CHOOSE(RANDBETWEEN(1,20),"Female","Female","Female","Female","Female","Female","Female","Female","Female","Female","Male","Male","Male","Male","Male","Male","Male","Male","Other","Other")</f>
        <v>Female</v>
      </c>
      <c r="E4" t="str">
        <f ca="1">CHOOSE(RANDBETWEEN(1,8),"T-shirts","Dresses","Jeans","Shoes","Ethnic Wear","Tops","Sportswear","Accessories")</f>
        <v>Jeans</v>
      </c>
      <c r="F4">
        <f ca="1">RANDBETWEEN(300,8000)</f>
        <v>4342</v>
      </c>
      <c r="G4">
        <f ca="1">IF(B4="Control",10,CHOOSE(RANDBETWEEN(1,3),15,20,25))</f>
        <v>10</v>
      </c>
      <c r="H4">
        <f ca="1">F4*(1-G4/100)</f>
        <v>3907.8</v>
      </c>
      <c r="I4">
        <f ca="1">IF(RAND()&lt;0.85,1,0)</f>
        <v>0</v>
      </c>
      <c r="J4">
        <f ca="1">IF(I4=1,IF(RAND()&lt;0.55,1,0),0)</f>
        <v>0</v>
      </c>
      <c r="K4">
        <f ca="1">IF(J4=1,IF(B4="Test",IF(RAND()&lt;0.4,1,0),IF(RAND()&lt;0.34,1,0)),0)</f>
        <v>0</v>
      </c>
      <c r="L4">
        <f ca="1">IF(K4=1,H4,0)</f>
        <v>0</v>
      </c>
      <c r="M4">
        <f ca="1">RANDBETWEEN(1,7)</f>
        <v>3</v>
      </c>
      <c r="N4">
        <f ca="1">IF(K4=1,IF(RAND()&lt;0.15,1,0),0)</f>
        <v>0</v>
      </c>
      <c r="P4">
        <f ca="1">SUM(K2:K2001)</f>
        <v>343</v>
      </c>
    </row>
    <row r="5" spans="1:17" x14ac:dyDescent="0.35">
      <c r="A5" t="s">
        <v>22</v>
      </c>
      <c r="B5" t="str">
        <f t="shared" ref="B5:B68" si="0">IF(ROW()&lt;=1001,"Control","Test")</f>
        <v>Control</v>
      </c>
      <c r="C5">
        <f t="shared" ref="C5:C68" ca="1" si="1">RANDBETWEEN(18,45)</f>
        <v>38</v>
      </c>
      <c r="D5" t="str">
        <f t="shared" ref="D5:D68" ca="1" si="2">CHOOSE(RANDBETWEEN(1,20),"Female","Female","Female","Female","Female","Female","Female","Female","Female","Female","Male","Male","Male","Male","Male","Male","Male","Male","Other","Other")</f>
        <v>Female</v>
      </c>
      <c r="E5" t="str">
        <f t="shared" ref="E5:E68" ca="1" si="3">CHOOSE(RANDBETWEEN(1,8),"T-shirts","Dresses","Jeans","Shoes","Ethnic Wear","Tops","Sportswear","Accessories")</f>
        <v>Jeans</v>
      </c>
      <c r="F5">
        <f t="shared" ref="F5:F68" ca="1" si="4">RANDBETWEEN(300,8000)</f>
        <v>468</v>
      </c>
      <c r="G5">
        <f t="shared" ref="G5:G68" ca="1" si="5">IF(B5="Control",10,CHOOSE(RANDBETWEEN(1,3),15,20,25))</f>
        <v>10</v>
      </c>
      <c r="H5">
        <f t="shared" ref="H5:H68" ca="1" si="6">F5*(1-G5/100)</f>
        <v>421.2</v>
      </c>
      <c r="I5">
        <f t="shared" ref="I5:I68" ca="1" si="7">IF(RAND()&lt;0.85,1,0)</f>
        <v>0</v>
      </c>
      <c r="J5">
        <f t="shared" ref="J5:J68" ca="1" si="8">IF(I5=1,IF(RAND()&lt;0.55,1,0),0)</f>
        <v>0</v>
      </c>
      <c r="K5">
        <f t="shared" ref="K5:K68" ca="1" si="9">IF(J5=1,IF(B5="Test",IF(RAND()&lt;0.4,1,0),IF(RAND()&lt;0.34,1,0)),0)</f>
        <v>0</v>
      </c>
      <c r="L5">
        <f t="shared" ref="L5:L68" ca="1" si="10">IF(K5=1,H5,0)</f>
        <v>0</v>
      </c>
      <c r="M5">
        <f t="shared" ref="M5:M68" ca="1" si="11">RANDBETWEEN(1,7)</f>
        <v>7</v>
      </c>
      <c r="N5">
        <f t="shared" ref="N5:N68" ca="1" si="12">IF(K5=1,IF(RAND()&lt;0.15,1,0),0)</f>
        <v>0</v>
      </c>
      <c r="P5" s="1" t="s">
        <v>2022</v>
      </c>
    </row>
    <row r="6" spans="1:17" x14ac:dyDescent="0.35">
      <c r="A6" t="s">
        <v>23</v>
      </c>
      <c r="B6" t="str">
        <f t="shared" si="0"/>
        <v>Control</v>
      </c>
      <c r="C6">
        <f t="shared" ca="1" si="1"/>
        <v>24</v>
      </c>
      <c r="D6" t="str">
        <f t="shared" ca="1" si="2"/>
        <v>Female</v>
      </c>
      <c r="E6" t="str">
        <f t="shared" ca="1" si="3"/>
        <v>Sportswear</v>
      </c>
      <c r="F6">
        <f t="shared" ca="1" si="4"/>
        <v>5452</v>
      </c>
      <c r="G6">
        <f t="shared" ca="1" si="5"/>
        <v>10</v>
      </c>
      <c r="H6">
        <f t="shared" ca="1" si="6"/>
        <v>4906.8</v>
      </c>
      <c r="I6">
        <f t="shared" ca="1" si="7"/>
        <v>1</v>
      </c>
      <c r="J6">
        <f t="shared" ca="1" si="8"/>
        <v>1</v>
      </c>
      <c r="K6">
        <f t="shared" ca="1" si="9"/>
        <v>0</v>
      </c>
      <c r="L6">
        <f t="shared" ca="1" si="10"/>
        <v>0</v>
      </c>
      <c r="M6">
        <f t="shared" ca="1" si="11"/>
        <v>3</v>
      </c>
      <c r="N6">
        <f t="shared" ca="1" si="12"/>
        <v>0</v>
      </c>
      <c r="P6">
        <f ca="1">SUM(N2:N2001)</f>
        <v>32</v>
      </c>
    </row>
    <row r="7" spans="1:17" x14ac:dyDescent="0.35">
      <c r="A7" t="s">
        <v>24</v>
      </c>
      <c r="B7" t="str">
        <f t="shared" si="0"/>
        <v>Control</v>
      </c>
      <c r="C7">
        <f t="shared" ca="1" si="1"/>
        <v>27</v>
      </c>
      <c r="D7" t="str">
        <f t="shared" ca="1" si="2"/>
        <v>Female</v>
      </c>
      <c r="E7" t="str">
        <f t="shared" ca="1" si="3"/>
        <v>Tops</v>
      </c>
      <c r="F7">
        <f t="shared" ca="1" si="4"/>
        <v>6638</v>
      </c>
      <c r="G7">
        <f t="shared" ca="1" si="5"/>
        <v>10</v>
      </c>
      <c r="H7">
        <f t="shared" ca="1" si="6"/>
        <v>5974.2</v>
      </c>
      <c r="I7">
        <f t="shared" ca="1" si="7"/>
        <v>1</v>
      </c>
      <c r="J7">
        <f t="shared" ca="1" si="8"/>
        <v>1</v>
      </c>
      <c r="K7">
        <f t="shared" ca="1" si="9"/>
        <v>1</v>
      </c>
      <c r="L7">
        <f t="shared" ca="1" si="10"/>
        <v>5974.2</v>
      </c>
      <c r="M7">
        <f t="shared" ca="1" si="11"/>
        <v>6</v>
      </c>
      <c r="N7">
        <f t="shared" ca="1" si="12"/>
        <v>1</v>
      </c>
      <c r="P7" s="1" t="s">
        <v>2023</v>
      </c>
    </row>
    <row r="8" spans="1:17" x14ac:dyDescent="0.35">
      <c r="A8" t="s">
        <v>25</v>
      </c>
      <c r="B8" t="str">
        <f t="shared" si="0"/>
        <v>Control</v>
      </c>
      <c r="C8">
        <f t="shared" ca="1" si="1"/>
        <v>44</v>
      </c>
      <c r="D8" t="str">
        <f t="shared" ca="1" si="2"/>
        <v>Other</v>
      </c>
      <c r="E8" t="str">
        <f t="shared" ca="1" si="3"/>
        <v>Ethnic Wear</v>
      </c>
      <c r="F8">
        <f t="shared" ca="1" si="4"/>
        <v>6013</v>
      </c>
      <c r="G8">
        <f t="shared" ca="1" si="5"/>
        <v>10</v>
      </c>
      <c r="H8">
        <f t="shared" ca="1" si="6"/>
        <v>5411.7</v>
      </c>
      <c r="I8">
        <f t="shared" ca="1" si="7"/>
        <v>1</v>
      </c>
      <c r="J8">
        <f t="shared" ca="1" si="8"/>
        <v>1</v>
      </c>
      <c r="K8">
        <f t="shared" ca="1" si="9"/>
        <v>0</v>
      </c>
      <c r="L8">
        <f t="shared" ca="1" si="10"/>
        <v>0</v>
      </c>
      <c r="M8">
        <f t="shared" ca="1" si="11"/>
        <v>2</v>
      </c>
      <c r="N8">
        <f t="shared" ca="1" si="12"/>
        <v>0</v>
      </c>
      <c r="P8">
        <f ca="1">SUM(L2:L2001)</f>
        <v>1146621.3999999999</v>
      </c>
    </row>
    <row r="9" spans="1:17" x14ac:dyDescent="0.35">
      <c r="A9" t="s">
        <v>26</v>
      </c>
      <c r="B9" t="str">
        <f t="shared" si="0"/>
        <v>Control</v>
      </c>
      <c r="C9">
        <f t="shared" ca="1" si="1"/>
        <v>22</v>
      </c>
      <c r="D9" t="str">
        <f t="shared" ca="1" si="2"/>
        <v>Female</v>
      </c>
      <c r="E9" t="str">
        <f t="shared" ca="1" si="3"/>
        <v>Jeans</v>
      </c>
      <c r="F9">
        <f t="shared" ca="1" si="4"/>
        <v>2220</v>
      </c>
      <c r="G9">
        <f t="shared" ca="1" si="5"/>
        <v>10</v>
      </c>
      <c r="H9">
        <f t="shared" ca="1" si="6"/>
        <v>1998</v>
      </c>
      <c r="I9">
        <f t="shared" ca="1" si="7"/>
        <v>1</v>
      </c>
      <c r="J9">
        <f t="shared" ca="1" si="8"/>
        <v>0</v>
      </c>
      <c r="K9">
        <f t="shared" ca="1" si="9"/>
        <v>0</v>
      </c>
      <c r="L9">
        <f t="shared" ca="1" si="10"/>
        <v>0</v>
      </c>
      <c r="M9">
        <f t="shared" ca="1" si="11"/>
        <v>5</v>
      </c>
      <c r="N9">
        <f t="shared" ca="1" si="12"/>
        <v>0</v>
      </c>
    </row>
    <row r="10" spans="1:17" x14ac:dyDescent="0.35">
      <c r="A10" t="s">
        <v>27</v>
      </c>
      <c r="B10" t="str">
        <f t="shared" si="0"/>
        <v>Control</v>
      </c>
      <c r="C10">
        <f t="shared" ca="1" si="1"/>
        <v>26</v>
      </c>
      <c r="D10" t="str">
        <f t="shared" ca="1" si="2"/>
        <v>Female</v>
      </c>
      <c r="E10" t="str">
        <f t="shared" ca="1" si="3"/>
        <v>Accessories</v>
      </c>
      <c r="F10">
        <f t="shared" ca="1" si="4"/>
        <v>1789</v>
      </c>
      <c r="G10">
        <f t="shared" ca="1" si="5"/>
        <v>10</v>
      </c>
      <c r="H10">
        <f t="shared" ca="1" si="6"/>
        <v>1610.1000000000001</v>
      </c>
      <c r="I10">
        <f t="shared" ca="1" si="7"/>
        <v>1</v>
      </c>
      <c r="J10">
        <f t="shared" ca="1" si="8"/>
        <v>0</v>
      </c>
      <c r="K10">
        <f t="shared" ca="1" si="9"/>
        <v>0</v>
      </c>
      <c r="L10">
        <f t="shared" ca="1" si="10"/>
        <v>0</v>
      </c>
      <c r="M10">
        <f t="shared" ca="1" si="11"/>
        <v>1</v>
      </c>
      <c r="N10">
        <f t="shared" ca="1" si="12"/>
        <v>0</v>
      </c>
    </row>
    <row r="11" spans="1:17" x14ac:dyDescent="0.35">
      <c r="A11" t="s">
        <v>28</v>
      </c>
      <c r="B11" t="str">
        <f t="shared" si="0"/>
        <v>Control</v>
      </c>
      <c r="C11">
        <f t="shared" ca="1" si="1"/>
        <v>43</v>
      </c>
      <c r="D11" t="str">
        <f t="shared" ca="1" si="2"/>
        <v>Female</v>
      </c>
      <c r="E11" t="str">
        <f t="shared" ca="1" si="3"/>
        <v>Jeans</v>
      </c>
      <c r="F11">
        <f t="shared" ca="1" si="4"/>
        <v>2809</v>
      </c>
      <c r="G11">
        <f t="shared" ca="1" si="5"/>
        <v>10</v>
      </c>
      <c r="H11">
        <f t="shared" ca="1" si="6"/>
        <v>2528.1</v>
      </c>
      <c r="I11">
        <f t="shared" ca="1" si="7"/>
        <v>1</v>
      </c>
      <c r="J11">
        <f t="shared" ca="1" si="8"/>
        <v>0</v>
      </c>
      <c r="K11">
        <f t="shared" ca="1" si="9"/>
        <v>0</v>
      </c>
      <c r="L11">
        <f t="shared" ca="1" si="10"/>
        <v>0</v>
      </c>
      <c r="M11">
        <f t="shared" ca="1" si="11"/>
        <v>5</v>
      </c>
      <c r="N11">
        <f t="shared" ca="1" si="12"/>
        <v>0</v>
      </c>
    </row>
    <row r="12" spans="1:17" x14ac:dyDescent="0.35">
      <c r="A12" t="s">
        <v>29</v>
      </c>
      <c r="B12" t="str">
        <f t="shared" si="0"/>
        <v>Control</v>
      </c>
      <c r="C12">
        <f t="shared" ca="1" si="1"/>
        <v>44</v>
      </c>
      <c r="D12" t="str">
        <f t="shared" ca="1" si="2"/>
        <v>Female</v>
      </c>
      <c r="E12" t="str">
        <f t="shared" ca="1" si="3"/>
        <v>Ethnic Wear</v>
      </c>
      <c r="F12">
        <f t="shared" ca="1" si="4"/>
        <v>6567</v>
      </c>
      <c r="G12">
        <f t="shared" ca="1" si="5"/>
        <v>10</v>
      </c>
      <c r="H12">
        <f t="shared" ca="1" si="6"/>
        <v>5910.3</v>
      </c>
      <c r="I12">
        <f t="shared" ca="1" si="7"/>
        <v>1</v>
      </c>
      <c r="J12">
        <f t="shared" ca="1" si="8"/>
        <v>0</v>
      </c>
      <c r="K12">
        <f t="shared" ca="1" si="9"/>
        <v>0</v>
      </c>
      <c r="L12">
        <f t="shared" ca="1" si="10"/>
        <v>0</v>
      </c>
      <c r="M12">
        <f t="shared" ca="1" si="11"/>
        <v>5</v>
      </c>
      <c r="N12">
        <f t="shared" ca="1" si="12"/>
        <v>0</v>
      </c>
    </row>
    <row r="13" spans="1:17" x14ac:dyDescent="0.35">
      <c r="A13" t="s">
        <v>30</v>
      </c>
      <c r="B13" t="str">
        <f t="shared" si="0"/>
        <v>Control</v>
      </c>
      <c r="C13">
        <f t="shared" ca="1" si="1"/>
        <v>40</v>
      </c>
      <c r="D13" t="str">
        <f t="shared" ca="1" si="2"/>
        <v>Female</v>
      </c>
      <c r="E13" t="str">
        <f t="shared" ca="1" si="3"/>
        <v>Dresses</v>
      </c>
      <c r="F13">
        <f t="shared" ca="1" si="4"/>
        <v>3614</v>
      </c>
      <c r="G13">
        <f t="shared" ca="1" si="5"/>
        <v>10</v>
      </c>
      <c r="H13">
        <f t="shared" ca="1" si="6"/>
        <v>3252.6</v>
      </c>
      <c r="I13">
        <f t="shared" ca="1" si="7"/>
        <v>0</v>
      </c>
      <c r="J13">
        <f t="shared" ca="1" si="8"/>
        <v>0</v>
      </c>
      <c r="K13">
        <f t="shared" ca="1" si="9"/>
        <v>0</v>
      </c>
      <c r="L13">
        <f t="shared" ca="1" si="10"/>
        <v>0</v>
      </c>
      <c r="M13">
        <f t="shared" ca="1" si="11"/>
        <v>2</v>
      </c>
      <c r="N13">
        <f t="shared" ca="1" si="12"/>
        <v>0</v>
      </c>
    </row>
    <row r="14" spans="1:17" x14ac:dyDescent="0.35">
      <c r="A14" t="s">
        <v>31</v>
      </c>
      <c r="B14" t="str">
        <f t="shared" si="0"/>
        <v>Control</v>
      </c>
      <c r="C14">
        <f t="shared" ca="1" si="1"/>
        <v>22</v>
      </c>
      <c r="D14" t="str">
        <f t="shared" ca="1" si="2"/>
        <v>Female</v>
      </c>
      <c r="E14" t="str">
        <f t="shared" ca="1" si="3"/>
        <v>Dresses</v>
      </c>
      <c r="F14">
        <f t="shared" ca="1" si="4"/>
        <v>6237</v>
      </c>
      <c r="G14">
        <f t="shared" ca="1" si="5"/>
        <v>10</v>
      </c>
      <c r="H14">
        <f t="shared" ca="1" si="6"/>
        <v>5613.3</v>
      </c>
      <c r="I14">
        <f t="shared" ca="1" si="7"/>
        <v>1</v>
      </c>
      <c r="J14">
        <f t="shared" ca="1" si="8"/>
        <v>1</v>
      </c>
      <c r="K14">
        <f t="shared" ca="1" si="9"/>
        <v>0</v>
      </c>
      <c r="L14">
        <f t="shared" ca="1" si="10"/>
        <v>0</v>
      </c>
      <c r="M14">
        <f t="shared" ca="1" si="11"/>
        <v>2</v>
      </c>
      <c r="N14">
        <f t="shared" ca="1" si="12"/>
        <v>0</v>
      </c>
    </row>
    <row r="15" spans="1:17" x14ac:dyDescent="0.35">
      <c r="A15" t="s">
        <v>32</v>
      </c>
      <c r="B15" t="str">
        <f t="shared" si="0"/>
        <v>Control</v>
      </c>
      <c r="C15">
        <f t="shared" ca="1" si="1"/>
        <v>18</v>
      </c>
      <c r="D15" t="str">
        <f t="shared" ca="1" si="2"/>
        <v>Male</v>
      </c>
      <c r="E15" t="str">
        <f t="shared" ca="1" si="3"/>
        <v>Jeans</v>
      </c>
      <c r="F15">
        <f t="shared" ca="1" si="4"/>
        <v>2927</v>
      </c>
      <c r="G15">
        <f t="shared" ca="1" si="5"/>
        <v>10</v>
      </c>
      <c r="H15">
        <f t="shared" ca="1" si="6"/>
        <v>2634.3</v>
      </c>
      <c r="I15">
        <f t="shared" ca="1" si="7"/>
        <v>1</v>
      </c>
      <c r="J15">
        <f t="shared" ca="1" si="8"/>
        <v>1</v>
      </c>
      <c r="K15">
        <f t="shared" ca="1" si="9"/>
        <v>0</v>
      </c>
      <c r="L15">
        <f t="shared" ca="1" si="10"/>
        <v>0</v>
      </c>
      <c r="M15">
        <f t="shared" ca="1" si="11"/>
        <v>7</v>
      </c>
      <c r="N15">
        <f t="shared" ca="1" si="12"/>
        <v>0</v>
      </c>
    </row>
    <row r="16" spans="1:17" x14ac:dyDescent="0.35">
      <c r="A16" t="s">
        <v>33</v>
      </c>
      <c r="B16" t="str">
        <f t="shared" si="0"/>
        <v>Control</v>
      </c>
      <c r="C16">
        <f t="shared" ca="1" si="1"/>
        <v>28</v>
      </c>
      <c r="D16" t="str">
        <f t="shared" ca="1" si="2"/>
        <v>Female</v>
      </c>
      <c r="E16" t="str">
        <f t="shared" ca="1" si="3"/>
        <v>Tops</v>
      </c>
      <c r="F16">
        <f t="shared" ca="1" si="4"/>
        <v>3503</v>
      </c>
      <c r="G16">
        <f t="shared" ca="1" si="5"/>
        <v>10</v>
      </c>
      <c r="H16">
        <f t="shared" ca="1" si="6"/>
        <v>3152.7000000000003</v>
      </c>
      <c r="I16">
        <f t="shared" ca="1" si="7"/>
        <v>1</v>
      </c>
      <c r="J16">
        <f t="shared" ca="1" si="8"/>
        <v>0</v>
      </c>
      <c r="K16">
        <f t="shared" ca="1" si="9"/>
        <v>0</v>
      </c>
      <c r="L16">
        <f t="shared" ca="1" si="10"/>
        <v>0</v>
      </c>
      <c r="M16">
        <f t="shared" ca="1" si="11"/>
        <v>4</v>
      </c>
      <c r="N16">
        <f t="shared" ca="1" si="12"/>
        <v>0</v>
      </c>
    </row>
    <row r="17" spans="1:14" x14ac:dyDescent="0.35">
      <c r="A17" t="s">
        <v>34</v>
      </c>
      <c r="B17" t="str">
        <f t="shared" si="0"/>
        <v>Control</v>
      </c>
      <c r="C17">
        <f t="shared" ca="1" si="1"/>
        <v>26</v>
      </c>
      <c r="D17" t="str">
        <f t="shared" ca="1" si="2"/>
        <v>Male</v>
      </c>
      <c r="E17" t="str">
        <f t="shared" ca="1" si="3"/>
        <v>Accessories</v>
      </c>
      <c r="F17">
        <f t="shared" ca="1" si="4"/>
        <v>5647</v>
      </c>
      <c r="G17">
        <f t="shared" ca="1" si="5"/>
        <v>10</v>
      </c>
      <c r="H17">
        <f t="shared" ca="1" si="6"/>
        <v>5082.3</v>
      </c>
      <c r="I17">
        <f t="shared" ca="1" si="7"/>
        <v>1</v>
      </c>
      <c r="J17">
        <f t="shared" ca="1" si="8"/>
        <v>1</v>
      </c>
      <c r="K17">
        <f t="shared" ca="1" si="9"/>
        <v>1</v>
      </c>
      <c r="L17">
        <f t="shared" ca="1" si="10"/>
        <v>5082.3</v>
      </c>
      <c r="M17">
        <f t="shared" ca="1" si="11"/>
        <v>3</v>
      </c>
      <c r="N17">
        <f t="shared" ca="1" si="12"/>
        <v>0</v>
      </c>
    </row>
    <row r="18" spans="1:14" x14ac:dyDescent="0.35">
      <c r="A18" t="s">
        <v>35</v>
      </c>
      <c r="B18" t="str">
        <f t="shared" si="0"/>
        <v>Control</v>
      </c>
      <c r="C18">
        <f t="shared" ca="1" si="1"/>
        <v>43</v>
      </c>
      <c r="D18" t="str">
        <f t="shared" ca="1" si="2"/>
        <v>Male</v>
      </c>
      <c r="E18" t="str">
        <f t="shared" ca="1" si="3"/>
        <v>Accessories</v>
      </c>
      <c r="F18">
        <f t="shared" ca="1" si="4"/>
        <v>7912</v>
      </c>
      <c r="G18">
        <f t="shared" ca="1" si="5"/>
        <v>10</v>
      </c>
      <c r="H18">
        <f t="shared" ca="1" si="6"/>
        <v>7120.8</v>
      </c>
      <c r="I18">
        <f t="shared" ca="1" si="7"/>
        <v>1</v>
      </c>
      <c r="J18">
        <f t="shared" ca="1" si="8"/>
        <v>1</v>
      </c>
      <c r="K18">
        <f t="shared" ca="1" si="9"/>
        <v>0</v>
      </c>
      <c r="L18">
        <f t="shared" ca="1" si="10"/>
        <v>0</v>
      </c>
      <c r="M18">
        <f t="shared" ca="1" si="11"/>
        <v>2</v>
      </c>
      <c r="N18">
        <f t="shared" ca="1" si="12"/>
        <v>0</v>
      </c>
    </row>
    <row r="19" spans="1:14" x14ac:dyDescent="0.35">
      <c r="A19" t="s">
        <v>36</v>
      </c>
      <c r="B19" t="str">
        <f t="shared" si="0"/>
        <v>Control</v>
      </c>
      <c r="C19">
        <f t="shared" ca="1" si="1"/>
        <v>41</v>
      </c>
      <c r="D19" t="str">
        <f t="shared" ca="1" si="2"/>
        <v>Male</v>
      </c>
      <c r="E19" t="str">
        <f t="shared" ca="1" si="3"/>
        <v>T-shirts</v>
      </c>
      <c r="F19">
        <f t="shared" ca="1" si="4"/>
        <v>7325</v>
      </c>
      <c r="G19">
        <f t="shared" ca="1" si="5"/>
        <v>10</v>
      </c>
      <c r="H19">
        <f t="shared" ca="1" si="6"/>
        <v>6592.5</v>
      </c>
      <c r="I19">
        <f t="shared" ca="1" si="7"/>
        <v>1</v>
      </c>
      <c r="J19">
        <f t="shared" ca="1" si="8"/>
        <v>0</v>
      </c>
      <c r="K19">
        <f t="shared" ca="1" si="9"/>
        <v>0</v>
      </c>
      <c r="L19">
        <f t="shared" ca="1" si="10"/>
        <v>0</v>
      </c>
      <c r="M19">
        <f t="shared" ca="1" si="11"/>
        <v>7</v>
      </c>
      <c r="N19">
        <f t="shared" ca="1" si="12"/>
        <v>0</v>
      </c>
    </row>
    <row r="20" spans="1:14" x14ac:dyDescent="0.35">
      <c r="A20" t="s">
        <v>37</v>
      </c>
      <c r="B20" t="str">
        <f t="shared" si="0"/>
        <v>Control</v>
      </c>
      <c r="C20">
        <f t="shared" ca="1" si="1"/>
        <v>39</v>
      </c>
      <c r="D20" t="str">
        <f t="shared" ca="1" si="2"/>
        <v>Male</v>
      </c>
      <c r="E20" t="str">
        <f t="shared" ca="1" si="3"/>
        <v>Accessories</v>
      </c>
      <c r="F20">
        <f t="shared" ca="1" si="4"/>
        <v>4653</v>
      </c>
      <c r="G20">
        <f t="shared" ca="1" si="5"/>
        <v>10</v>
      </c>
      <c r="H20">
        <f t="shared" ca="1" si="6"/>
        <v>4187.7</v>
      </c>
      <c r="I20">
        <f t="shared" ca="1" si="7"/>
        <v>1</v>
      </c>
      <c r="J20">
        <f t="shared" ca="1" si="8"/>
        <v>1</v>
      </c>
      <c r="K20">
        <f t="shared" ca="1" si="9"/>
        <v>1</v>
      </c>
      <c r="L20">
        <f t="shared" ca="1" si="10"/>
        <v>4187.7</v>
      </c>
      <c r="M20">
        <f t="shared" ca="1" si="11"/>
        <v>5</v>
      </c>
      <c r="N20">
        <f t="shared" ca="1" si="12"/>
        <v>0</v>
      </c>
    </row>
    <row r="21" spans="1:14" x14ac:dyDescent="0.35">
      <c r="A21" t="s">
        <v>38</v>
      </c>
      <c r="B21" t="str">
        <f t="shared" si="0"/>
        <v>Control</v>
      </c>
      <c r="C21">
        <f t="shared" ca="1" si="1"/>
        <v>43</v>
      </c>
      <c r="D21" t="str">
        <f t="shared" ca="1" si="2"/>
        <v>Male</v>
      </c>
      <c r="E21" t="str">
        <f t="shared" ca="1" si="3"/>
        <v>Shoes</v>
      </c>
      <c r="F21">
        <f t="shared" ca="1" si="4"/>
        <v>7621</v>
      </c>
      <c r="G21">
        <f t="shared" ca="1" si="5"/>
        <v>10</v>
      </c>
      <c r="H21">
        <f t="shared" ca="1" si="6"/>
        <v>6858.9000000000005</v>
      </c>
      <c r="I21">
        <f t="shared" ca="1" si="7"/>
        <v>1</v>
      </c>
      <c r="J21">
        <f t="shared" ca="1" si="8"/>
        <v>0</v>
      </c>
      <c r="K21">
        <f t="shared" ca="1" si="9"/>
        <v>0</v>
      </c>
      <c r="L21">
        <f t="shared" ca="1" si="10"/>
        <v>0</v>
      </c>
      <c r="M21">
        <f t="shared" ca="1" si="11"/>
        <v>3</v>
      </c>
      <c r="N21">
        <f t="shared" ca="1" si="12"/>
        <v>0</v>
      </c>
    </row>
    <row r="22" spans="1:14" x14ac:dyDescent="0.35">
      <c r="A22" t="s">
        <v>39</v>
      </c>
      <c r="B22" t="str">
        <f t="shared" si="0"/>
        <v>Control</v>
      </c>
      <c r="C22">
        <f t="shared" ca="1" si="1"/>
        <v>42</v>
      </c>
      <c r="D22" t="str">
        <f t="shared" ca="1" si="2"/>
        <v>Female</v>
      </c>
      <c r="E22" t="str">
        <f t="shared" ca="1" si="3"/>
        <v>Tops</v>
      </c>
      <c r="F22">
        <f t="shared" ca="1" si="4"/>
        <v>1406</v>
      </c>
      <c r="G22">
        <f t="shared" ca="1" si="5"/>
        <v>10</v>
      </c>
      <c r="H22">
        <f t="shared" ca="1" si="6"/>
        <v>1265.4000000000001</v>
      </c>
      <c r="I22">
        <f t="shared" ca="1" si="7"/>
        <v>0</v>
      </c>
      <c r="J22">
        <f t="shared" ca="1" si="8"/>
        <v>0</v>
      </c>
      <c r="K22">
        <f t="shared" ca="1" si="9"/>
        <v>0</v>
      </c>
      <c r="L22">
        <f t="shared" ca="1" si="10"/>
        <v>0</v>
      </c>
      <c r="M22">
        <f t="shared" ca="1" si="11"/>
        <v>4</v>
      </c>
      <c r="N22">
        <f t="shared" ca="1" si="12"/>
        <v>0</v>
      </c>
    </row>
    <row r="23" spans="1:14" x14ac:dyDescent="0.35">
      <c r="A23" t="s">
        <v>40</v>
      </c>
      <c r="B23" t="str">
        <f t="shared" si="0"/>
        <v>Control</v>
      </c>
      <c r="C23">
        <f t="shared" ca="1" si="1"/>
        <v>23</v>
      </c>
      <c r="D23" t="str">
        <f t="shared" ca="1" si="2"/>
        <v>Female</v>
      </c>
      <c r="E23" t="str">
        <f t="shared" ca="1" si="3"/>
        <v>Jeans</v>
      </c>
      <c r="F23">
        <f t="shared" ca="1" si="4"/>
        <v>649</v>
      </c>
      <c r="G23">
        <f t="shared" ca="1" si="5"/>
        <v>10</v>
      </c>
      <c r="H23">
        <f t="shared" ca="1" si="6"/>
        <v>584.1</v>
      </c>
      <c r="I23">
        <f t="shared" ca="1" si="7"/>
        <v>1</v>
      </c>
      <c r="J23">
        <f t="shared" ca="1" si="8"/>
        <v>0</v>
      </c>
      <c r="K23">
        <f t="shared" ca="1" si="9"/>
        <v>0</v>
      </c>
      <c r="L23">
        <f t="shared" ca="1" si="10"/>
        <v>0</v>
      </c>
      <c r="M23">
        <f t="shared" ca="1" si="11"/>
        <v>7</v>
      </c>
      <c r="N23">
        <f t="shared" ca="1" si="12"/>
        <v>0</v>
      </c>
    </row>
    <row r="24" spans="1:14" x14ac:dyDescent="0.35">
      <c r="A24" t="s">
        <v>41</v>
      </c>
      <c r="B24" t="str">
        <f t="shared" si="0"/>
        <v>Control</v>
      </c>
      <c r="C24">
        <f t="shared" ca="1" si="1"/>
        <v>27</v>
      </c>
      <c r="D24" t="str">
        <f t="shared" ca="1" si="2"/>
        <v>Male</v>
      </c>
      <c r="E24" t="str">
        <f t="shared" ca="1" si="3"/>
        <v>Sportswear</v>
      </c>
      <c r="F24">
        <f t="shared" ca="1" si="4"/>
        <v>3285</v>
      </c>
      <c r="G24">
        <f t="shared" ca="1" si="5"/>
        <v>10</v>
      </c>
      <c r="H24">
        <f t="shared" ca="1" si="6"/>
        <v>2956.5</v>
      </c>
      <c r="I24">
        <f t="shared" ca="1" si="7"/>
        <v>1</v>
      </c>
      <c r="J24">
        <f t="shared" ca="1" si="8"/>
        <v>0</v>
      </c>
      <c r="K24">
        <f t="shared" ca="1" si="9"/>
        <v>0</v>
      </c>
      <c r="L24">
        <f t="shared" ca="1" si="10"/>
        <v>0</v>
      </c>
      <c r="M24">
        <f t="shared" ca="1" si="11"/>
        <v>7</v>
      </c>
      <c r="N24">
        <f t="shared" ca="1" si="12"/>
        <v>0</v>
      </c>
    </row>
    <row r="25" spans="1:14" x14ac:dyDescent="0.35">
      <c r="A25" t="s">
        <v>42</v>
      </c>
      <c r="B25" t="str">
        <f t="shared" si="0"/>
        <v>Control</v>
      </c>
      <c r="C25">
        <f t="shared" ca="1" si="1"/>
        <v>18</v>
      </c>
      <c r="D25" t="str">
        <f t="shared" ca="1" si="2"/>
        <v>Male</v>
      </c>
      <c r="E25" t="str">
        <f t="shared" ca="1" si="3"/>
        <v>Shoes</v>
      </c>
      <c r="F25">
        <f t="shared" ca="1" si="4"/>
        <v>2151</v>
      </c>
      <c r="G25">
        <f t="shared" ca="1" si="5"/>
        <v>10</v>
      </c>
      <c r="H25">
        <f t="shared" ca="1" si="6"/>
        <v>1935.9</v>
      </c>
      <c r="I25">
        <f t="shared" ca="1" si="7"/>
        <v>1</v>
      </c>
      <c r="J25">
        <f t="shared" ca="1" si="8"/>
        <v>0</v>
      </c>
      <c r="K25">
        <f t="shared" ca="1" si="9"/>
        <v>0</v>
      </c>
      <c r="L25">
        <f t="shared" ca="1" si="10"/>
        <v>0</v>
      </c>
      <c r="M25">
        <f t="shared" ca="1" si="11"/>
        <v>3</v>
      </c>
      <c r="N25">
        <f t="shared" ca="1" si="12"/>
        <v>0</v>
      </c>
    </row>
    <row r="26" spans="1:14" x14ac:dyDescent="0.35">
      <c r="A26" t="s">
        <v>43</v>
      </c>
      <c r="B26" t="str">
        <f t="shared" si="0"/>
        <v>Control</v>
      </c>
      <c r="C26">
        <f t="shared" ca="1" si="1"/>
        <v>41</v>
      </c>
      <c r="D26" t="str">
        <f t="shared" ca="1" si="2"/>
        <v>Male</v>
      </c>
      <c r="E26" t="str">
        <f t="shared" ca="1" si="3"/>
        <v>Dresses</v>
      </c>
      <c r="F26">
        <f t="shared" ca="1" si="4"/>
        <v>7221</v>
      </c>
      <c r="G26">
        <f t="shared" ca="1" si="5"/>
        <v>10</v>
      </c>
      <c r="H26">
        <f t="shared" ca="1" si="6"/>
        <v>6498.9000000000005</v>
      </c>
      <c r="I26">
        <f t="shared" ca="1" si="7"/>
        <v>1</v>
      </c>
      <c r="J26">
        <f t="shared" ca="1" si="8"/>
        <v>0</v>
      </c>
      <c r="K26">
        <f t="shared" ca="1" si="9"/>
        <v>0</v>
      </c>
      <c r="L26">
        <f t="shared" ca="1" si="10"/>
        <v>0</v>
      </c>
      <c r="M26">
        <f t="shared" ca="1" si="11"/>
        <v>2</v>
      </c>
      <c r="N26">
        <f t="shared" ca="1" si="12"/>
        <v>0</v>
      </c>
    </row>
    <row r="27" spans="1:14" x14ac:dyDescent="0.35">
      <c r="A27" t="s">
        <v>44</v>
      </c>
      <c r="B27" t="str">
        <f t="shared" si="0"/>
        <v>Control</v>
      </c>
      <c r="C27">
        <f t="shared" ca="1" si="1"/>
        <v>30</v>
      </c>
      <c r="D27" t="str">
        <f t="shared" ca="1" si="2"/>
        <v>Female</v>
      </c>
      <c r="E27" t="str">
        <f t="shared" ca="1" si="3"/>
        <v>Sportswear</v>
      </c>
      <c r="F27">
        <f t="shared" ca="1" si="4"/>
        <v>621</v>
      </c>
      <c r="G27">
        <f t="shared" ca="1" si="5"/>
        <v>10</v>
      </c>
      <c r="H27">
        <f t="shared" ca="1" si="6"/>
        <v>558.9</v>
      </c>
      <c r="I27">
        <f t="shared" ca="1" si="7"/>
        <v>1</v>
      </c>
      <c r="J27">
        <f t="shared" ca="1" si="8"/>
        <v>0</v>
      </c>
      <c r="K27">
        <f t="shared" ca="1" si="9"/>
        <v>0</v>
      </c>
      <c r="L27">
        <f t="shared" ca="1" si="10"/>
        <v>0</v>
      </c>
      <c r="M27">
        <f t="shared" ca="1" si="11"/>
        <v>5</v>
      </c>
      <c r="N27">
        <f t="shared" ca="1" si="12"/>
        <v>0</v>
      </c>
    </row>
    <row r="28" spans="1:14" x14ac:dyDescent="0.35">
      <c r="A28" t="s">
        <v>45</v>
      </c>
      <c r="B28" t="str">
        <f t="shared" si="0"/>
        <v>Control</v>
      </c>
      <c r="C28">
        <f t="shared" ca="1" si="1"/>
        <v>28</v>
      </c>
      <c r="D28" t="str">
        <f t="shared" ca="1" si="2"/>
        <v>Female</v>
      </c>
      <c r="E28" t="str">
        <f t="shared" ca="1" si="3"/>
        <v>Tops</v>
      </c>
      <c r="F28">
        <f t="shared" ca="1" si="4"/>
        <v>4172</v>
      </c>
      <c r="G28">
        <f t="shared" ca="1" si="5"/>
        <v>10</v>
      </c>
      <c r="H28">
        <f t="shared" ca="1" si="6"/>
        <v>3754.8</v>
      </c>
      <c r="I28">
        <f t="shared" ca="1" si="7"/>
        <v>0</v>
      </c>
      <c r="J28">
        <f t="shared" ca="1" si="8"/>
        <v>0</v>
      </c>
      <c r="K28">
        <f t="shared" ca="1" si="9"/>
        <v>0</v>
      </c>
      <c r="L28">
        <f t="shared" ca="1" si="10"/>
        <v>0</v>
      </c>
      <c r="M28">
        <f t="shared" ca="1" si="11"/>
        <v>4</v>
      </c>
      <c r="N28">
        <f t="shared" ca="1" si="12"/>
        <v>0</v>
      </c>
    </row>
    <row r="29" spans="1:14" x14ac:dyDescent="0.35">
      <c r="A29" t="s">
        <v>46</v>
      </c>
      <c r="B29" t="str">
        <f t="shared" si="0"/>
        <v>Control</v>
      </c>
      <c r="C29">
        <f t="shared" ca="1" si="1"/>
        <v>23</v>
      </c>
      <c r="D29" t="str">
        <f t="shared" ca="1" si="2"/>
        <v>Other</v>
      </c>
      <c r="E29" t="str">
        <f t="shared" ca="1" si="3"/>
        <v>Jeans</v>
      </c>
      <c r="F29">
        <f t="shared" ca="1" si="4"/>
        <v>857</v>
      </c>
      <c r="G29">
        <f t="shared" ca="1" si="5"/>
        <v>10</v>
      </c>
      <c r="H29">
        <f t="shared" ca="1" si="6"/>
        <v>771.30000000000007</v>
      </c>
      <c r="I29">
        <f t="shared" ca="1" si="7"/>
        <v>1</v>
      </c>
      <c r="J29">
        <f t="shared" ca="1" si="8"/>
        <v>1</v>
      </c>
      <c r="K29">
        <f t="shared" ca="1" si="9"/>
        <v>1</v>
      </c>
      <c r="L29">
        <f t="shared" ca="1" si="10"/>
        <v>771.30000000000007</v>
      </c>
      <c r="M29">
        <f t="shared" ca="1" si="11"/>
        <v>5</v>
      </c>
      <c r="N29">
        <f t="shared" ca="1" si="12"/>
        <v>0</v>
      </c>
    </row>
    <row r="30" spans="1:14" x14ac:dyDescent="0.35">
      <c r="A30" t="s">
        <v>47</v>
      </c>
      <c r="B30" t="str">
        <f t="shared" si="0"/>
        <v>Control</v>
      </c>
      <c r="C30">
        <f t="shared" ca="1" si="1"/>
        <v>34</v>
      </c>
      <c r="D30" t="str">
        <f t="shared" ca="1" si="2"/>
        <v>Male</v>
      </c>
      <c r="E30" t="str">
        <f t="shared" ca="1" si="3"/>
        <v>Tops</v>
      </c>
      <c r="F30">
        <f t="shared" ca="1" si="4"/>
        <v>404</v>
      </c>
      <c r="G30">
        <f t="shared" ca="1" si="5"/>
        <v>10</v>
      </c>
      <c r="H30">
        <f t="shared" ca="1" si="6"/>
        <v>363.6</v>
      </c>
      <c r="I30">
        <f t="shared" ca="1" si="7"/>
        <v>1</v>
      </c>
      <c r="J30">
        <f t="shared" ca="1" si="8"/>
        <v>0</v>
      </c>
      <c r="K30">
        <f t="shared" ca="1" si="9"/>
        <v>0</v>
      </c>
      <c r="L30">
        <f t="shared" ca="1" si="10"/>
        <v>0</v>
      </c>
      <c r="M30">
        <f t="shared" ca="1" si="11"/>
        <v>1</v>
      </c>
      <c r="N30">
        <f t="shared" ca="1" si="12"/>
        <v>0</v>
      </c>
    </row>
    <row r="31" spans="1:14" x14ac:dyDescent="0.35">
      <c r="A31" t="s">
        <v>48</v>
      </c>
      <c r="B31" t="str">
        <f t="shared" si="0"/>
        <v>Control</v>
      </c>
      <c r="C31">
        <f t="shared" ca="1" si="1"/>
        <v>27</v>
      </c>
      <c r="D31" t="str">
        <f t="shared" ca="1" si="2"/>
        <v>Male</v>
      </c>
      <c r="E31" t="str">
        <f t="shared" ca="1" si="3"/>
        <v>Jeans</v>
      </c>
      <c r="F31">
        <f t="shared" ca="1" si="4"/>
        <v>7128</v>
      </c>
      <c r="G31">
        <f t="shared" ca="1" si="5"/>
        <v>10</v>
      </c>
      <c r="H31">
        <f t="shared" ca="1" si="6"/>
        <v>6415.2</v>
      </c>
      <c r="I31">
        <f t="shared" ca="1" si="7"/>
        <v>0</v>
      </c>
      <c r="J31">
        <f t="shared" ca="1" si="8"/>
        <v>0</v>
      </c>
      <c r="K31">
        <f t="shared" ca="1" si="9"/>
        <v>0</v>
      </c>
      <c r="L31">
        <f t="shared" ca="1" si="10"/>
        <v>0</v>
      </c>
      <c r="M31">
        <f t="shared" ca="1" si="11"/>
        <v>6</v>
      </c>
      <c r="N31">
        <f t="shared" ca="1" si="12"/>
        <v>0</v>
      </c>
    </row>
    <row r="32" spans="1:14" x14ac:dyDescent="0.35">
      <c r="A32" t="s">
        <v>49</v>
      </c>
      <c r="B32" t="str">
        <f t="shared" si="0"/>
        <v>Control</v>
      </c>
      <c r="C32">
        <f t="shared" ca="1" si="1"/>
        <v>40</v>
      </c>
      <c r="D32" t="str">
        <f t="shared" ca="1" si="2"/>
        <v>Female</v>
      </c>
      <c r="E32" t="str">
        <f t="shared" ca="1" si="3"/>
        <v>T-shirts</v>
      </c>
      <c r="F32">
        <f t="shared" ca="1" si="4"/>
        <v>6764</v>
      </c>
      <c r="G32">
        <f t="shared" ca="1" si="5"/>
        <v>10</v>
      </c>
      <c r="H32">
        <f t="shared" ca="1" si="6"/>
        <v>6087.6</v>
      </c>
      <c r="I32">
        <f t="shared" ca="1" si="7"/>
        <v>1</v>
      </c>
      <c r="J32">
        <f t="shared" ca="1" si="8"/>
        <v>0</v>
      </c>
      <c r="K32">
        <f t="shared" ca="1" si="9"/>
        <v>0</v>
      </c>
      <c r="L32">
        <f t="shared" ca="1" si="10"/>
        <v>0</v>
      </c>
      <c r="M32">
        <f t="shared" ca="1" si="11"/>
        <v>4</v>
      </c>
      <c r="N32">
        <f t="shared" ca="1" si="12"/>
        <v>0</v>
      </c>
    </row>
    <row r="33" spans="1:14" x14ac:dyDescent="0.35">
      <c r="A33" t="s">
        <v>50</v>
      </c>
      <c r="B33" t="str">
        <f t="shared" si="0"/>
        <v>Control</v>
      </c>
      <c r="C33">
        <f t="shared" ca="1" si="1"/>
        <v>34</v>
      </c>
      <c r="D33" t="str">
        <f t="shared" ca="1" si="2"/>
        <v>Female</v>
      </c>
      <c r="E33" t="str">
        <f t="shared" ca="1" si="3"/>
        <v>Sportswear</v>
      </c>
      <c r="F33">
        <f t="shared" ca="1" si="4"/>
        <v>2275</v>
      </c>
      <c r="G33">
        <f t="shared" ca="1" si="5"/>
        <v>10</v>
      </c>
      <c r="H33">
        <f t="shared" ca="1" si="6"/>
        <v>2047.5</v>
      </c>
      <c r="I33">
        <f t="shared" ca="1" si="7"/>
        <v>1</v>
      </c>
      <c r="J33">
        <f t="shared" ca="1" si="8"/>
        <v>1</v>
      </c>
      <c r="K33">
        <f t="shared" ca="1" si="9"/>
        <v>0</v>
      </c>
      <c r="L33">
        <f t="shared" ca="1" si="10"/>
        <v>0</v>
      </c>
      <c r="M33">
        <f t="shared" ca="1" si="11"/>
        <v>3</v>
      </c>
      <c r="N33">
        <f t="shared" ca="1" si="12"/>
        <v>0</v>
      </c>
    </row>
    <row r="34" spans="1:14" x14ac:dyDescent="0.35">
      <c r="A34" t="s">
        <v>51</v>
      </c>
      <c r="B34" t="str">
        <f t="shared" si="0"/>
        <v>Control</v>
      </c>
      <c r="C34">
        <f t="shared" ca="1" si="1"/>
        <v>44</v>
      </c>
      <c r="D34" t="str">
        <f t="shared" ca="1" si="2"/>
        <v>Female</v>
      </c>
      <c r="E34" t="str">
        <f t="shared" ca="1" si="3"/>
        <v>Tops</v>
      </c>
      <c r="F34">
        <f t="shared" ca="1" si="4"/>
        <v>487</v>
      </c>
      <c r="G34">
        <f t="shared" ca="1" si="5"/>
        <v>10</v>
      </c>
      <c r="H34">
        <f t="shared" ca="1" si="6"/>
        <v>438.3</v>
      </c>
      <c r="I34">
        <f t="shared" ca="1" si="7"/>
        <v>1</v>
      </c>
      <c r="J34">
        <f t="shared" ca="1" si="8"/>
        <v>1</v>
      </c>
      <c r="K34">
        <f t="shared" ca="1" si="9"/>
        <v>0</v>
      </c>
      <c r="L34">
        <f t="shared" ca="1" si="10"/>
        <v>0</v>
      </c>
      <c r="M34">
        <f t="shared" ca="1" si="11"/>
        <v>4</v>
      </c>
      <c r="N34">
        <f t="shared" ca="1" si="12"/>
        <v>0</v>
      </c>
    </row>
    <row r="35" spans="1:14" x14ac:dyDescent="0.35">
      <c r="A35" t="s">
        <v>52</v>
      </c>
      <c r="B35" t="str">
        <f t="shared" si="0"/>
        <v>Control</v>
      </c>
      <c r="C35">
        <f t="shared" ca="1" si="1"/>
        <v>19</v>
      </c>
      <c r="D35" t="str">
        <f t="shared" ca="1" si="2"/>
        <v>Male</v>
      </c>
      <c r="E35" t="str">
        <f t="shared" ca="1" si="3"/>
        <v>Dresses</v>
      </c>
      <c r="F35">
        <f t="shared" ca="1" si="4"/>
        <v>1316</v>
      </c>
      <c r="G35">
        <f t="shared" ca="1" si="5"/>
        <v>10</v>
      </c>
      <c r="H35">
        <f t="shared" ca="1" si="6"/>
        <v>1184.4000000000001</v>
      </c>
      <c r="I35">
        <f t="shared" ca="1" si="7"/>
        <v>1</v>
      </c>
      <c r="J35">
        <f t="shared" ca="1" si="8"/>
        <v>0</v>
      </c>
      <c r="K35">
        <f t="shared" ca="1" si="9"/>
        <v>0</v>
      </c>
      <c r="L35">
        <f t="shared" ca="1" si="10"/>
        <v>0</v>
      </c>
      <c r="M35">
        <f t="shared" ca="1" si="11"/>
        <v>5</v>
      </c>
      <c r="N35">
        <f t="shared" ca="1" si="12"/>
        <v>0</v>
      </c>
    </row>
    <row r="36" spans="1:14" x14ac:dyDescent="0.35">
      <c r="A36" t="s">
        <v>53</v>
      </c>
      <c r="B36" t="str">
        <f t="shared" si="0"/>
        <v>Control</v>
      </c>
      <c r="C36">
        <f t="shared" ca="1" si="1"/>
        <v>26</v>
      </c>
      <c r="D36" t="str">
        <f t="shared" ca="1" si="2"/>
        <v>Male</v>
      </c>
      <c r="E36" t="str">
        <f t="shared" ca="1" si="3"/>
        <v>T-shirts</v>
      </c>
      <c r="F36">
        <f t="shared" ca="1" si="4"/>
        <v>4002</v>
      </c>
      <c r="G36">
        <f t="shared" ca="1" si="5"/>
        <v>10</v>
      </c>
      <c r="H36">
        <f t="shared" ca="1" si="6"/>
        <v>3601.8</v>
      </c>
      <c r="I36">
        <f t="shared" ca="1" si="7"/>
        <v>1</v>
      </c>
      <c r="J36">
        <f t="shared" ca="1" si="8"/>
        <v>0</v>
      </c>
      <c r="K36">
        <f t="shared" ca="1" si="9"/>
        <v>0</v>
      </c>
      <c r="L36">
        <f t="shared" ca="1" si="10"/>
        <v>0</v>
      </c>
      <c r="M36">
        <f t="shared" ca="1" si="11"/>
        <v>3</v>
      </c>
      <c r="N36">
        <f t="shared" ca="1" si="12"/>
        <v>0</v>
      </c>
    </row>
    <row r="37" spans="1:14" x14ac:dyDescent="0.35">
      <c r="A37" t="s">
        <v>54</v>
      </c>
      <c r="B37" t="str">
        <f t="shared" si="0"/>
        <v>Control</v>
      </c>
      <c r="C37">
        <f t="shared" ca="1" si="1"/>
        <v>27</v>
      </c>
      <c r="D37" t="str">
        <f t="shared" ca="1" si="2"/>
        <v>Female</v>
      </c>
      <c r="E37" t="str">
        <f t="shared" ca="1" si="3"/>
        <v>Shoes</v>
      </c>
      <c r="F37">
        <f t="shared" ca="1" si="4"/>
        <v>1837</v>
      </c>
      <c r="G37">
        <f t="shared" ca="1" si="5"/>
        <v>10</v>
      </c>
      <c r="H37">
        <f t="shared" ca="1" si="6"/>
        <v>1653.3</v>
      </c>
      <c r="I37">
        <f t="shared" ca="1" si="7"/>
        <v>0</v>
      </c>
      <c r="J37">
        <f t="shared" ca="1" si="8"/>
        <v>0</v>
      </c>
      <c r="K37">
        <f t="shared" ca="1" si="9"/>
        <v>0</v>
      </c>
      <c r="L37">
        <f t="shared" ca="1" si="10"/>
        <v>0</v>
      </c>
      <c r="M37">
        <f t="shared" ca="1" si="11"/>
        <v>5</v>
      </c>
      <c r="N37">
        <f t="shared" ca="1" si="12"/>
        <v>0</v>
      </c>
    </row>
    <row r="38" spans="1:14" x14ac:dyDescent="0.35">
      <c r="A38" t="s">
        <v>55</v>
      </c>
      <c r="B38" t="str">
        <f t="shared" si="0"/>
        <v>Control</v>
      </c>
      <c r="C38">
        <f t="shared" ca="1" si="1"/>
        <v>39</v>
      </c>
      <c r="D38" t="str">
        <f t="shared" ca="1" si="2"/>
        <v>Female</v>
      </c>
      <c r="E38" t="str">
        <f t="shared" ca="1" si="3"/>
        <v>Tops</v>
      </c>
      <c r="F38">
        <f t="shared" ca="1" si="4"/>
        <v>7641</v>
      </c>
      <c r="G38">
        <f t="shared" ca="1" si="5"/>
        <v>10</v>
      </c>
      <c r="H38">
        <f t="shared" ca="1" si="6"/>
        <v>6876.9000000000005</v>
      </c>
      <c r="I38">
        <f t="shared" ca="1" si="7"/>
        <v>1</v>
      </c>
      <c r="J38">
        <f t="shared" ca="1" si="8"/>
        <v>1</v>
      </c>
      <c r="K38">
        <f t="shared" ca="1" si="9"/>
        <v>1</v>
      </c>
      <c r="L38">
        <f t="shared" ca="1" si="10"/>
        <v>6876.9000000000005</v>
      </c>
      <c r="M38">
        <f t="shared" ca="1" si="11"/>
        <v>1</v>
      </c>
      <c r="N38">
        <f t="shared" ca="1" si="12"/>
        <v>0</v>
      </c>
    </row>
    <row r="39" spans="1:14" x14ac:dyDescent="0.35">
      <c r="A39" t="s">
        <v>56</v>
      </c>
      <c r="B39" t="str">
        <f t="shared" si="0"/>
        <v>Control</v>
      </c>
      <c r="C39">
        <f t="shared" ca="1" si="1"/>
        <v>30</v>
      </c>
      <c r="D39" t="str">
        <f t="shared" ca="1" si="2"/>
        <v>Male</v>
      </c>
      <c r="E39" t="str">
        <f t="shared" ca="1" si="3"/>
        <v>Tops</v>
      </c>
      <c r="F39">
        <f t="shared" ca="1" si="4"/>
        <v>5036</v>
      </c>
      <c r="G39">
        <f t="shared" ca="1" si="5"/>
        <v>10</v>
      </c>
      <c r="H39">
        <f t="shared" ca="1" si="6"/>
        <v>4532.4000000000005</v>
      </c>
      <c r="I39">
        <f t="shared" ca="1" si="7"/>
        <v>1</v>
      </c>
      <c r="J39">
        <f t="shared" ca="1" si="8"/>
        <v>0</v>
      </c>
      <c r="K39">
        <f t="shared" ca="1" si="9"/>
        <v>0</v>
      </c>
      <c r="L39">
        <f t="shared" ca="1" si="10"/>
        <v>0</v>
      </c>
      <c r="M39">
        <f t="shared" ca="1" si="11"/>
        <v>3</v>
      </c>
      <c r="N39">
        <f t="shared" ca="1" si="12"/>
        <v>0</v>
      </c>
    </row>
    <row r="40" spans="1:14" x14ac:dyDescent="0.35">
      <c r="A40" t="s">
        <v>57</v>
      </c>
      <c r="B40" t="str">
        <f t="shared" si="0"/>
        <v>Control</v>
      </c>
      <c r="C40">
        <f t="shared" ca="1" si="1"/>
        <v>30</v>
      </c>
      <c r="D40" t="str">
        <f t="shared" ca="1" si="2"/>
        <v>Female</v>
      </c>
      <c r="E40" t="str">
        <f t="shared" ca="1" si="3"/>
        <v>Dresses</v>
      </c>
      <c r="F40">
        <f t="shared" ca="1" si="4"/>
        <v>756</v>
      </c>
      <c r="G40">
        <f t="shared" ca="1" si="5"/>
        <v>10</v>
      </c>
      <c r="H40">
        <f t="shared" ca="1" si="6"/>
        <v>680.4</v>
      </c>
      <c r="I40">
        <f t="shared" ca="1" si="7"/>
        <v>1</v>
      </c>
      <c r="J40">
        <f t="shared" ca="1" si="8"/>
        <v>0</v>
      </c>
      <c r="K40">
        <f t="shared" ca="1" si="9"/>
        <v>0</v>
      </c>
      <c r="L40">
        <f t="shared" ca="1" si="10"/>
        <v>0</v>
      </c>
      <c r="M40">
        <f t="shared" ca="1" si="11"/>
        <v>6</v>
      </c>
      <c r="N40">
        <f t="shared" ca="1" si="12"/>
        <v>0</v>
      </c>
    </row>
    <row r="41" spans="1:14" x14ac:dyDescent="0.35">
      <c r="A41" t="s">
        <v>58</v>
      </c>
      <c r="B41" t="str">
        <f t="shared" si="0"/>
        <v>Control</v>
      </c>
      <c r="C41">
        <f t="shared" ca="1" si="1"/>
        <v>36</v>
      </c>
      <c r="D41" t="str">
        <f t="shared" ca="1" si="2"/>
        <v>Female</v>
      </c>
      <c r="E41" t="str">
        <f t="shared" ca="1" si="3"/>
        <v>Accessories</v>
      </c>
      <c r="F41">
        <f t="shared" ca="1" si="4"/>
        <v>1469</v>
      </c>
      <c r="G41">
        <f t="shared" ca="1" si="5"/>
        <v>10</v>
      </c>
      <c r="H41">
        <f t="shared" ca="1" si="6"/>
        <v>1322.1000000000001</v>
      </c>
      <c r="I41">
        <f t="shared" ca="1" si="7"/>
        <v>1</v>
      </c>
      <c r="J41">
        <f t="shared" ca="1" si="8"/>
        <v>0</v>
      </c>
      <c r="K41">
        <f t="shared" ca="1" si="9"/>
        <v>0</v>
      </c>
      <c r="L41">
        <f t="shared" ca="1" si="10"/>
        <v>0</v>
      </c>
      <c r="M41">
        <f t="shared" ca="1" si="11"/>
        <v>4</v>
      </c>
      <c r="N41">
        <f t="shared" ca="1" si="12"/>
        <v>0</v>
      </c>
    </row>
    <row r="42" spans="1:14" x14ac:dyDescent="0.35">
      <c r="A42" t="s">
        <v>59</v>
      </c>
      <c r="B42" t="str">
        <f t="shared" si="0"/>
        <v>Control</v>
      </c>
      <c r="C42">
        <f t="shared" ca="1" si="1"/>
        <v>38</v>
      </c>
      <c r="D42" t="str">
        <f t="shared" ca="1" si="2"/>
        <v>Male</v>
      </c>
      <c r="E42" t="str">
        <f t="shared" ca="1" si="3"/>
        <v>Jeans</v>
      </c>
      <c r="F42">
        <f t="shared" ca="1" si="4"/>
        <v>1304</v>
      </c>
      <c r="G42">
        <f t="shared" ca="1" si="5"/>
        <v>10</v>
      </c>
      <c r="H42">
        <f t="shared" ca="1" si="6"/>
        <v>1173.6000000000001</v>
      </c>
      <c r="I42">
        <f t="shared" ca="1" si="7"/>
        <v>1</v>
      </c>
      <c r="J42">
        <f t="shared" ca="1" si="8"/>
        <v>1</v>
      </c>
      <c r="K42">
        <f t="shared" ca="1" si="9"/>
        <v>1</v>
      </c>
      <c r="L42">
        <f t="shared" ca="1" si="10"/>
        <v>1173.6000000000001</v>
      </c>
      <c r="M42">
        <f t="shared" ca="1" si="11"/>
        <v>6</v>
      </c>
      <c r="N42">
        <f t="shared" ca="1" si="12"/>
        <v>0</v>
      </c>
    </row>
    <row r="43" spans="1:14" x14ac:dyDescent="0.35">
      <c r="A43" t="s">
        <v>60</v>
      </c>
      <c r="B43" t="str">
        <f t="shared" si="0"/>
        <v>Control</v>
      </c>
      <c r="C43">
        <f t="shared" ca="1" si="1"/>
        <v>42</v>
      </c>
      <c r="D43" t="str">
        <f t="shared" ca="1" si="2"/>
        <v>Male</v>
      </c>
      <c r="E43" t="str">
        <f t="shared" ca="1" si="3"/>
        <v>Shoes</v>
      </c>
      <c r="F43">
        <f t="shared" ca="1" si="4"/>
        <v>2401</v>
      </c>
      <c r="G43">
        <f t="shared" ca="1" si="5"/>
        <v>10</v>
      </c>
      <c r="H43">
        <f t="shared" ca="1" si="6"/>
        <v>2160.9</v>
      </c>
      <c r="I43">
        <f t="shared" ca="1" si="7"/>
        <v>1</v>
      </c>
      <c r="J43">
        <f t="shared" ca="1" si="8"/>
        <v>0</v>
      </c>
      <c r="K43">
        <f t="shared" ca="1" si="9"/>
        <v>0</v>
      </c>
      <c r="L43">
        <f t="shared" ca="1" si="10"/>
        <v>0</v>
      </c>
      <c r="M43">
        <f t="shared" ca="1" si="11"/>
        <v>3</v>
      </c>
      <c r="N43">
        <f t="shared" ca="1" si="12"/>
        <v>0</v>
      </c>
    </row>
    <row r="44" spans="1:14" x14ac:dyDescent="0.35">
      <c r="A44" t="s">
        <v>61</v>
      </c>
      <c r="B44" t="str">
        <f t="shared" si="0"/>
        <v>Control</v>
      </c>
      <c r="C44">
        <f t="shared" ca="1" si="1"/>
        <v>35</v>
      </c>
      <c r="D44" t="str">
        <f t="shared" ca="1" si="2"/>
        <v>Female</v>
      </c>
      <c r="E44" t="str">
        <f t="shared" ca="1" si="3"/>
        <v>Accessories</v>
      </c>
      <c r="F44">
        <f t="shared" ca="1" si="4"/>
        <v>3622</v>
      </c>
      <c r="G44">
        <f t="shared" ca="1" si="5"/>
        <v>10</v>
      </c>
      <c r="H44">
        <f t="shared" ca="1" si="6"/>
        <v>3259.8</v>
      </c>
      <c r="I44">
        <f t="shared" ca="1" si="7"/>
        <v>1</v>
      </c>
      <c r="J44">
        <f t="shared" ca="1" si="8"/>
        <v>1</v>
      </c>
      <c r="K44">
        <f t="shared" ca="1" si="9"/>
        <v>0</v>
      </c>
      <c r="L44">
        <f t="shared" ca="1" si="10"/>
        <v>0</v>
      </c>
      <c r="M44">
        <f t="shared" ca="1" si="11"/>
        <v>4</v>
      </c>
      <c r="N44">
        <f t="shared" ca="1" si="12"/>
        <v>0</v>
      </c>
    </row>
    <row r="45" spans="1:14" x14ac:dyDescent="0.35">
      <c r="A45" t="s">
        <v>62</v>
      </c>
      <c r="B45" t="str">
        <f t="shared" si="0"/>
        <v>Control</v>
      </c>
      <c r="C45">
        <f t="shared" ca="1" si="1"/>
        <v>18</v>
      </c>
      <c r="D45" t="str">
        <f t="shared" ca="1" si="2"/>
        <v>Male</v>
      </c>
      <c r="E45" t="str">
        <f t="shared" ca="1" si="3"/>
        <v>Accessories</v>
      </c>
      <c r="F45">
        <f t="shared" ca="1" si="4"/>
        <v>2878</v>
      </c>
      <c r="G45">
        <f t="shared" ca="1" si="5"/>
        <v>10</v>
      </c>
      <c r="H45">
        <f t="shared" ca="1" si="6"/>
        <v>2590.2000000000003</v>
      </c>
      <c r="I45">
        <f t="shared" ca="1" si="7"/>
        <v>1</v>
      </c>
      <c r="J45">
        <f t="shared" ca="1" si="8"/>
        <v>0</v>
      </c>
      <c r="K45">
        <f t="shared" ca="1" si="9"/>
        <v>0</v>
      </c>
      <c r="L45">
        <f t="shared" ca="1" si="10"/>
        <v>0</v>
      </c>
      <c r="M45">
        <f t="shared" ca="1" si="11"/>
        <v>6</v>
      </c>
      <c r="N45">
        <f t="shared" ca="1" si="12"/>
        <v>0</v>
      </c>
    </row>
    <row r="46" spans="1:14" x14ac:dyDescent="0.35">
      <c r="A46" t="s">
        <v>63</v>
      </c>
      <c r="B46" t="str">
        <f t="shared" si="0"/>
        <v>Control</v>
      </c>
      <c r="C46">
        <f t="shared" ca="1" si="1"/>
        <v>33</v>
      </c>
      <c r="D46" t="str">
        <f t="shared" ca="1" si="2"/>
        <v>Male</v>
      </c>
      <c r="E46" t="str">
        <f t="shared" ca="1" si="3"/>
        <v>Dresses</v>
      </c>
      <c r="F46">
        <f t="shared" ca="1" si="4"/>
        <v>446</v>
      </c>
      <c r="G46">
        <f t="shared" ca="1" si="5"/>
        <v>10</v>
      </c>
      <c r="H46">
        <f t="shared" ca="1" si="6"/>
        <v>401.40000000000003</v>
      </c>
      <c r="I46">
        <f t="shared" ca="1" si="7"/>
        <v>1</v>
      </c>
      <c r="J46">
        <f t="shared" ca="1" si="8"/>
        <v>0</v>
      </c>
      <c r="K46">
        <f t="shared" ca="1" si="9"/>
        <v>0</v>
      </c>
      <c r="L46">
        <f t="shared" ca="1" si="10"/>
        <v>0</v>
      </c>
      <c r="M46">
        <f t="shared" ca="1" si="11"/>
        <v>7</v>
      </c>
      <c r="N46">
        <f t="shared" ca="1" si="12"/>
        <v>0</v>
      </c>
    </row>
    <row r="47" spans="1:14" x14ac:dyDescent="0.35">
      <c r="A47" t="s">
        <v>64</v>
      </c>
      <c r="B47" t="str">
        <f t="shared" si="0"/>
        <v>Control</v>
      </c>
      <c r="C47">
        <f t="shared" ca="1" si="1"/>
        <v>31</v>
      </c>
      <c r="D47" t="str">
        <f t="shared" ca="1" si="2"/>
        <v>Female</v>
      </c>
      <c r="E47" t="str">
        <f t="shared" ca="1" si="3"/>
        <v>Sportswear</v>
      </c>
      <c r="F47">
        <f t="shared" ca="1" si="4"/>
        <v>7137</v>
      </c>
      <c r="G47">
        <f t="shared" ca="1" si="5"/>
        <v>10</v>
      </c>
      <c r="H47">
        <f t="shared" ca="1" si="6"/>
        <v>6423.3</v>
      </c>
      <c r="I47">
        <f t="shared" ca="1" si="7"/>
        <v>1</v>
      </c>
      <c r="J47">
        <f t="shared" ca="1" si="8"/>
        <v>0</v>
      </c>
      <c r="K47">
        <f t="shared" ca="1" si="9"/>
        <v>0</v>
      </c>
      <c r="L47">
        <f t="shared" ca="1" si="10"/>
        <v>0</v>
      </c>
      <c r="M47">
        <f t="shared" ca="1" si="11"/>
        <v>1</v>
      </c>
      <c r="N47">
        <f t="shared" ca="1" si="12"/>
        <v>0</v>
      </c>
    </row>
    <row r="48" spans="1:14" x14ac:dyDescent="0.35">
      <c r="A48" t="s">
        <v>65</v>
      </c>
      <c r="B48" t="str">
        <f t="shared" si="0"/>
        <v>Control</v>
      </c>
      <c r="C48">
        <f t="shared" ca="1" si="1"/>
        <v>32</v>
      </c>
      <c r="D48" t="str">
        <f t="shared" ca="1" si="2"/>
        <v>Female</v>
      </c>
      <c r="E48" t="str">
        <f t="shared" ca="1" si="3"/>
        <v>Dresses</v>
      </c>
      <c r="F48">
        <f t="shared" ca="1" si="4"/>
        <v>3091</v>
      </c>
      <c r="G48">
        <f t="shared" ca="1" si="5"/>
        <v>10</v>
      </c>
      <c r="H48">
        <f t="shared" ca="1" si="6"/>
        <v>2781.9</v>
      </c>
      <c r="I48">
        <f t="shared" ca="1" si="7"/>
        <v>1</v>
      </c>
      <c r="J48">
        <f t="shared" ca="1" si="8"/>
        <v>1</v>
      </c>
      <c r="K48">
        <f t="shared" ca="1" si="9"/>
        <v>1</v>
      </c>
      <c r="L48">
        <f t="shared" ca="1" si="10"/>
        <v>2781.9</v>
      </c>
      <c r="M48">
        <f t="shared" ca="1" si="11"/>
        <v>4</v>
      </c>
      <c r="N48">
        <f t="shared" ca="1" si="12"/>
        <v>0</v>
      </c>
    </row>
    <row r="49" spans="1:14" x14ac:dyDescent="0.35">
      <c r="A49" t="s">
        <v>66</v>
      </c>
      <c r="B49" t="str">
        <f t="shared" si="0"/>
        <v>Control</v>
      </c>
      <c r="C49">
        <f t="shared" ca="1" si="1"/>
        <v>33</v>
      </c>
      <c r="D49" t="str">
        <f t="shared" ca="1" si="2"/>
        <v>Female</v>
      </c>
      <c r="E49" t="str">
        <f t="shared" ca="1" si="3"/>
        <v>Dresses</v>
      </c>
      <c r="F49">
        <f t="shared" ca="1" si="4"/>
        <v>3074</v>
      </c>
      <c r="G49">
        <f t="shared" ca="1" si="5"/>
        <v>10</v>
      </c>
      <c r="H49">
        <f t="shared" ca="1" si="6"/>
        <v>2766.6</v>
      </c>
      <c r="I49">
        <f t="shared" ca="1" si="7"/>
        <v>1</v>
      </c>
      <c r="J49">
        <f t="shared" ca="1" si="8"/>
        <v>1</v>
      </c>
      <c r="K49">
        <f t="shared" ca="1" si="9"/>
        <v>1</v>
      </c>
      <c r="L49">
        <f t="shared" ca="1" si="10"/>
        <v>2766.6</v>
      </c>
      <c r="M49">
        <f t="shared" ca="1" si="11"/>
        <v>5</v>
      </c>
      <c r="N49">
        <f t="shared" ca="1" si="12"/>
        <v>0</v>
      </c>
    </row>
    <row r="50" spans="1:14" x14ac:dyDescent="0.35">
      <c r="A50" t="s">
        <v>67</v>
      </c>
      <c r="B50" t="str">
        <f t="shared" si="0"/>
        <v>Control</v>
      </c>
      <c r="C50">
        <f t="shared" ca="1" si="1"/>
        <v>30</v>
      </c>
      <c r="D50" t="str">
        <f t="shared" ca="1" si="2"/>
        <v>Female</v>
      </c>
      <c r="E50" t="str">
        <f t="shared" ca="1" si="3"/>
        <v>Shoes</v>
      </c>
      <c r="F50">
        <f t="shared" ca="1" si="4"/>
        <v>3436</v>
      </c>
      <c r="G50">
        <f t="shared" ca="1" si="5"/>
        <v>10</v>
      </c>
      <c r="H50">
        <f t="shared" ca="1" si="6"/>
        <v>3092.4</v>
      </c>
      <c r="I50">
        <f t="shared" ca="1" si="7"/>
        <v>1</v>
      </c>
      <c r="J50">
        <f t="shared" ca="1" si="8"/>
        <v>0</v>
      </c>
      <c r="K50">
        <f t="shared" ca="1" si="9"/>
        <v>0</v>
      </c>
      <c r="L50">
        <f t="shared" ca="1" si="10"/>
        <v>0</v>
      </c>
      <c r="M50">
        <f t="shared" ca="1" si="11"/>
        <v>4</v>
      </c>
      <c r="N50">
        <f t="shared" ca="1" si="12"/>
        <v>0</v>
      </c>
    </row>
    <row r="51" spans="1:14" x14ac:dyDescent="0.35">
      <c r="A51" t="s">
        <v>68</v>
      </c>
      <c r="B51" t="str">
        <f t="shared" si="0"/>
        <v>Control</v>
      </c>
      <c r="C51">
        <f t="shared" ca="1" si="1"/>
        <v>43</v>
      </c>
      <c r="D51" t="str">
        <f t="shared" ca="1" si="2"/>
        <v>Female</v>
      </c>
      <c r="E51" t="str">
        <f t="shared" ca="1" si="3"/>
        <v>Ethnic Wear</v>
      </c>
      <c r="F51">
        <f t="shared" ca="1" si="4"/>
        <v>1279</v>
      </c>
      <c r="G51">
        <f t="shared" ca="1" si="5"/>
        <v>10</v>
      </c>
      <c r="H51">
        <f t="shared" ca="1" si="6"/>
        <v>1151.1000000000001</v>
      </c>
      <c r="I51">
        <f t="shared" ca="1" si="7"/>
        <v>1</v>
      </c>
      <c r="J51">
        <f t="shared" ca="1" si="8"/>
        <v>1</v>
      </c>
      <c r="K51">
        <f t="shared" ca="1" si="9"/>
        <v>0</v>
      </c>
      <c r="L51">
        <f t="shared" ca="1" si="10"/>
        <v>0</v>
      </c>
      <c r="M51">
        <f t="shared" ca="1" si="11"/>
        <v>1</v>
      </c>
      <c r="N51">
        <f t="shared" ca="1" si="12"/>
        <v>0</v>
      </c>
    </row>
    <row r="52" spans="1:14" x14ac:dyDescent="0.35">
      <c r="A52" t="s">
        <v>69</v>
      </c>
      <c r="B52" t="str">
        <f t="shared" si="0"/>
        <v>Control</v>
      </c>
      <c r="C52">
        <f t="shared" ca="1" si="1"/>
        <v>38</v>
      </c>
      <c r="D52" t="str">
        <f t="shared" ca="1" si="2"/>
        <v>Female</v>
      </c>
      <c r="E52" t="str">
        <f t="shared" ca="1" si="3"/>
        <v>Accessories</v>
      </c>
      <c r="F52">
        <f t="shared" ca="1" si="4"/>
        <v>2353</v>
      </c>
      <c r="G52">
        <f t="shared" ca="1" si="5"/>
        <v>10</v>
      </c>
      <c r="H52">
        <f t="shared" ca="1" si="6"/>
        <v>2117.7000000000003</v>
      </c>
      <c r="I52">
        <f t="shared" ca="1" si="7"/>
        <v>1</v>
      </c>
      <c r="J52">
        <f t="shared" ca="1" si="8"/>
        <v>1</v>
      </c>
      <c r="K52">
        <f t="shared" ca="1" si="9"/>
        <v>0</v>
      </c>
      <c r="L52">
        <f t="shared" ca="1" si="10"/>
        <v>0</v>
      </c>
      <c r="M52">
        <f t="shared" ca="1" si="11"/>
        <v>3</v>
      </c>
      <c r="N52">
        <f t="shared" ca="1" si="12"/>
        <v>0</v>
      </c>
    </row>
    <row r="53" spans="1:14" x14ac:dyDescent="0.35">
      <c r="A53" t="s">
        <v>70</v>
      </c>
      <c r="B53" t="str">
        <f t="shared" si="0"/>
        <v>Control</v>
      </c>
      <c r="C53">
        <f t="shared" ca="1" si="1"/>
        <v>23</v>
      </c>
      <c r="D53" t="str">
        <f t="shared" ca="1" si="2"/>
        <v>Other</v>
      </c>
      <c r="E53" t="str">
        <f t="shared" ca="1" si="3"/>
        <v>Sportswear</v>
      </c>
      <c r="F53">
        <f t="shared" ca="1" si="4"/>
        <v>7792</v>
      </c>
      <c r="G53">
        <f t="shared" ca="1" si="5"/>
        <v>10</v>
      </c>
      <c r="H53">
        <f t="shared" ca="1" si="6"/>
        <v>7012.8</v>
      </c>
      <c r="I53">
        <f t="shared" ca="1" si="7"/>
        <v>1</v>
      </c>
      <c r="J53">
        <f t="shared" ca="1" si="8"/>
        <v>0</v>
      </c>
      <c r="K53">
        <f t="shared" ca="1" si="9"/>
        <v>0</v>
      </c>
      <c r="L53">
        <f t="shared" ca="1" si="10"/>
        <v>0</v>
      </c>
      <c r="M53">
        <f t="shared" ca="1" si="11"/>
        <v>2</v>
      </c>
      <c r="N53">
        <f t="shared" ca="1" si="12"/>
        <v>0</v>
      </c>
    </row>
    <row r="54" spans="1:14" x14ac:dyDescent="0.35">
      <c r="A54" t="s">
        <v>71</v>
      </c>
      <c r="B54" t="str">
        <f t="shared" si="0"/>
        <v>Control</v>
      </c>
      <c r="C54">
        <f t="shared" ca="1" si="1"/>
        <v>34</v>
      </c>
      <c r="D54" t="str">
        <f t="shared" ca="1" si="2"/>
        <v>Male</v>
      </c>
      <c r="E54" t="str">
        <f t="shared" ca="1" si="3"/>
        <v>Tops</v>
      </c>
      <c r="F54">
        <f t="shared" ca="1" si="4"/>
        <v>6228</v>
      </c>
      <c r="G54">
        <f t="shared" ca="1" si="5"/>
        <v>10</v>
      </c>
      <c r="H54">
        <f t="shared" ca="1" si="6"/>
        <v>5605.2</v>
      </c>
      <c r="I54">
        <f t="shared" ca="1" si="7"/>
        <v>1</v>
      </c>
      <c r="J54">
        <f t="shared" ca="1" si="8"/>
        <v>0</v>
      </c>
      <c r="K54">
        <f t="shared" ca="1" si="9"/>
        <v>0</v>
      </c>
      <c r="L54">
        <f t="shared" ca="1" si="10"/>
        <v>0</v>
      </c>
      <c r="M54">
        <f t="shared" ca="1" si="11"/>
        <v>4</v>
      </c>
      <c r="N54">
        <f t="shared" ca="1" si="12"/>
        <v>0</v>
      </c>
    </row>
    <row r="55" spans="1:14" x14ac:dyDescent="0.35">
      <c r="A55" t="s">
        <v>72</v>
      </c>
      <c r="B55" t="str">
        <f t="shared" si="0"/>
        <v>Control</v>
      </c>
      <c r="C55">
        <f t="shared" ca="1" si="1"/>
        <v>28</v>
      </c>
      <c r="D55" t="str">
        <f t="shared" ca="1" si="2"/>
        <v>Female</v>
      </c>
      <c r="E55" t="str">
        <f t="shared" ca="1" si="3"/>
        <v>Ethnic Wear</v>
      </c>
      <c r="F55">
        <f t="shared" ca="1" si="4"/>
        <v>7702</v>
      </c>
      <c r="G55">
        <f t="shared" ca="1" si="5"/>
        <v>10</v>
      </c>
      <c r="H55">
        <f t="shared" ca="1" si="6"/>
        <v>6931.8</v>
      </c>
      <c r="I55">
        <f t="shared" ca="1" si="7"/>
        <v>1</v>
      </c>
      <c r="J55">
        <f t="shared" ca="1" si="8"/>
        <v>1</v>
      </c>
      <c r="K55">
        <f t="shared" ca="1" si="9"/>
        <v>0</v>
      </c>
      <c r="L55">
        <f t="shared" ca="1" si="10"/>
        <v>0</v>
      </c>
      <c r="M55">
        <f t="shared" ca="1" si="11"/>
        <v>6</v>
      </c>
      <c r="N55">
        <f t="shared" ca="1" si="12"/>
        <v>0</v>
      </c>
    </row>
    <row r="56" spans="1:14" x14ac:dyDescent="0.35">
      <c r="A56" t="s">
        <v>73</v>
      </c>
      <c r="B56" t="str">
        <f t="shared" si="0"/>
        <v>Control</v>
      </c>
      <c r="C56">
        <f t="shared" ca="1" si="1"/>
        <v>37</v>
      </c>
      <c r="D56" t="str">
        <f t="shared" ca="1" si="2"/>
        <v>Male</v>
      </c>
      <c r="E56" t="str">
        <f t="shared" ca="1" si="3"/>
        <v>Sportswear</v>
      </c>
      <c r="F56">
        <f t="shared" ca="1" si="4"/>
        <v>1501</v>
      </c>
      <c r="G56">
        <f t="shared" ca="1" si="5"/>
        <v>10</v>
      </c>
      <c r="H56">
        <f t="shared" ca="1" si="6"/>
        <v>1350.9</v>
      </c>
      <c r="I56">
        <f t="shared" ca="1" si="7"/>
        <v>1</v>
      </c>
      <c r="J56">
        <f t="shared" ca="1" si="8"/>
        <v>0</v>
      </c>
      <c r="K56">
        <f t="shared" ca="1" si="9"/>
        <v>0</v>
      </c>
      <c r="L56">
        <f t="shared" ca="1" si="10"/>
        <v>0</v>
      </c>
      <c r="M56">
        <f t="shared" ca="1" si="11"/>
        <v>1</v>
      </c>
      <c r="N56">
        <f t="shared" ca="1" si="12"/>
        <v>0</v>
      </c>
    </row>
    <row r="57" spans="1:14" x14ac:dyDescent="0.35">
      <c r="A57" t="s">
        <v>74</v>
      </c>
      <c r="B57" t="str">
        <f t="shared" si="0"/>
        <v>Control</v>
      </c>
      <c r="C57">
        <f t="shared" ca="1" si="1"/>
        <v>36</v>
      </c>
      <c r="D57" t="str">
        <f t="shared" ca="1" si="2"/>
        <v>Male</v>
      </c>
      <c r="E57" t="str">
        <f t="shared" ca="1" si="3"/>
        <v>T-shirts</v>
      </c>
      <c r="F57">
        <f t="shared" ca="1" si="4"/>
        <v>2284</v>
      </c>
      <c r="G57">
        <f t="shared" ca="1" si="5"/>
        <v>10</v>
      </c>
      <c r="H57">
        <f t="shared" ca="1" si="6"/>
        <v>2055.6</v>
      </c>
      <c r="I57">
        <f t="shared" ca="1" si="7"/>
        <v>1</v>
      </c>
      <c r="J57">
        <f t="shared" ca="1" si="8"/>
        <v>0</v>
      </c>
      <c r="K57">
        <f t="shared" ca="1" si="9"/>
        <v>0</v>
      </c>
      <c r="L57">
        <f t="shared" ca="1" si="10"/>
        <v>0</v>
      </c>
      <c r="M57">
        <f t="shared" ca="1" si="11"/>
        <v>3</v>
      </c>
      <c r="N57">
        <f t="shared" ca="1" si="12"/>
        <v>0</v>
      </c>
    </row>
    <row r="58" spans="1:14" x14ac:dyDescent="0.35">
      <c r="A58" t="s">
        <v>75</v>
      </c>
      <c r="B58" t="str">
        <f t="shared" si="0"/>
        <v>Control</v>
      </c>
      <c r="C58">
        <f t="shared" ca="1" si="1"/>
        <v>27</v>
      </c>
      <c r="D58" t="str">
        <f t="shared" ca="1" si="2"/>
        <v>Female</v>
      </c>
      <c r="E58" t="str">
        <f t="shared" ca="1" si="3"/>
        <v>Accessories</v>
      </c>
      <c r="F58">
        <f t="shared" ca="1" si="4"/>
        <v>7818</v>
      </c>
      <c r="G58">
        <f t="shared" ca="1" si="5"/>
        <v>10</v>
      </c>
      <c r="H58">
        <f t="shared" ca="1" si="6"/>
        <v>7036.2</v>
      </c>
      <c r="I58">
        <f t="shared" ca="1" si="7"/>
        <v>1</v>
      </c>
      <c r="J58">
        <f t="shared" ca="1" si="8"/>
        <v>1</v>
      </c>
      <c r="K58">
        <f t="shared" ca="1" si="9"/>
        <v>0</v>
      </c>
      <c r="L58">
        <f t="shared" ca="1" si="10"/>
        <v>0</v>
      </c>
      <c r="M58">
        <f t="shared" ca="1" si="11"/>
        <v>4</v>
      </c>
      <c r="N58">
        <f t="shared" ca="1" si="12"/>
        <v>0</v>
      </c>
    </row>
    <row r="59" spans="1:14" x14ac:dyDescent="0.35">
      <c r="A59" t="s">
        <v>76</v>
      </c>
      <c r="B59" t="str">
        <f t="shared" si="0"/>
        <v>Control</v>
      </c>
      <c r="C59">
        <f t="shared" ca="1" si="1"/>
        <v>45</v>
      </c>
      <c r="D59" t="str">
        <f t="shared" ca="1" si="2"/>
        <v>Female</v>
      </c>
      <c r="E59" t="str">
        <f t="shared" ca="1" si="3"/>
        <v>Ethnic Wear</v>
      </c>
      <c r="F59">
        <f t="shared" ca="1" si="4"/>
        <v>1273</v>
      </c>
      <c r="G59">
        <f t="shared" ca="1" si="5"/>
        <v>10</v>
      </c>
      <c r="H59">
        <f t="shared" ca="1" si="6"/>
        <v>1145.7</v>
      </c>
      <c r="I59">
        <f t="shared" ca="1" si="7"/>
        <v>1</v>
      </c>
      <c r="J59">
        <f t="shared" ca="1" si="8"/>
        <v>1</v>
      </c>
      <c r="K59">
        <f t="shared" ca="1" si="9"/>
        <v>1</v>
      </c>
      <c r="L59">
        <f t="shared" ca="1" si="10"/>
        <v>1145.7</v>
      </c>
      <c r="M59">
        <f t="shared" ca="1" si="11"/>
        <v>4</v>
      </c>
      <c r="N59">
        <f t="shared" ca="1" si="12"/>
        <v>0</v>
      </c>
    </row>
    <row r="60" spans="1:14" x14ac:dyDescent="0.35">
      <c r="A60" t="s">
        <v>77</v>
      </c>
      <c r="B60" t="str">
        <f t="shared" si="0"/>
        <v>Control</v>
      </c>
      <c r="C60">
        <f t="shared" ca="1" si="1"/>
        <v>33</v>
      </c>
      <c r="D60" t="str">
        <f t="shared" ca="1" si="2"/>
        <v>Female</v>
      </c>
      <c r="E60" t="str">
        <f t="shared" ca="1" si="3"/>
        <v>Jeans</v>
      </c>
      <c r="F60">
        <f t="shared" ca="1" si="4"/>
        <v>7376</v>
      </c>
      <c r="G60">
        <f t="shared" ca="1" si="5"/>
        <v>10</v>
      </c>
      <c r="H60">
        <f t="shared" ca="1" si="6"/>
        <v>6638.4000000000005</v>
      </c>
      <c r="I60">
        <f t="shared" ca="1" si="7"/>
        <v>1</v>
      </c>
      <c r="J60">
        <f t="shared" ca="1" si="8"/>
        <v>1</v>
      </c>
      <c r="K60">
        <f t="shared" ca="1" si="9"/>
        <v>0</v>
      </c>
      <c r="L60">
        <f t="shared" ca="1" si="10"/>
        <v>0</v>
      </c>
      <c r="M60">
        <f t="shared" ca="1" si="11"/>
        <v>7</v>
      </c>
      <c r="N60">
        <f t="shared" ca="1" si="12"/>
        <v>0</v>
      </c>
    </row>
    <row r="61" spans="1:14" x14ac:dyDescent="0.35">
      <c r="A61" t="s">
        <v>78</v>
      </c>
      <c r="B61" t="str">
        <f t="shared" si="0"/>
        <v>Control</v>
      </c>
      <c r="C61">
        <f t="shared" ca="1" si="1"/>
        <v>39</v>
      </c>
      <c r="D61" t="str">
        <f t="shared" ca="1" si="2"/>
        <v>Male</v>
      </c>
      <c r="E61" t="str">
        <f t="shared" ca="1" si="3"/>
        <v>T-shirts</v>
      </c>
      <c r="F61">
        <f t="shared" ca="1" si="4"/>
        <v>1221</v>
      </c>
      <c r="G61">
        <f t="shared" ca="1" si="5"/>
        <v>10</v>
      </c>
      <c r="H61">
        <f t="shared" ca="1" si="6"/>
        <v>1098.9000000000001</v>
      </c>
      <c r="I61">
        <f t="shared" ca="1" si="7"/>
        <v>0</v>
      </c>
      <c r="J61">
        <f t="shared" ca="1" si="8"/>
        <v>0</v>
      </c>
      <c r="K61">
        <f t="shared" ca="1" si="9"/>
        <v>0</v>
      </c>
      <c r="L61">
        <f t="shared" ca="1" si="10"/>
        <v>0</v>
      </c>
      <c r="M61">
        <f t="shared" ca="1" si="11"/>
        <v>3</v>
      </c>
      <c r="N61">
        <f t="shared" ca="1" si="12"/>
        <v>0</v>
      </c>
    </row>
    <row r="62" spans="1:14" x14ac:dyDescent="0.35">
      <c r="A62" t="s">
        <v>79</v>
      </c>
      <c r="B62" t="str">
        <f t="shared" si="0"/>
        <v>Control</v>
      </c>
      <c r="C62">
        <f t="shared" ca="1" si="1"/>
        <v>19</v>
      </c>
      <c r="D62" t="str">
        <f t="shared" ca="1" si="2"/>
        <v>Female</v>
      </c>
      <c r="E62" t="str">
        <f t="shared" ca="1" si="3"/>
        <v>Shoes</v>
      </c>
      <c r="F62">
        <f t="shared" ca="1" si="4"/>
        <v>3473</v>
      </c>
      <c r="G62">
        <f t="shared" ca="1" si="5"/>
        <v>10</v>
      </c>
      <c r="H62">
        <f t="shared" ca="1" si="6"/>
        <v>3125.7000000000003</v>
      </c>
      <c r="I62">
        <f t="shared" ca="1" si="7"/>
        <v>1</v>
      </c>
      <c r="J62">
        <f t="shared" ca="1" si="8"/>
        <v>0</v>
      </c>
      <c r="K62">
        <f t="shared" ca="1" si="9"/>
        <v>0</v>
      </c>
      <c r="L62">
        <f t="shared" ca="1" si="10"/>
        <v>0</v>
      </c>
      <c r="M62">
        <f t="shared" ca="1" si="11"/>
        <v>5</v>
      </c>
      <c r="N62">
        <f t="shared" ca="1" si="12"/>
        <v>0</v>
      </c>
    </row>
    <row r="63" spans="1:14" x14ac:dyDescent="0.35">
      <c r="A63" t="s">
        <v>80</v>
      </c>
      <c r="B63" t="str">
        <f t="shared" si="0"/>
        <v>Control</v>
      </c>
      <c r="C63">
        <f t="shared" ca="1" si="1"/>
        <v>26</v>
      </c>
      <c r="D63" t="str">
        <f t="shared" ca="1" si="2"/>
        <v>Female</v>
      </c>
      <c r="E63" t="str">
        <f t="shared" ca="1" si="3"/>
        <v>Sportswear</v>
      </c>
      <c r="F63">
        <f t="shared" ca="1" si="4"/>
        <v>6097</v>
      </c>
      <c r="G63">
        <f t="shared" ca="1" si="5"/>
        <v>10</v>
      </c>
      <c r="H63">
        <f t="shared" ca="1" si="6"/>
        <v>5487.3</v>
      </c>
      <c r="I63">
        <f t="shared" ca="1" si="7"/>
        <v>1</v>
      </c>
      <c r="J63">
        <f t="shared" ca="1" si="8"/>
        <v>1</v>
      </c>
      <c r="K63">
        <f t="shared" ca="1" si="9"/>
        <v>1</v>
      </c>
      <c r="L63">
        <f t="shared" ca="1" si="10"/>
        <v>5487.3</v>
      </c>
      <c r="M63">
        <f t="shared" ca="1" si="11"/>
        <v>2</v>
      </c>
      <c r="N63">
        <f t="shared" ca="1" si="12"/>
        <v>0</v>
      </c>
    </row>
    <row r="64" spans="1:14" x14ac:dyDescent="0.35">
      <c r="A64" t="s">
        <v>81</v>
      </c>
      <c r="B64" t="str">
        <f t="shared" si="0"/>
        <v>Control</v>
      </c>
      <c r="C64">
        <f t="shared" ca="1" si="1"/>
        <v>36</v>
      </c>
      <c r="D64" t="str">
        <f t="shared" ca="1" si="2"/>
        <v>Female</v>
      </c>
      <c r="E64" t="str">
        <f t="shared" ca="1" si="3"/>
        <v>Ethnic Wear</v>
      </c>
      <c r="F64">
        <f t="shared" ca="1" si="4"/>
        <v>7347</v>
      </c>
      <c r="G64">
        <f t="shared" ca="1" si="5"/>
        <v>10</v>
      </c>
      <c r="H64">
        <f t="shared" ca="1" si="6"/>
        <v>6612.3</v>
      </c>
      <c r="I64">
        <f t="shared" ca="1" si="7"/>
        <v>1</v>
      </c>
      <c r="J64">
        <f t="shared" ca="1" si="8"/>
        <v>1</v>
      </c>
      <c r="K64">
        <f t="shared" ca="1" si="9"/>
        <v>1</v>
      </c>
      <c r="L64">
        <f t="shared" ca="1" si="10"/>
        <v>6612.3</v>
      </c>
      <c r="M64">
        <f t="shared" ca="1" si="11"/>
        <v>2</v>
      </c>
      <c r="N64">
        <f t="shared" ca="1" si="12"/>
        <v>0</v>
      </c>
    </row>
    <row r="65" spans="1:14" x14ac:dyDescent="0.35">
      <c r="A65" t="s">
        <v>82</v>
      </c>
      <c r="B65" t="str">
        <f t="shared" si="0"/>
        <v>Control</v>
      </c>
      <c r="C65">
        <f t="shared" ca="1" si="1"/>
        <v>23</v>
      </c>
      <c r="D65" t="str">
        <f t="shared" ca="1" si="2"/>
        <v>Male</v>
      </c>
      <c r="E65" t="str">
        <f t="shared" ca="1" si="3"/>
        <v>Accessories</v>
      </c>
      <c r="F65">
        <f t="shared" ca="1" si="4"/>
        <v>6484</v>
      </c>
      <c r="G65">
        <f t="shared" ca="1" si="5"/>
        <v>10</v>
      </c>
      <c r="H65">
        <f t="shared" ca="1" si="6"/>
        <v>5835.6</v>
      </c>
      <c r="I65">
        <f t="shared" ca="1" si="7"/>
        <v>1</v>
      </c>
      <c r="J65">
        <f t="shared" ca="1" si="8"/>
        <v>0</v>
      </c>
      <c r="K65">
        <f t="shared" ca="1" si="9"/>
        <v>0</v>
      </c>
      <c r="L65">
        <f t="shared" ca="1" si="10"/>
        <v>0</v>
      </c>
      <c r="M65">
        <f t="shared" ca="1" si="11"/>
        <v>4</v>
      </c>
      <c r="N65">
        <f t="shared" ca="1" si="12"/>
        <v>0</v>
      </c>
    </row>
    <row r="66" spans="1:14" x14ac:dyDescent="0.35">
      <c r="A66" t="s">
        <v>83</v>
      </c>
      <c r="B66" t="str">
        <f t="shared" si="0"/>
        <v>Control</v>
      </c>
      <c r="C66">
        <f t="shared" ca="1" si="1"/>
        <v>45</v>
      </c>
      <c r="D66" t="str">
        <f t="shared" ca="1" si="2"/>
        <v>Other</v>
      </c>
      <c r="E66" t="str">
        <f t="shared" ca="1" si="3"/>
        <v>Sportswear</v>
      </c>
      <c r="F66">
        <f t="shared" ca="1" si="4"/>
        <v>6083</v>
      </c>
      <c r="G66">
        <f t="shared" ca="1" si="5"/>
        <v>10</v>
      </c>
      <c r="H66">
        <f t="shared" ca="1" si="6"/>
        <v>5474.7</v>
      </c>
      <c r="I66">
        <f t="shared" ca="1" si="7"/>
        <v>1</v>
      </c>
      <c r="J66">
        <f t="shared" ca="1" si="8"/>
        <v>0</v>
      </c>
      <c r="K66">
        <f t="shared" ca="1" si="9"/>
        <v>0</v>
      </c>
      <c r="L66">
        <f t="shared" ca="1" si="10"/>
        <v>0</v>
      </c>
      <c r="M66">
        <f t="shared" ca="1" si="11"/>
        <v>2</v>
      </c>
      <c r="N66">
        <f t="shared" ca="1" si="12"/>
        <v>0</v>
      </c>
    </row>
    <row r="67" spans="1:14" x14ac:dyDescent="0.35">
      <c r="A67" t="s">
        <v>84</v>
      </c>
      <c r="B67" t="str">
        <f t="shared" si="0"/>
        <v>Control</v>
      </c>
      <c r="C67">
        <f t="shared" ca="1" si="1"/>
        <v>37</v>
      </c>
      <c r="D67" t="str">
        <f t="shared" ca="1" si="2"/>
        <v>Male</v>
      </c>
      <c r="E67" t="str">
        <f t="shared" ca="1" si="3"/>
        <v>Accessories</v>
      </c>
      <c r="F67">
        <f t="shared" ca="1" si="4"/>
        <v>553</v>
      </c>
      <c r="G67">
        <f t="shared" ca="1" si="5"/>
        <v>10</v>
      </c>
      <c r="H67">
        <f t="shared" ca="1" si="6"/>
        <v>497.7</v>
      </c>
      <c r="I67">
        <f t="shared" ca="1" si="7"/>
        <v>1</v>
      </c>
      <c r="J67">
        <f t="shared" ca="1" si="8"/>
        <v>0</v>
      </c>
      <c r="K67">
        <f t="shared" ca="1" si="9"/>
        <v>0</v>
      </c>
      <c r="L67">
        <f t="shared" ca="1" si="10"/>
        <v>0</v>
      </c>
      <c r="M67">
        <f t="shared" ca="1" si="11"/>
        <v>4</v>
      </c>
      <c r="N67">
        <f t="shared" ca="1" si="12"/>
        <v>0</v>
      </c>
    </row>
    <row r="68" spans="1:14" x14ac:dyDescent="0.35">
      <c r="A68" t="s">
        <v>85</v>
      </c>
      <c r="B68" t="str">
        <f t="shared" si="0"/>
        <v>Control</v>
      </c>
      <c r="C68">
        <f t="shared" ca="1" si="1"/>
        <v>38</v>
      </c>
      <c r="D68" t="str">
        <f t="shared" ca="1" si="2"/>
        <v>Male</v>
      </c>
      <c r="E68" t="str">
        <f t="shared" ca="1" si="3"/>
        <v>Tops</v>
      </c>
      <c r="F68">
        <f t="shared" ca="1" si="4"/>
        <v>6487</v>
      </c>
      <c r="G68">
        <f t="shared" ca="1" si="5"/>
        <v>10</v>
      </c>
      <c r="H68">
        <f t="shared" ca="1" si="6"/>
        <v>5838.3</v>
      </c>
      <c r="I68">
        <f t="shared" ca="1" si="7"/>
        <v>1</v>
      </c>
      <c r="J68">
        <f t="shared" ca="1" si="8"/>
        <v>0</v>
      </c>
      <c r="K68">
        <f t="shared" ca="1" si="9"/>
        <v>0</v>
      </c>
      <c r="L68">
        <f t="shared" ca="1" si="10"/>
        <v>0</v>
      </c>
      <c r="M68">
        <f t="shared" ca="1" si="11"/>
        <v>6</v>
      </c>
      <c r="N68">
        <f t="shared" ca="1" si="12"/>
        <v>0</v>
      </c>
    </row>
    <row r="69" spans="1:14" x14ac:dyDescent="0.35">
      <c r="A69" t="s">
        <v>86</v>
      </c>
      <c r="B69" t="str">
        <f t="shared" ref="B69:B132" si="13">IF(ROW()&lt;=1001,"Control","Test")</f>
        <v>Control</v>
      </c>
      <c r="C69">
        <f t="shared" ref="C69:C132" ca="1" si="14">RANDBETWEEN(18,45)</f>
        <v>45</v>
      </c>
      <c r="D69" t="str">
        <f t="shared" ref="D69:D132" ca="1" si="15">CHOOSE(RANDBETWEEN(1,20),"Female","Female","Female","Female","Female","Female","Female","Female","Female","Female","Male","Male","Male","Male","Male","Male","Male","Male","Other","Other")</f>
        <v>Female</v>
      </c>
      <c r="E69" t="str">
        <f t="shared" ref="E69:E132" ca="1" si="16">CHOOSE(RANDBETWEEN(1,8),"T-shirts","Dresses","Jeans","Shoes","Ethnic Wear","Tops","Sportswear","Accessories")</f>
        <v>Shoes</v>
      </c>
      <c r="F69">
        <f t="shared" ref="F69:F132" ca="1" si="17">RANDBETWEEN(300,8000)</f>
        <v>6722</v>
      </c>
      <c r="G69">
        <f t="shared" ref="G69:G132" ca="1" si="18">IF(B69="Control",10,CHOOSE(RANDBETWEEN(1,3),15,20,25))</f>
        <v>10</v>
      </c>
      <c r="H69">
        <f t="shared" ref="H69:H132" ca="1" si="19">F69*(1-G69/100)</f>
        <v>6049.8</v>
      </c>
      <c r="I69">
        <f t="shared" ref="I69:I132" ca="1" si="20">IF(RAND()&lt;0.85,1,0)</f>
        <v>1</v>
      </c>
      <c r="J69">
        <f t="shared" ref="J69:J132" ca="1" si="21">IF(I69=1,IF(RAND()&lt;0.55,1,0),0)</f>
        <v>0</v>
      </c>
      <c r="K69">
        <f t="shared" ref="K69:K132" ca="1" si="22">IF(J69=1,IF(B69="Test",IF(RAND()&lt;0.4,1,0),IF(RAND()&lt;0.34,1,0)),0)</f>
        <v>0</v>
      </c>
      <c r="L69">
        <f t="shared" ref="L69:L132" ca="1" si="23">IF(K69=1,H69,0)</f>
        <v>0</v>
      </c>
      <c r="M69">
        <f t="shared" ref="M69:M132" ca="1" si="24">RANDBETWEEN(1,7)</f>
        <v>5</v>
      </c>
      <c r="N69">
        <f t="shared" ref="N69:N132" ca="1" si="25">IF(K69=1,IF(RAND()&lt;0.15,1,0),0)</f>
        <v>0</v>
      </c>
    </row>
    <row r="70" spans="1:14" x14ac:dyDescent="0.35">
      <c r="A70" t="s">
        <v>87</v>
      </c>
      <c r="B70" t="str">
        <f t="shared" si="13"/>
        <v>Control</v>
      </c>
      <c r="C70">
        <f t="shared" ca="1" si="14"/>
        <v>27</v>
      </c>
      <c r="D70" t="str">
        <f t="shared" ca="1" si="15"/>
        <v>Male</v>
      </c>
      <c r="E70" t="str">
        <f t="shared" ca="1" si="16"/>
        <v>Tops</v>
      </c>
      <c r="F70">
        <f t="shared" ca="1" si="17"/>
        <v>4729</v>
      </c>
      <c r="G70">
        <f t="shared" ca="1" si="18"/>
        <v>10</v>
      </c>
      <c r="H70">
        <f t="shared" ca="1" si="19"/>
        <v>4256.1000000000004</v>
      </c>
      <c r="I70">
        <f t="shared" ca="1" si="20"/>
        <v>1</v>
      </c>
      <c r="J70">
        <f t="shared" ca="1" si="21"/>
        <v>1</v>
      </c>
      <c r="K70">
        <f t="shared" ca="1" si="22"/>
        <v>0</v>
      </c>
      <c r="L70">
        <f t="shared" ca="1" si="23"/>
        <v>0</v>
      </c>
      <c r="M70">
        <f t="shared" ca="1" si="24"/>
        <v>2</v>
      </c>
      <c r="N70">
        <f t="shared" ca="1" si="25"/>
        <v>0</v>
      </c>
    </row>
    <row r="71" spans="1:14" x14ac:dyDescent="0.35">
      <c r="A71" t="s">
        <v>88</v>
      </c>
      <c r="B71" t="str">
        <f t="shared" si="13"/>
        <v>Control</v>
      </c>
      <c r="C71">
        <f t="shared" ca="1" si="14"/>
        <v>33</v>
      </c>
      <c r="D71" t="str">
        <f t="shared" ca="1" si="15"/>
        <v>Male</v>
      </c>
      <c r="E71" t="str">
        <f t="shared" ca="1" si="16"/>
        <v>Shoes</v>
      </c>
      <c r="F71">
        <f t="shared" ca="1" si="17"/>
        <v>4391</v>
      </c>
      <c r="G71">
        <f t="shared" ca="1" si="18"/>
        <v>10</v>
      </c>
      <c r="H71">
        <f t="shared" ca="1" si="19"/>
        <v>3951.9</v>
      </c>
      <c r="I71">
        <f t="shared" ca="1" si="20"/>
        <v>1</v>
      </c>
      <c r="J71">
        <f t="shared" ca="1" si="21"/>
        <v>1</v>
      </c>
      <c r="K71">
        <f t="shared" ca="1" si="22"/>
        <v>1</v>
      </c>
      <c r="L71">
        <f t="shared" ca="1" si="23"/>
        <v>3951.9</v>
      </c>
      <c r="M71">
        <f t="shared" ca="1" si="24"/>
        <v>1</v>
      </c>
      <c r="N71">
        <f t="shared" ca="1" si="25"/>
        <v>1</v>
      </c>
    </row>
    <row r="72" spans="1:14" x14ac:dyDescent="0.35">
      <c r="A72" t="s">
        <v>89</v>
      </c>
      <c r="B72" t="str">
        <f t="shared" si="13"/>
        <v>Control</v>
      </c>
      <c r="C72">
        <f t="shared" ca="1" si="14"/>
        <v>19</v>
      </c>
      <c r="D72" t="str">
        <f t="shared" ca="1" si="15"/>
        <v>Male</v>
      </c>
      <c r="E72" t="str">
        <f t="shared" ca="1" si="16"/>
        <v>Accessories</v>
      </c>
      <c r="F72">
        <f t="shared" ca="1" si="17"/>
        <v>7699</v>
      </c>
      <c r="G72">
        <f t="shared" ca="1" si="18"/>
        <v>10</v>
      </c>
      <c r="H72">
        <f t="shared" ca="1" si="19"/>
        <v>6929.1</v>
      </c>
      <c r="I72">
        <f t="shared" ca="1" si="20"/>
        <v>1</v>
      </c>
      <c r="J72">
        <f t="shared" ca="1" si="21"/>
        <v>0</v>
      </c>
      <c r="K72">
        <f t="shared" ca="1" si="22"/>
        <v>0</v>
      </c>
      <c r="L72">
        <f t="shared" ca="1" si="23"/>
        <v>0</v>
      </c>
      <c r="M72">
        <f t="shared" ca="1" si="24"/>
        <v>1</v>
      </c>
      <c r="N72">
        <f t="shared" ca="1" si="25"/>
        <v>0</v>
      </c>
    </row>
    <row r="73" spans="1:14" x14ac:dyDescent="0.35">
      <c r="A73" t="s">
        <v>90</v>
      </c>
      <c r="B73" t="str">
        <f t="shared" si="13"/>
        <v>Control</v>
      </c>
      <c r="C73">
        <f t="shared" ca="1" si="14"/>
        <v>40</v>
      </c>
      <c r="D73" t="str">
        <f t="shared" ca="1" si="15"/>
        <v>Female</v>
      </c>
      <c r="E73" t="str">
        <f t="shared" ca="1" si="16"/>
        <v>Accessories</v>
      </c>
      <c r="F73">
        <f t="shared" ca="1" si="17"/>
        <v>1142</v>
      </c>
      <c r="G73">
        <f t="shared" ca="1" si="18"/>
        <v>10</v>
      </c>
      <c r="H73">
        <f t="shared" ca="1" si="19"/>
        <v>1027.8</v>
      </c>
      <c r="I73">
        <f t="shared" ca="1" si="20"/>
        <v>0</v>
      </c>
      <c r="J73">
        <f t="shared" ca="1" si="21"/>
        <v>0</v>
      </c>
      <c r="K73">
        <f t="shared" ca="1" si="22"/>
        <v>0</v>
      </c>
      <c r="L73">
        <f t="shared" ca="1" si="23"/>
        <v>0</v>
      </c>
      <c r="M73">
        <f t="shared" ca="1" si="24"/>
        <v>2</v>
      </c>
      <c r="N73">
        <f t="shared" ca="1" si="25"/>
        <v>0</v>
      </c>
    </row>
    <row r="74" spans="1:14" x14ac:dyDescent="0.35">
      <c r="A74" t="s">
        <v>91</v>
      </c>
      <c r="B74" t="str">
        <f t="shared" si="13"/>
        <v>Control</v>
      </c>
      <c r="C74">
        <f t="shared" ca="1" si="14"/>
        <v>23</v>
      </c>
      <c r="D74" t="str">
        <f t="shared" ca="1" si="15"/>
        <v>Other</v>
      </c>
      <c r="E74" t="str">
        <f t="shared" ca="1" si="16"/>
        <v>Jeans</v>
      </c>
      <c r="F74">
        <f t="shared" ca="1" si="17"/>
        <v>5506</v>
      </c>
      <c r="G74">
        <f t="shared" ca="1" si="18"/>
        <v>10</v>
      </c>
      <c r="H74">
        <f t="shared" ca="1" si="19"/>
        <v>4955.4000000000005</v>
      </c>
      <c r="I74">
        <f t="shared" ca="1" si="20"/>
        <v>1</v>
      </c>
      <c r="J74">
        <f t="shared" ca="1" si="21"/>
        <v>1</v>
      </c>
      <c r="K74">
        <f t="shared" ca="1" si="22"/>
        <v>0</v>
      </c>
      <c r="L74">
        <f t="shared" ca="1" si="23"/>
        <v>0</v>
      </c>
      <c r="M74">
        <f t="shared" ca="1" si="24"/>
        <v>4</v>
      </c>
      <c r="N74">
        <f t="shared" ca="1" si="25"/>
        <v>0</v>
      </c>
    </row>
    <row r="75" spans="1:14" x14ac:dyDescent="0.35">
      <c r="A75" t="s">
        <v>92</v>
      </c>
      <c r="B75" t="str">
        <f t="shared" si="13"/>
        <v>Control</v>
      </c>
      <c r="C75">
        <f t="shared" ca="1" si="14"/>
        <v>35</v>
      </c>
      <c r="D75" t="str">
        <f t="shared" ca="1" si="15"/>
        <v>Female</v>
      </c>
      <c r="E75" t="str">
        <f t="shared" ca="1" si="16"/>
        <v>Accessories</v>
      </c>
      <c r="F75">
        <f t="shared" ca="1" si="17"/>
        <v>4933</v>
      </c>
      <c r="G75">
        <f t="shared" ca="1" si="18"/>
        <v>10</v>
      </c>
      <c r="H75">
        <f t="shared" ca="1" si="19"/>
        <v>4439.7</v>
      </c>
      <c r="I75">
        <f t="shared" ca="1" si="20"/>
        <v>1</v>
      </c>
      <c r="J75">
        <f t="shared" ca="1" si="21"/>
        <v>1</v>
      </c>
      <c r="K75">
        <f t="shared" ca="1" si="22"/>
        <v>0</v>
      </c>
      <c r="L75">
        <f t="shared" ca="1" si="23"/>
        <v>0</v>
      </c>
      <c r="M75">
        <f t="shared" ca="1" si="24"/>
        <v>3</v>
      </c>
      <c r="N75">
        <f t="shared" ca="1" si="25"/>
        <v>0</v>
      </c>
    </row>
    <row r="76" spans="1:14" x14ac:dyDescent="0.35">
      <c r="A76" t="s">
        <v>93</v>
      </c>
      <c r="B76" t="str">
        <f t="shared" si="13"/>
        <v>Control</v>
      </c>
      <c r="C76">
        <f t="shared" ca="1" si="14"/>
        <v>27</v>
      </c>
      <c r="D76" t="str">
        <f t="shared" ca="1" si="15"/>
        <v>Female</v>
      </c>
      <c r="E76" t="str">
        <f t="shared" ca="1" si="16"/>
        <v>Sportswear</v>
      </c>
      <c r="F76">
        <f t="shared" ca="1" si="17"/>
        <v>6604</v>
      </c>
      <c r="G76">
        <f t="shared" ca="1" si="18"/>
        <v>10</v>
      </c>
      <c r="H76">
        <f t="shared" ca="1" si="19"/>
        <v>5943.6</v>
      </c>
      <c r="I76">
        <f t="shared" ca="1" si="20"/>
        <v>1</v>
      </c>
      <c r="J76">
        <f t="shared" ca="1" si="21"/>
        <v>1</v>
      </c>
      <c r="K76">
        <f t="shared" ca="1" si="22"/>
        <v>0</v>
      </c>
      <c r="L76">
        <f t="shared" ca="1" si="23"/>
        <v>0</v>
      </c>
      <c r="M76">
        <f t="shared" ca="1" si="24"/>
        <v>7</v>
      </c>
      <c r="N76">
        <f t="shared" ca="1" si="25"/>
        <v>0</v>
      </c>
    </row>
    <row r="77" spans="1:14" x14ac:dyDescent="0.35">
      <c r="A77" t="s">
        <v>94</v>
      </c>
      <c r="B77" t="str">
        <f t="shared" si="13"/>
        <v>Control</v>
      </c>
      <c r="C77">
        <f t="shared" ca="1" si="14"/>
        <v>24</v>
      </c>
      <c r="D77" t="str">
        <f t="shared" ca="1" si="15"/>
        <v>Female</v>
      </c>
      <c r="E77" t="str">
        <f t="shared" ca="1" si="16"/>
        <v>Accessories</v>
      </c>
      <c r="F77">
        <f t="shared" ca="1" si="17"/>
        <v>2651</v>
      </c>
      <c r="G77">
        <f t="shared" ca="1" si="18"/>
        <v>10</v>
      </c>
      <c r="H77">
        <f t="shared" ca="1" si="19"/>
        <v>2385.9</v>
      </c>
      <c r="I77">
        <f t="shared" ca="1" si="20"/>
        <v>1</v>
      </c>
      <c r="J77">
        <f t="shared" ca="1" si="21"/>
        <v>1</v>
      </c>
      <c r="K77">
        <f t="shared" ca="1" si="22"/>
        <v>1</v>
      </c>
      <c r="L77">
        <f t="shared" ca="1" si="23"/>
        <v>2385.9</v>
      </c>
      <c r="M77">
        <f t="shared" ca="1" si="24"/>
        <v>7</v>
      </c>
      <c r="N77">
        <f t="shared" ca="1" si="25"/>
        <v>0</v>
      </c>
    </row>
    <row r="78" spans="1:14" x14ac:dyDescent="0.35">
      <c r="A78" t="s">
        <v>95</v>
      </c>
      <c r="B78" t="str">
        <f t="shared" si="13"/>
        <v>Control</v>
      </c>
      <c r="C78">
        <f t="shared" ca="1" si="14"/>
        <v>24</v>
      </c>
      <c r="D78" t="str">
        <f t="shared" ca="1" si="15"/>
        <v>Male</v>
      </c>
      <c r="E78" t="str">
        <f t="shared" ca="1" si="16"/>
        <v>T-shirts</v>
      </c>
      <c r="F78">
        <f t="shared" ca="1" si="17"/>
        <v>3471</v>
      </c>
      <c r="G78">
        <f t="shared" ca="1" si="18"/>
        <v>10</v>
      </c>
      <c r="H78">
        <f t="shared" ca="1" si="19"/>
        <v>3123.9</v>
      </c>
      <c r="I78">
        <f t="shared" ca="1" si="20"/>
        <v>1</v>
      </c>
      <c r="J78">
        <f t="shared" ca="1" si="21"/>
        <v>0</v>
      </c>
      <c r="K78">
        <f t="shared" ca="1" si="22"/>
        <v>0</v>
      </c>
      <c r="L78">
        <f t="shared" ca="1" si="23"/>
        <v>0</v>
      </c>
      <c r="M78">
        <f t="shared" ca="1" si="24"/>
        <v>6</v>
      </c>
      <c r="N78">
        <f t="shared" ca="1" si="25"/>
        <v>0</v>
      </c>
    </row>
    <row r="79" spans="1:14" x14ac:dyDescent="0.35">
      <c r="A79" t="s">
        <v>96</v>
      </c>
      <c r="B79" t="str">
        <f t="shared" si="13"/>
        <v>Control</v>
      </c>
      <c r="C79">
        <f t="shared" ca="1" si="14"/>
        <v>19</v>
      </c>
      <c r="D79" t="str">
        <f t="shared" ca="1" si="15"/>
        <v>Male</v>
      </c>
      <c r="E79" t="str">
        <f t="shared" ca="1" si="16"/>
        <v>Shoes</v>
      </c>
      <c r="F79">
        <f t="shared" ca="1" si="17"/>
        <v>3195</v>
      </c>
      <c r="G79">
        <f t="shared" ca="1" si="18"/>
        <v>10</v>
      </c>
      <c r="H79">
        <f t="shared" ca="1" si="19"/>
        <v>2875.5</v>
      </c>
      <c r="I79">
        <f t="shared" ca="1" si="20"/>
        <v>1</v>
      </c>
      <c r="J79">
        <f t="shared" ca="1" si="21"/>
        <v>0</v>
      </c>
      <c r="K79">
        <f t="shared" ca="1" si="22"/>
        <v>0</v>
      </c>
      <c r="L79">
        <f t="shared" ca="1" si="23"/>
        <v>0</v>
      </c>
      <c r="M79">
        <f t="shared" ca="1" si="24"/>
        <v>7</v>
      </c>
      <c r="N79">
        <f t="shared" ca="1" si="25"/>
        <v>0</v>
      </c>
    </row>
    <row r="80" spans="1:14" x14ac:dyDescent="0.35">
      <c r="A80" t="s">
        <v>97</v>
      </c>
      <c r="B80" t="str">
        <f t="shared" si="13"/>
        <v>Control</v>
      </c>
      <c r="C80">
        <f t="shared" ca="1" si="14"/>
        <v>41</v>
      </c>
      <c r="D80" t="str">
        <f t="shared" ca="1" si="15"/>
        <v>Other</v>
      </c>
      <c r="E80" t="str">
        <f t="shared" ca="1" si="16"/>
        <v>Jeans</v>
      </c>
      <c r="F80">
        <f t="shared" ca="1" si="17"/>
        <v>7162</v>
      </c>
      <c r="G80">
        <f t="shared" ca="1" si="18"/>
        <v>10</v>
      </c>
      <c r="H80">
        <f t="shared" ca="1" si="19"/>
        <v>6445.8</v>
      </c>
      <c r="I80">
        <f t="shared" ca="1" si="20"/>
        <v>1</v>
      </c>
      <c r="J80">
        <f t="shared" ca="1" si="21"/>
        <v>1</v>
      </c>
      <c r="K80">
        <f t="shared" ca="1" si="22"/>
        <v>0</v>
      </c>
      <c r="L80">
        <f t="shared" ca="1" si="23"/>
        <v>0</v>
      </c>
      <c r="M80">
        <f t="shared" ca="1" si="24"/>
        <v>7</v>
      </c>
      <c r="N80">
        <f t="shared" ca="1" si="25"/>
        <v>0</v>
      </c>
    </row>
    <row r="81" spans="1:14" x14ac:dyDescent="0.35">
      <c r="A81" t="s">
        <v>98</v>
      </c>
      <c r="B81" t="str">
        <f t="shared" si="13"/>
        <v>Control</v>
      </c>
      <c r="C81">
        <f t="shared" ca="1" si="14"/>
        <v>18</v>
      </c>
      <c r="D81" t="str">
        <f t="shared" ca="1" si="15"/>
        <v>Female</v>
      </c>
      <c r="E81" t="str">
        <f t="shared" ca="1" si="16"/>
        <v>Accessories</v>
      </c>
      <c r="F81">
        <f t="shared" ca="1" si="17"/>
        <v>3893</v>
      </c>
      <c r="G81">
        <f t="shared" ca="1" si="18"/>
        <v>10</v>
      </c>
      <c r="H81">
        <f t="shared" ca="1" si="19"/>
        <v>3503.7000000000003</v>
      </c>
      <c r="I81">
        <f t="shared" ca="1" si="20"/>
        <v>1</v>
      </c>
      <c r="J81">
        <f t="shared" ca="1" si="21"/>
        <v>1</v>
      </c>
      <c r="K81">
        <f t="shared" ca="1" si="22"/>
        <v>1</v>
      </c>
      <c r="L81">
        <f t="shared" ca="1" si="23"/>
        <v>3503.7000000000003</v>
      </c>
      <c r="M81">
        <f t="shared" ca="1" si="24"/>
        <v>7</v>
      </c>
      <c r="N81">
        <f t="shared" ca="1" si="25"/>
        <v>0</v>
      </c>
    </row>
    <row r="82" spans="1:14" x14ac:dyDescent="0.35">
      <c r="A82" t="s">
        <v>99</v>
      </c>
      <c r="B82" t="str">
        <f t="shared" si="13"/>
        <v>Control</v>
      </c>
      <c r="C82">
        <f t="shared" ca="1" si="14"/>
        <v>45</v>
      </c>
      <c r="D82" t="str">
        <f t="shared" ca="1" si="15"/>
        <v>Female</v>
      </c>
      <c r="E82" t="str">
        <f t="shared" ca="1" si="16"/>
        <v>Jeans</v>
      </c>
      <c r="F82">
        <f t="shared" ca="1" si="17"/>
        <v>3115</v>
      </c>
      <c r="G82">
        <f t="shared" ca="1" si="18"/>
        <v>10</v>
      </c>
      <c r="H82">
        <f t="shared" ca="1" si="19"/>
        <v>2803.5</v>
      </c>
      <c r="I82">
        <f t="shared" ca="1" si="20"/>
        <v>0</v>
      </c>
      <c r="J82">
        <f t="shared" ca="1" si="21"/>
        <v>0</v>
      </c>
      <c r="K82">
        <f t="shared" ca="1" si="22"/>
        <v>0</v>
      </c>
      <c r="L82">
        <f t="shared" ca="1" si="23"/>
        <v>0</v>
      </c>
      <c r="M82">
        <f t="shared" ca="1" si="24"/>
        <v>6</v>
      </c>
      <c r="N82">
        <f t="shared" ca="1" si="25"/>
        <v>0</v>
      </c>
    </row>
    <row r="83" spans="1:14" x14ac:dyDescent="0.35">
      <c r="A83" t="s">
        <v>100</v>
      </c>
      <c r="B83" t="str">
        <f t="shared" si="13"/>
        <v>Control</v>
      </c>
      <c r="C83">
        <f t="shared" ca="1" si="14"/>
        <v>45</v>
      </c>
      <c r="D83" t="str">
        <f t="shared" ca="1" si="15"/>
        <v>Female</v>
      </c>
      <c r="E83" t="str">
        <f t="shared" ca="1" si="16"/>
        <v>Accessories</v>
      </c>
      <c r="F83">
        <f t="shared" ca="1" si="17"/>
        <v>1388</v>
      </c>
      <c r="G83">
        <f t="shared" ca="1" si="18"/>
        <v>10</v>
      </c>
      <c r="H83">
        <f t="shared" ca="1" si="19"/>
        <v>1249.2</v>
      </c>
      <c r="I83">
        <f t="shared" ca="1" si="20"/>
        <v>1</v>
      </c>
      <c r="J83">
        <f t="shared" ca="1" si="21"/>
        <v>0</v>
      </c>
      <c r="K83">
        <f t="shared" ca="1" si="22"/>
        <v>0</v>
      </c>
      <c r="L83">
        <f t="shared" ca="1" si="23"/>
        <v>0</v>
      </c>
      <c r="M83">
        <f t="shared" ca="1" si="24"/>
        <v>2</v>
      </c>
      <c r="N83">
        <f t="shared" ca="1" si="25"/>
        <v>0</v>
      </c>
    </row>
    <row r="84" spans="1:14" x14ac:dyDescent="0.35">
      <c r="A84" t="s">
        <v>101</v>
      </c>
      <c r="B84" t="str">
        <f t="shared" si="13"/>
        <v>Control</v>
      </c>
      <c r="C84">
        <f t="shared" ca="1" si="14"/>
        <v>38</v>
      </c>
      <c r="D84" t="str">
        <f t="shared" ca="1" si="15"/>
        <v>Female</v>
      </c>
      <c r="E84" t="str">
        <f t="shared" ca="1" si="16"/>
        <v>Jeans</v>
      </c>
      <c r="F84">
        <f t="shared" ca="1" si="17"/>
        <v>719</v>
      </c>
      <c r="G84">
        <f t="shared" ca="1" si="18"/>
        <v>10</v>
      </c>
      <c r="H84">
        <f t="shared" ca="1" si="19"/>
        <v>647.1</v>
      </c>
      <c r="I84">
        <f t="shared" ca="1" si="20"/>
        <v>1</v>
      </c>
      <c r="J84">
        <f t="shared" ca="1" si="21"/>
        <v>1</v>
      </c>
      <c r="K84">
        <f t="shared" ca="1" si="22"/>
        <v>0</v>
      </c>
      <c r="L84">
        <f t="shared" ca="1" si="23"/>
        <v>0</v>
      </c>
      <c r="M84">
        <f t="shared" ca="1" si="24"/>
        <v>3</v>
      </c>
      <c r="N84">
        <f t="shared" ca="1" si="25"/>
        <v>0</v>
      </c>
    </row>
    <row r="85" spans="1:14" x14ac:dyDescent="0.35">
      <c r="A85" t="s">
        <v>102</v>
      </c>
      <c r="B85" t="str">
        <f t="shared" si="13"/>
        <v>Control</v>
      </c>
      <c r="C85">
        <f t="shared" ca="1" si="14"/>
        <v>44</v>
      </c>
      <c r="D85" t="str">
        <f t="shared" ca="1" si="15"/>
        <v>Female</v>
      </c>
      <c r="E85" t="str">
        <f t="shared" ca="1" si="16"/>
        <v>Shoes</v>
      </c>
      <c r="F85">
        <f t="shared" ca="1" si="17"/>
        <v>6772</v>
      </c>
      <c r="G85">
        <f t="shared" ca="1" si="18"/>
        <v>10</v>
      </c>
      <c r="H85">
        <f t="shared" ca="1" si="19"/>
        <v>6094.8</v>
      </c>
      <c r="I85">
        <f t="shared" ca="1" si="20"/>
        <v>1</v>
      </c>
      <c r="J85">
        <f t="shared" ca="1" si="21"/>
        <v>1</v>
      </c>
      <c r="K85">
        <f t="shared" ca="1" si="22"/>
        <v>0</v>
      </c>
      <c r="L85">
        <f t="shared" ca="1" si="23"/>
        <v>0</v>
      </c>
      <c r="M85">
        <f t="shared" ca="1" si="24"/>
        <v>3</v>
      </c>
      <c r="N85">
        <f t="shared" ca="1" si="25"/>
        <v>0</v>
      </c>
    </row>
    <row r="86" spans="1:14" x14ac:dyDescent="0.35">
      <c r="A86" t="s">
        <v>103</v>
      </c>
      <c r="B86" t="str">
        <f t="shared" si="13"/>
        <v>Control</v>
      </c>
      <c r="C86">
        <f t="shared" ca="1" si="14"/>
        <v>35</v>
      </c>
      <c r="D86" t="str">
        <f t="shared" ca="1" si="15"/>
        <v>Male</v>
      </c>
      <c r="E86" t="str">
        <f t="shared" ca="1" si="16"/>
        <v>T-shirts</v>
      </c>
      <c r="F86">
        <f t="shared" ca="1" si="17"/>
        <v>3883</v>
      </c>
      <c r="G86">
        <f t="shared" ca="1" si="18"/>
        <v>10</v>
      </c>
      <c r="H86">
        <f t="shared" ca="1" si="19"/>
        <v>3494.7000000000003</v>
      </c>
      <c r="I86">
        <f t="shared" ca="1" si="20"/>
        <v>0</v>
      </c>
      <c r="J86">
        <f t="shared" ca="1" si="21"/>
        <v>0</v>
      </c>
      <c r="K86">
        <f t="shared" ca="1" si="22"/>
        <v>0</v>
      </c>
      <c r="L86">
        <f t="shared" ca="1" si="23"/>
        <v>0</v>
      </c>
      <c r="M86">
        <f t="shared" ca="1" si="24"/>
        <v>7</v>
      </c>
      <c r="N86">
        <f t="shared" ca="1" si="25"/>
        <v>0</v>
      </c>
    </row>
    <row r="87" spans="1:14" x14ac:dyDescent="0.35">
      <c r="A87" t="s">
        <v>104</v>
      </c>
      <c r="B87" t="str">
        <f t="shared" si="13"/>
        <v>Control</v>
      </c>
      <c r="C87">
        <f t="shared" ca="1" si="14"/>
        <v>23</v>
      </c>
      <c r="D87" t="str">
        <f t="shared" ca="1" si="15"/>
        <v>Male</v>
      </c>
      <c r="E87" t="str">
        <f t="shared" ca="1" si="16"/>
        <v>Sportswear</v>
      </c>
      <c r="F87">
        <f t="shared" ca="1" si="17"/>
        <v>2433</v>
      </c>
      <c r="G87">
        <f t="shared" ca="1" si="18"/>
        <v>10</v>
      </c>
      <c r="H87">
        <f t="shared" ca="1" si="19"/>
        <v>2189.7000000000003</v>
      </c>
      <c r="I87">
        <f t="shared" ca="1" si="20"/>
        <v>1</v>
      </c>
      <c r="J87">
        <f t="shared" ca="1" si="21"/>
        <v>0</v>
      </c>
      <c r="K87">
        <f t="shared" ca="1" si="22"/>
        <v>0</v>
      </c>
      <c r="L87">
        <f t="shared" ca="1" si="23"/>
        <v>0</v>
      </c>
      <c r="M87">
        <f t="shared" ca="1" si="24"/>
        <v>6</v>
      </c>
      <c r="N87">
        <f t="shared" ca="1" si="25"/>
        <v>0</v>
      </c>
    </row>
    <row r="88" spans="1:14" x14ac:dyDescent="0.35">
      <c r="A88" t="s">
        <v>105</v>
      </c>
      <c r="B88" t="str">
        <f t="shared" si="13"/>
        <v>Control</v>
      </c>
      <c r="C88">
        <f t="shared" ca="1" si="14"/>
        <v>22</v>
      </c>
      <c r="D88" t="str">
        <f t="shared" ca="1" si="15"/>
        <v>Female</v>
      </c>
      <c r="E88" t="str">
        <f t="shared" ca="1" si="16"/>
        <v>Sportswear</v>
      </c>
      <c r="F88">
        <f t="shared" ca="1" si="17"/>
        <v>5372</v>
      </c>
      <c r="G88">
        <f t="shared" ca="1" si="18"/>
        <v>10</v>
      </c>
      <c r="H88">
        <f t="shared" ca="1" si="19"/>
        <v>4834.8</v>
      </c>
      <c r="I88">
        <f t="shared" ca="1" si="20"/>
        <v>1</v>
      </c>
      <c r="J88">
        <f t="shared" ca="1" si="21"/>
        <v>1</v>
      </c>
      <c r="K88">
        <f t="shared" ca="1" si="22"/>
        <v>0</v>
      </c>
      <c r="L88">
        <f t="shared" ca="1" si="23"/>
        <v>0</v>
      </c>
      <c r="M88">
        <f t="shared" ca="1" si="24"/>
        <v>3</v>
      </c>
      <c r="N88">
        <f t="shared" ca="1" si="25"/>
        <v>0</v>
      </c>
    </row>
    <row r="89" spans="1:14" x14ac:dyDescent="0.35">
      <c r="A89" t="s">
        <v>106</v>
      </c>
      <c r="B89" t="str">
        <f t="shared" si="13"/>
        <v>Control</v>
      </c>
      <c r="C89">
        <f t="shared" ca="1" si="14"/>
        <v>34</v>
      </c>
      <c r="D89" t="str">
        <f t="shared" ca="1" si="15"/>
        <v>Female</v>
      </c>
      <c r="E89" t="str">
        <f t="shared" ca="1" si="16"/>
        <v>Tops</v>
      </c>
      <c r="F89">
        <f t="shared" ca="1" si="17"/>
        <v>502</v>
      </c>
      <c r="G89">
        <f t="shared" ca="1" si="18"/>
        <v>10</v>
      </c>
      <c r="H89">
        <f t="shared" ca="1" si="19"/>
        <v>451.8</v>
      </c>
      <c r="I89">
        <f t="shared" ca="1" si="20"/>
        <v>1</v>
      </c>
      <c r="J89">
        <f t="shared" ca="1" si="21"/>
        <v>1</v>
      </c>
      <c r="K89">
        <f t="shared" ca="1" si="22"/>
        <v>0</v>
      </c>
      <c r="L89">
        <f t="shared" ca="1" si="23"/>
        <v>0</v>
      </c>
      <c r="M89">
        <f t="shared" ca="1" si="24"/>
        <v>1</v>
      </c>
      <c r="N89">
        <f t="shared" ca="1" si="25"/>
        <v>0</v>
      </c>
    </row>
    <row r="90" spans="1:14" x14ac:dyDescent="0.35">
      <c r="A90" t="s">
        <v>107</v>
      </c>
      <c r="B90" t="str">
        <f t="shared" si="13"/>
        <v>Control</v>
      </c>
      <c r="C90">
        <f t="shared" ca="1" si="14"/>
        <v>31</v>
      </c>
      <c r="D90" t="str">
        <f t="shared" ca="1" si="15"/>
        <v>Female</v>
      </c>
      <c r="E90" t="str">
        <f t="shared" ca="1" si="16"/>
        <v>Dresses</v>
      </c>
      <c r="F90">
        <f t="shared" ca="1" si="17"/>
        <v>1311</v>
      </c>
      <c r="G90">
        <f t="shared" ca="1" si="18"/>
        <v>10</v>
      </c>
      <c r="H90">
        <f t="shared" ca="1" si="19"/>
        <v>1179.9000000000001</v>
      </c>
      <c r="I90">
        <f t="shared" ca="1" si="20"/>
        <v>0</v>
      </c>
      <c r="J90">
        <f t="shared" ca="1" si="21"/>
        <v>0</v>
      </c>
      <c r="K90">
        <f t="shared" ca="1" si="22"/>
        <v>0</v>
      </c>
      <c r="L90">
        <f t="shared" ca="1" si="23"/>
        <v>0</v>
      </c>
      <c r="M90">
        <f t="shared" ca="1" si="24"/>
        <v>4</v>
      </c>
      <c r="N90">
        <f t="shared" ca="1" si="25"/>
        <v>0</v>
      </c>
    </row>
    <row r="91" spans="1:14" x14ac:dyDescent="0.35">
      <c r="A91" t="s">
        <v>108</v>
      </c>
      <c r="B91" t="str">
        <f t="shared" si="13"/>
        <v>Control</v>
      </c>
      <c r="C91">
        <f t="shared" ca="1" si="14"/>
        <v>41</v>
      </c>
      <c r="D91" t="str">
        <f t="shared" ca="1" si="15"/>
        <v>Female</v>
      </c>
      <c r="E91" t="str">
        <f t="shared" ca="1" si="16"/>
        <v>Accessories</v>
      </c>
      <c r="F91">
        <f t="shared" ca="1" si="17"/>
        <v>6858</v>
      </c>
      <c r="G91">
        <f t="shared" ca="1" si="18"/>
        <v>10</v>
      </c>
      <c r="H91">
        <f t="shared" ca="1" si="19"/>
        <v>6172.2</v>
      </c>
      <c r="I91">
        <f t="shared" ca="1" si="20"/>
        <v>1</v>
      </c>
      <c r="J91">
        <f t="shared" ca="1" si="21"/>
        <v>1</v>
      </c>
      <c r="K91">
        <f t="shared" ca="1" si="22"/>
        <v>0</v>
      </c>
      <c r="L91">
        <f t="shared" ca="1" si="23"/>
        <v>0</v>
      </c>
      <c r="M91">
        <f t="shared" ca="1" si="24"/>
        <v>7</v>
      </c>
      <c r="N91">
        <f t="shared" ca="1" si="25"/>
        <v>0</v>
      </c>
    </row>
    <row r="92" spans="1:14" x14ac:dyDescent="0.35">
      <c r="A92" t="s">
        <v>109</v>
      </c>
      <c r="B92" t="str">
        <f t="shared" si="13"/>
        <v>Control</v>
      </c>
      <c r="C92">
        <f t="shared" ca="1" si="14"/>
        <v>25</v>
      </c>
      <c r="D92" t="str">
        <f t="shared" ca="1" si="15"/>
        <v>Female</v>
      </c>
      <c r="E92" t="str">
        <f t="shared" ca="1" si="16"/>
        <v>Jeans</v>
      </c>
      <c r="F92">
        <f t="shared" ca="1" si="17"/>
        <v>577</v>
      </c>
      <c r="G92">
        <f t="shared" ca="1" si="18"/>
        <v>10</v>
      </c>
      <c r="H92">
        <f t="shared" ca="1" si="19"/>
        <v>519.30000000000007</v>
      </c>
      <c r="I92">
        <f t="shared" ca="1" si="20"/>
        <v>1</v>
      </c>
      <c r="J92">
        <f t="shared" ca="1" si="21"/>
        <v>0</v>
      </c>
      <c r="K92">
        <f t="shared" ca="1" si="22"/>
        <v>0</v>
      </c>
      <c r="L92">
        <f t="shared" ca="1" si="23"/>
        <v>0</v>
      </c>
      <c r="M92">
        <f t="shared" ca="1" si="24"/>
        <v>3</v>
      </c>
      <c r="N92">
        <f t="shared" ca="1" si="25"/>
        <v>0</v>
      </c>
    </row>
    <row r="93" spans="1:14" x14ac:dyDescent="0.35">
      <c r="A93" t="s">
        <v>110</v>
      </c>
      <c r="B93" t="str">
        <f t="shared" si="13"/>
        <v>Control</v>
      </c>
      <c r="C93">
        <f t="shared" ca="1" si="14"/>
        <v>26</v>
      </c>
      <c r="D93" t="str">
        <f t="shared" ca="1" si="15"/>
        <v>Female</v>
      </c>
      <c r="E93" t="str">
        <f t="shared" ca="1" si="16"/>
        <v>Ethnic Wear</v>
      </c>
      <c r="F93">
        <f t="shared" ca="1" si="17"/>
        <v>2421</v>
      </c>
      <c r="G93">
        <f t="shared" ca="1" si="18"/>
        <v>10</v>
      </c>
      <c r="H93">
        <f t="shared" ca="1" si="19"/>
        <v>2178.9</v>
      </c>
      <c r="I93">
        <f t="shared" ca="1" si="20"/>
        <v>0</v>
      </c>
      <c r="J93">
        <f t="shared" ca="1" si="21"/>
        <v>0</v>
      </c>
      <c r="K93">
        <f t="shared" ca="1" si="22"/>
        <v>0</v>
      </c>
      <c r="L93">
        <f t="shared" ca="1" si="23"/>
        <v>0</v>
      </c>
      <c r="M93">
        <f t="shared" ca="1" si="24"/>
        <v>3</v>
      </c>
      <c r="N93">
        <f t="shared" ca="1" si="25"/>
        <v>0</v>
      </c>
    </row>
    <row r="94" spans="1:14" x14ac:dyDescent="0.35">
      <c r="A94" t="s">
        <v>111</v>
      </c>
      <c r="B94" t="str">
        <f t="shared" si="13"/>
        <v>Control</v>
      </c>
      <c r="C94">
        <f t="shared" ca="1" si="14"/>
        <v>19</v>
      </c>
      <c r="D94" t="str">
        <f t="shared" ca="1" si="15"/>
        <v>Male</v>
      </c>
      <c r="E94" t="str">
        <f t="shared" ca="1" si="16"/>
        <v>Accessories</v>
      </c>
      <c r="F94">
        <f t="shared" ca="1" si="17"/>
        <v>6738</v>
      </c>
      <c r="G94">
        <f t="shared" ca="1" si="18"/>
        <v>10</v>
      </c>
      <c r="H94">
        <f t="shared" ca="1" si="19"/>
        <v>6064.2</v>
      </c>
      <c r="I94">
        <f t="shared" ca="1" si="20"/>
        <v>1</v>
      </c>
      <c r="J94">
        <f t="shared" ca="1" si="21"/>
        <v>0</v>
      </c>
      <c r="K94">
        <f t="shared" ca="1" si="22"/>
        <v>0</v>
      </c>
      <c r="L94">
        <f t="shared" ca="1" si="23"/>
        <v>0</v>
      </c>
      <c r="M94">
        <f t="shared" ca="1" si="24"/>
        <v>7</v>
      </c>
      <c r="N94">
        <f t="shared" ca="1" si="25"/>
        <v>0</v>
      </c>
    </row>
    <row r="95" spans="1:14" x14ac:dyDescent="0.35">
      <c r="A95" t="s">
        <v>112</v>
      </c>
      <c r="B95" t="str">
        <f t="shared" si="13"/>
        <v>Control</v>
      </c>
      <c r="C95">
        <f t="shared" ca="1" si="14"/>
        <v>26</v>
      </c>
      <c r="D95" t="str">
        <f t="shared" ca="1" si="15"/>
        <v>Male</v>
      </c>
      <c r="E95" t="str">
        <f t="shared" ca="1" si="16"/>
        <v>Shoes</v>
      </c>
      <c r="F95">
        <f t="shared" ca="1" si="17"/>
        <v>7526</v>
      </c>
      <c r="G95">
        <f t="shared" ca="1" si="18"/>
        <v>10</v>
      </c>
      <c r="H95">
        <f t="shared" ca="1" si="19"/>
        <v>6773.4000000000005</v>
      </c>
      <c r="I95">
        <f t="shared" ca="1" si="20"/>
        <v>1</v>
      </c>
      <c r="J95">
        <f t="shared" ca="1" si="21"/>
        <v>0</v>
      </c>
      <c r="K95">
        <f t="shared" ca="1" si="22"/>
        <v>0</v>
      </c>
      <c r="L95">
        <f t="shared" ca="1" si="23"/>
        <v>0</v>
      </c>
      <c r="M95">
        <f t="shared" ca="1" si="24"/>
        <v>1</v>
      </c>
      <c r="N95">
        <f t="shared" ca="1" si="25"/>
        <v>0</v>
      </c>
    </row>
    <row r="96" spans="1:14" x14ac:dyDescent="0.35">
      <c r="A96" t="s">
        <v>113</v>
      </c>
      <c r="B96" t="str">
        <f t="shared" si="13"/>
        <v>Control</v>
      </c>
      <c r="C96">
        <f t="shared" ca="1" si="14"/>
        <v>28</v>
      </c>
      <c r="D96" t="str">
        <f t="shared" ca="1" si="15"/>
        <v>Female</v>
      </c>
      <c r="E96" t="str">
        <f t="shared" ca="1" si="16"/>
        <v>Ethnic Wear</v>
      </c>
      <c r="F96">
        <f t="shared" ca="1" si="17"/>
        <v>3966</v>
      </c>
      <c r="G96">
        <f t="shared" ca="1" si="18"/>
        <v>10</v>
      </c>
      <c r="H96">
        <f t="shared" ca="1" si="19"/>
        <v>3569.4</v>
      </c>
      <c r="I96">
        <f t="shared" ca="1" si="20"/>
        <v>1</v>
      </c>
      <c r="J96">
        <f t="shared" ca="1" si="21"/>
        <v>0</v>
      </c>
      <c r="K96">
        <f t="shared" ca="1" si="22"/>
        <v>0</v>
      </c>
      <c r="L96">
        <f t="shared" ca="1" si="23"/>
        <v>0</v>
      </c>
      <c r="M96">
        <f t="shared" ca="1" si="24"/>
        <v>3</v>
      </c>
      <c r="N96">
        <f t="shared" ca="1" si="25"/>
        <v>0</v>
      </c>
    </row>
    <row r="97" spans="1:14" x14ac:dyDescent="0.35">
      <c r="A97" t="s">
        <v>114</v>
      </c>
      <c r="B97" t="str">
        <f t="shared" si="13"/>
        <v>Control</v>
      </c>
      <c r="C97">
        <f t="shared" ca="1" si="14"/>
        <v>18</v>
      </c>
      <c r="D97" t="str">
        <f t="shared" ca="1" si="15"/>
        <v>Female</v>
      </c>
      <c r="E97" t="str">
        <f t="shared" ca="1" si="16"/>
        <v>Sportswear</v>
      </c>
      <c r="F97">
        <f t="shared" ca="1" si="17"/>
        <v>4831</v>
      </c>
      <c r="G97">
        <f t="shared" ca="1" si="18"/>
        <v>10</v>
      </c>
      <c r="H97">
        <f t="shared" ca="1" si="19"/>
        <v>4347.9000000000005</v>
      </c>
      <c r="I97">
        <f t="shared" ca="1" si="20"/>
        <v>0</v>
      </c>
      <c r="J97">
        <f t="shared" ca="1" si="21"/>
        <v>0</v>
      </c>
      <c r="K97">
        <f t="shared" ca="1" si="22"/>
        <v>0</v>
      </c>
      <c r="L97">
        <f t="shared" ca="1" si="23"/>
        <v>0</v>
      </c>
      <c r="M97">
        <f t="shared" ca="1" si="24"/>
        <v>6</v>
      </c>
      <c r="N97">
        <f t="shared" ca="1" si="25"/>
        <v>0</v>
      </c>
    </row>
    <row r="98" spans="1:14" x14ac:dyDescent="0.35">
      <c r="A98" t="s">
        <v>115</v>
      </c>
      <c r="B98" t="str">
        <f t="shared" si="13"/>
        <v>Control</v>
      </c>
      <c r="C98">
        <f t="shared" ca="1" si="14"/>
        <v>24</v>
      </c>
      <c r="D98" t="str">
        <f t="shared" ca="1" si="15"/>
        <v>Female</v>
      </c>
      <c r="E98" t="str">
        <f t="shared" ca="1" si="16"/>
        <v>Tops</v>
      </c>
      <c r="F98">
        <f t="shared" ca="1" si="17"/>
        <v>6023</v>
      </c>
      <c r="G98">
        <f t="shared" ca="1" si="18"/>
        <v>10</v>
      </c>
      <c r="H98">
        <f t="shared" ca="1" si="19"/>
        <v>5420.7</v>
      </c>
      <c r="I98">
        <f t="shared" ca="1" si="20"/>
        <v>1</v>
      </c>
      <c r="J98">
        <f t="shared" ca="1" si="21"/>
        <v>0</v>
      </c>
      <c r="K98">
        <f t="shared" ca="1" si="22"/>
        <v>0</v>
      </c>
      <c r="L98">
        <f t="shared" ca="1" si="23"/>
        <v>0</v>
      </c>
      <c r="M98">
        <f t="shared" ca="1" si="24"/>
        <v>7</v>
      </c>
      <c r="N98">
        <f t="shared" ca="1" si="25"/>
        <v>0</v>
      </c>
    </row>
    <row r="99" spans="1:14" x14ac:dyDescent="0.35">
      <c r="A99" t="s">
        <v>116</v>
      </c>
      <c r="B99" t="str">
        <f t="shared" si="13"/>
        <v>Control</v>
      </c>
      <c r="C99">
        <f t="shared" ca="1" si="14"/>
        <v>27</v>
      </c>
      <c r="D99" t="str">
        <f t="shared" ca="1" si="15"/>
        <v>Female</v>
      </c>
      <c r="E99" t="str">
        <f t="shared" ca="1" si="16"/>
        <v>Accessories</v>
      </c>
      <c r="F99">
        <f t="shared" ca="1" si="17"/>
        <v>4037</v>
      </c>
      <c r="G99">
        <f t="shared" ca="1" si="18"/>
        <v>10</v>
      </c>
      <c r="H99">
        <f t="shared" ca="1" si="19"/>
        <v>3633.3</v>
      </c>
      <c r="I99">
        <f t="shared" ca="1" si="20"/>
        <v>1</v>
      </c>
      <c r="J99">
        <f t="shared" ca="1" si="21"/>
        <v>1</v>
      </c>
      <c r="K99">
        <f t="shared" ca="1" si="22"/>
        <v>0</v>
      </c>
      <c r="L99">
        <f t="shared" ca="1" si="23"/>
        <v>0</v>
      </c>
      <c r="M99">
        <f t="shared" ca="1" si="24"/>
        <v>2</v>
      </c>
      <c r="N99">
        <f t="shared" ca="1" si="25"/>
        <v>0</v>
      </c>
    </row>
    <row r="100" spans="1:14" x14ac:dyDescent="0.35">
      <c r="A100" t="s">
        <v>117</v>
      </c>
      <c r="B100" t="str">
        <f t="shared" si="13"/>
        <v>Control</v>
      </c>
      <c r="C100">
        <f t="shared" ca="1" si="14"/>
        <v>31</v>
      </c>
      <c r="D100" t="str">
        <f t="shared" ca="1" si="15"/>
        <v>Male</v>
      </c>
      <c r="E100" t="str">
        <f t="shared" ca="1" si="16"/>
        <v>Tops</v>
      </c>
      <c r="F100">
        <f t="shared" ca="1" si="17"/>
        <v>798</v>
      </c>
      <c r="G100">
        <f t="shared" ca="1" si="18"/>
        <v>10</v>
      </c>
      <c r="H100">
        <f t="shared" ca="1" si="19"/>
        <v>718.2</v>
      </c>
      <c r="I100">
        <f t="shared" ca="1" si="20"/>
        <v>1</v>
      </c>
      <c r="J100">
        <f t="shared" ca="1" si="21"/>
        <v>0</v>
      </c>
      <c r="K100">
        <f t="shared" ca="1" si="22"/>
        <v>0</v>
      </c>
      <c r="L100">
        <f t="shared" ca="1" si="23"/>
        <v>0</v>
      </c>
      <c r="M100">
        <f t="shared" ca="1" si="24"/>
        <v>6</v>
      </c>
      <c r="N100">
        <f t="shared" ca="1" si="25"/>
        <v>0</v>
      </c>
    </row>
    <row r="101" spans="1:14" x14ac:dyDescent="0.35">
      <c r="A101" t="s">
        <v>118</v>
      </c>
      <c r="B101" t="str">
        <f t="shared" si="13"/>
        <v>Control</v>
      </c>
      <c r="C101">
        <f t="shared" ca="1" si="14"/>
        <v>33</v>
      </c>
      <c r="D101" t="str">
        <f t="shared" ca="1" si="15"/>
        <v>Other</v>
      </c>
      <c r="E101" t="str">
        <f t="shared" ca="1" si="16"/>
        <v>T-shirts</v>
      </c>
      <c r="F101">
        <f t="shared" ca="1" si="17"/>
        <v>3242</v>
      </c>
      <c r="G101">
        <f t="shared" ca="1" si="18"/>
        <v>10</v>
      </c>
      <c r="H101">
        <f t="shared" ca="1" si="19"/>
        <v>2917.8</v>
      </c>
      <c r="I101">
        <f t="shared" ca="1" si="20"/>
        <v>1</v>
      </c>
      <c r="J101">
        <f t="shared" ca="1" si="21"/>
        <v>1</v>
      </c>
      <c r="K101">
        <f t="shared" ca="1" si="22"/>
        <v>1</v>
      </c>
      <c r="L101">
        <f t="shared" ca="1" si="23"/>
        <v>2917.8</v>
      </c>
      <c r="M101">
        <f t="shared" ca="1" si="24"/>
        <v>3</v>
      </c>
      <c r="N101">
        <f t="shared" ca="1" si="25"/>
        <v>0</v>
      </c>
    </row>
    <row r="102" spans="1:14" x14ac:dyDescent="0.35">
      <c r="A102" t="s">
        <v>119</v>
      </c>
      <c r="B102" t="str">
        <f t="shared" si="13"/>
        <v>Control</v>
      </c>
      <c r="C102">
        <f t="shared" ca="1" si="14"/>
        <v>31</v>
      </c>
      <c r="D102" t="str">
        <f t="shared" ca="1" si="15"/>
        <v>Male</v>
      </c>
      <c r="E102" t="str">
        <f t="shared" ca="1" si="16"/>
        <v>Tops</v>
      </c>
      <c r="F102">
        <f t="shared" ca="1" si="17"/>
        <v>3204</v>
      </c>
      <c r="G102">
        <f t="shared" ca="1" si="18"/>
        <v>10</v>
      </c>
      <c r="H102">
        <f t="shared" ca="1" si="19"/>
        <v>2883.6</v>
      </c>
      <c r="I102">
        <f t="shared" ca="1" si="20"/>
        <v>0</v>
      </c>
      <c r="J102">
        <f t="shared" ca="1" si="21"/>
        <v>0</v>
      </c>
      <c r="K102">
        <f t="shared" ca="1" si="22"/>
        <v>0</v>
      </c>
      <c r="L102">
        <f t="shared" ca="1" si="23"/>
        <v>0</v>
      </c>
      <c r="M102">
        <f t="shared" ca="1" si="24"/>
        <v>3</v>
      </c>
      <c r="N102">
        <f t="shared" ca="1" si="25"/>
        <v>0</v>
      </c>
    </row>
    <row r="103" spans="1:14" x14ac:dyDescent="0.35">
      <c r="A103" t="s">
        <v>120</v>
      </c>
      <c r="B103" t="str">
        <f t="shared" si="13"/>
        <v>Control</v>
      </c>
      <c r="C103">
        <f t="shared" ca="1" si="14"/>
        <v>21</v>
      </c>
      <c r="D103" t="str">
        <f t="shared" ca="1" si="15"/>
        <v>Female</v>
      </c>
      <c r="E103" t="str">
        <f t="shared" ca="1" si="16"/>
        <v>Jeans</v>
      </c>
      <c r="F103">
        <f t="shared" ca="1" si="17"/>
        <v>7906</v>
      </c>
      <c r="G103">
        <f t="shared" ca="1" si="18"/>
        <v>10</v>
      </c>
      <c r="H103">
        <f t="shared" ca="1" si="19"/>
        <v>7115.4000000000005</v>
      </c>
      <c r="I103">
        <f t="shared" ca="1" si="20"/>
        <v>1</v>
      </c>
      <c r="J103">
        <f t="shared" ca="1" si="21"/>
        <v>1</v>
      </c>
      <c r="K103">
        <f t="shared" ca="1" si="22"/>
        <v>0</v>
      </c>
      <c r="L103">
        <f t="shared" ca="1" si="23"/>
        <v>0</v>
      </c>
      <c r="M103">
        <f t="shared" ca="1" si="24"/>
        <v>5</v>
      </c>
      <c r="N103">
        <f t="shared" ca="1" si="25"/>
        <v>0</v>
      </c>
    </row>
    <row r="104" spans="1:14" x14ac:dyDescent="0.35">
      <c r="A104" t="s">
        <v>121</v>
      </c>
      <c r="B104" t="str">
        <f t="shared" si="13"/>
        <v>Control</v>
      </c>
      <c r="C104">
        <f t="shared" ca="1" si="14"/>
        <v>25</v>
      </c>
      <c r="D104" t="str">
        <f t="shared" ca="1" si="15"/>
        <v>Other</v>
      </c>
      <c r="E104" t="str">
        <f t="shared" ca="1" si="16"/>
        <v>Sportswear</v>
      </c>
      <c r="F104">
        <f t="shared" ca="1" si="17"/>
        <v>4906</v>
      </c>
      <c r="G104">
        <f t="shared" ca="1" si="18"/>
        <v>10</v>
      </c>
      <c r="H104">
        <f t="shared" ca="1" si="19"/>
        <v>4415.4000000000005</v>
      </c>
      <c r="I104">
        <f t="shared" ca="1" si="20"/>
        <v>1</v>
      </c>
      <c r="J104">
        <f t="shared" ca="1" si="21"/>
        <v>1</v>
      </c>
      <c r="K104">
        <f t="shared" ca="1" si="22"/>
        <v>0</v>
      </c>
      <c r="L104">
        <f t="shared" ca="1" si="23"/>
        <v>0</v>
      </c>
      <c r="M104">
        <f t="shared" ca="1" si="24"/>
        <v>6</v>
      </c>
      <c r="N104">
        <f t="shared" ca="1" si="25"/>
        <v>0</v>
      </c>
    </row>
    <row r="105" spans="1:14" x14ac:dyDescent="0.35">
      <c r="A105" t="s">
        <v>122</v>
      </c>
      <c r="B105" t="str">
        <f t="shared" si="13"/>
        <v>Control</v>
      </c>
      <c r="C105">
        <f t="shared" ca="1" si="14"/>
        <v>39</v>
      </c>
      <c r="D105" t="str">
        <f t="shared" ca="1" si="15"/>
        <v>Female</v>
      </c>
      <c r="E105" t="str">
        <f t="shared" ca="1" si="16"/>
        <v>T-shirts</v>
      </c>
      <c r="F105">
        <f t="shared" ca="1" si="17"/>
        <v>5096</v>
      </c>
      <c r="G105">
        <f t="shared" ca="1" si="18"/>
        <v>10</v>
      </c>
      <c r="H105">
        <f t="shared" ca="1" si="19"/>
        <v>4586.4000000000005</v>
      </c>
      <c r="I105">
        <f t="shared" ca="1" si="20"/>
        <v>1</v>
      </c>
      <c r="J105">
        <f t="shared" ca="1" si="21"/>
        <v>1</v>
      </c>
      <c r="K105">
        <f t="shared" ca="1" si="22"/>
        <v>0</v>
      </c>
      <c r="L105">
        <f t="shared" ca="1" si="23"/>
        <v>0</v>
      </c>
      <c r="M105">
        <f t="shared" ca="1" si="24"/>
        <v>3</v>
      </c>
      <c r="N105">
        <f t="shared" ca="1" si="25"/>
        <v>0</v>
      </c>
    </row>
    <row r="106" spans="1:14" x14ac:dyDescent="0.35">
      <c r="A106" t="s">
        <v>123</v>
      </c>
      <c r="B106" t="str">
        <f t="shared" si="13"/>
        <v>Control</v>
      </c>
      <c r="C106">
        <f t="shared" ca="1" si="14"/>
        <v>23</v>
      </c>
      <c r="D106" t="str">
        <f t="shared" ca="1" si="15"/>
        <v>Male</v>
      </c>
      <c r="E106" t="str">
        <f t="shared" ca="1" si="16"/>
        <v>Shoes</v>
      </c>
      <c r="F106">
        <f t="shared" ca="1" si="17"/>
        <v>1357</v>
      </c>
      <c r="G106">
        <f t="shared" ca="1" si="18"/>
        <v>10</v>
      </c>
      <c r="H106">
        <f t="shared" ca="1" si="19"/>
        <v>1221.3</v>
      </c>
      <c r="I106">
        <f t="shared" ca="1" si="20"/>
        <v>1</v>
      </c>
      <c r="J106">
        <f t="shared" ca="1" si="21"/>
        <v>1</v>
      </c>
      <c r="K106">
        <f t="shared" ca="1" si="22"/>
        <v>1</v>
      </c>
      <c r="L106">
        <f t="shared" ca="1" si="23"/>
        <v>1221.3</v>
      </c>
      <c r="M106">
        <f t="shared" ca="1" si="24"/>
        <v>4</v>
      </c>
      <c r="N106">
        <f t="shared" ca="1" si="25"/>
        <v>1</v>
      </c>
    </row>
    <row r="107" spans="1:14" x14ac:dyDescent="0.35">
      <c r="A107" t="s">
        <v>124</v>
      </c>
      <c r="B107" t="str">
        <f t="shared" si="13"/>
        <v>Control</v>
      </c>
      <c r="C107">
        <f t="shared" ca="1" si="14"/>
        <v>41</v>
      </c>
      <c r="D107" t="str">
        <f t="shared" ca="1" si="15"/>
        <v>Female</v>
      </c>
      <c r="E107" t="str">
        <f t="shared" ca="1" si="16"/>
        <v>Sportswear</v>
      </c>
      <c r="F107">
        <f t="shared" ca="1" si="17"/>
        <v>6807</v>
      </c>
      <c r="G107">
        <f t="shared" ca="1" si="18"/>
        <v>10</v>
      </c>
      <c r="H107">
        <f t="shared" ca="1" si="19"/>
        <v>6126.3</v>
      </c>
      <c r="I107">
        <f t="shared" ca="1" si="20"/>
        <v>1</v>
      </c>
      <c r="J107">
        <f t="shared" ca="1" si="21"/>
        <v>1</v>
      </c>
      <c r="K107">
        <f t="shared" ca="1" si="22"/>
        <v>0</v>
      </c>
      <c r="L107">
        <f t="shared" ca="1" si="23"/>
        <v>0</v>
      </c>
      <c r="M107">
        <f t="shared" ca="1" si="24"/>
        <v>2</v>
      </c>
      <c r="N107">
        <f t="shared" ca="1" si="25"/>
        <v>0</v>
      </c>
    </row>
    <row r="108" spans="1:14" x14ac:dyDescent="0.35">
      <c r="A108" t="s">
        <v>125</v>
      </c>
      <c r="B108" t="str">
        <f t="shared" si="13"/>
        <v>Control</v>
      </c>
      <c r="C108">
        <f t="shared" ca="1" si="14"/>
        <v>41</v>
      </c>
      <c r="D108" t="str">
        <f t="shared" ca="1" si="15"/>
        <v>Female</v>
      </c>
      <c r="E108" t="str">
        <f t="shared" ca="1" si="16"/>
        <v>Dresses</v>
      </c>
      <c r="F108">
        <f t="shared" ca="1" si="17"/>
        <v>6799</v>
      </c>
      <c r="G108">
        <f t="shared" ca="1" si="18"/>
        <v>10</v>
      </c>
      <c r="H108">
        <f t="shared" ca="1" si="19"/>
        <v>6119.1</v>
      </c>
      <c r="I108">
        <f t="shared" ca="1" si="20"/>
        <v>1</v>
      </c>
      <c r="J108">
        <f t="shared" ca="1" si="21"/>
        <v>1</v>
      </c>
      <c r="K108">
        <f t="shared" ca="1" si="22"/>
        <v>1</v>
      </c>
      <c r="L108">
        <f t="shared" ca="1" si="23"/>
        <v>6119.1</v>
      </c>
      <c r="M108">
        <f t="shared" ca="1" si="24"/>
        <v>1</v>
      </c>
      <c r="N108">
        <f t="shared" ca="1" si="25"/>
        <v>0</v>
      </c>
    </row>
    <row r="109" spans="1:14" x14ac:dyDescent="0.35">
      <c r="A109" t="s">
        <v>126</v>
      </c>
      <c r="B109" t="str">
        <f t="shared" si="13"/>
        <v>Control</v>
      </c>
      <c r="C109">
        <f t="shared" ca="1" si="14"/>
        <v>39</v>
      </c>
      <c r="D109" t="str">
        <f t="shared" ca="1" si="15"/>
        <v>Other</v>
      </c>
      <c r="E109" t="str">
        <f t="shared" ca="1" si="16"/>
        <v>Accessories</v>
      </c>
      <c r="F109">
        <f t="shared" ca="1" si="17"/>
        <v>3892</v>
      </c>
      <c r="G109">
        <f t="shared" ca="1" si="18"/>
        <v>10</v>
      </c>
      <c r="H109">
        <f t="shared" ca="1" si="19"/>
        <v>3502.8</v>
      </c>
      <c r="I109">
        <f t="shared" ca="1" si="20"/>
        <v>1</v>
      </c>
      <c r="J109">
        <f t="shared" ca="1" si="21"/>
        <v>0</v>
      </c>
      <c r="K109">
        <f t="shared" ca="1" si="22"/>
        <v>0</v>
      </c>
      <c r="L109">
        <f t="shared" ca="1" si="23"/>
        <v>0</v>
      </c>
      <c r="M109">
        <f t="shared" ca="1" si="24"/>
        <v>3</v>
      </c>
      <c r="N109">
        <f t="shared" ca="1" si="25"/>
        <v>0</v>
      </c>
    </row>
    <row r="110" spans="1:14" x14ac:dyDescent="0.35">
      <c r="A110" t="s">
        <v>127</v>
      </c>
      <c r="B110" t="str">
        <f t="shared" si="13"/>
        <v>Control</v>
      </c>
      <c r="C110">
        <f t="shared" ca="1" si="14"/>
        <v>28</v>
      </c>
      <c r="D110" t="str">
        <f t="shared" ca="1" si="15"/>
        <v>Male</v>
      </c>
      <c r="E110" t="str">
        <f t="shared" ca="1" si="16"/>
        <v>Sportswear</v>
      </c>
      <c r="F110">
        <f t="shared" ca="1" si="17"/>
        <v>424</v>
      </c>
      <c r="G110">
        <f t="shared" ca="1" si="18"/>
        <v>10</v>
      </c>
      <c r="H110">
        <f t="shared" ca="1" si="19"/>
        <v>381.6</v>
      </c>
      <c r="I110">
        <f t="shared" ca="1" si="20"/>
        <v>1</v>
      </c>
      <c r="J110">
        <f t="shared" ca="1" si="21"/>
        <v>0</v>
      </c>
      <c r="K110">
        <f t="shared" ca="1" si="22"/>
        <v>0</v>
      </c>
      <c r="L110">
        <f t="shared" ca="1" si="23"/>
        <v>0</v>
      </c>
      <c r="M110">
        <f t="shared" ca="1" si="24"/>
        <v>5</v>
      </c>
      <c r="N110">
        <f t="shared" ca="1" si="25"/>
        <v>0</v>
      </c>
    </row>
    <row r="111" spans="1:14" x14ac:dyDescent="0.35">
      <c r="A111" t="s">
        <v>128</v>
      </c>
      <c r="B111" t="str">
        <f t="shared" si="13"/>
        <v>Control</v>
      </c>
      <c r="C111">
        <f t="shared" ca="1" si="14"/>
        <v>19</v>
      </c>
      <c r="D111" t="str">
        <f t="shared" ca="1" si="15"/>
        <v>Female</v>
      </c>
      <c r="E111" t="str">
        <f t="shared" ca="1" si="16"/>
        <v>T-shirts</v>
      </c>
      <c r="F111">
        <f t="shared" ca="1" si="17"/>
        <v>543</v>
      </c>
      <c r="G111">
        <f t="shared" ca="1" si="18"/>
        <v>10</v>
      </c>
      <c r="H111">
        <f t="shared" ca="1" si="19"/>
        <v>488.7</v>
      </c>
      <c r="I111">
        <f t="shared" ca="1" si="20"/>
        <v>0</v>
      </c>
      <c r="J111">
        <f t="shared" ca="1" si="21"/>
        <v>0</v>
      </c>
      <c r="K111">
        <f t="shared" ca="1" si="22"/>
        <v>0</v>
      </c>
      <c r="L111">
        <f t="shared" ca="1" si="23"/>
        <v>0</v>
      </c>
      <c r="M111">
        <f t="shared" ca="1" si="24"/>
        <v>5</v>
      </c>
      <c r="N111">
        <f t="shared" ca="1" si="25"/>
        <v>0</v>
      </c>
    </row>
    <row r="112" spans="1:14" x14ac:dyDescent="0.35">
      <c r="A112" t="s">
        <v>129</v>
      </c>
      <c r="B112" t="str">
        <f t="shared" si="13"/>
        <v>Control</v>
      </c>
      <c r="C112">
        <f t="shared" ca="1" si="14"/>
        <v>38</v>
      </c>
      <c r="D112" t="str">
        <f t="shared" ca="1" si="15"/>
        <v>Female</v>
      </c>
      <c r="E112" t="str">
        <f t="shared" ca="1" si="16"/>
        <v>Tops</v>
      </c>
      <c r="F112">
        <f t="shared" ca="1" si="17"/>
        <v>4350</v>
      </c>
      <c r="G112">
        <f t="shared" ca="1" si="18"/>
        <v>10</v>
      </c>
      <c r="H112">
        <f t="shared" ca="1" si="19"/>
        <v>3915</v>
      </c>
      <c r="I112">
        <f t="shared" ca="1" si="20"/>
        <v>0</v>
      </c>
      <c r="J112">
        <f t="shared" ca="1" si="21"/>
        <v>0</v>
      </c>
      <c r="K112">
        <f t="shared" ca="1" si="22"/>
        <v>0</v>
      </c>
      <c r="L112">
        <f t="shared" ca="1" si="23"/>
        <v>0</v>
      </c>
      <c r="M112">
        <f t="shared" ca="1" si="24"/>
        <v>5</v>
      </c>
      <c r="N112">
        <f t="shared" ca="1" si="25"/>
        <v>0</v>
      </c>
    </row>
    <row r="113" spans="1:14" x14ac:dyDescent="0.35">
      <c r="A113" t="s">
        <v>130</v>
      </c>
      <c r="B113" t="str">
        <f t="shared" si="13"/>
        <v>Control</v>
      </c>
      <c r="C113">
        <f t="shared" ca="1" si="14"/>
        <v>32</v>
      </c>
      <c r="D113" t="str">
        <f t="shared" ca="1" si="15"/>
        <v>Female</v>
      </c>
      <c r="E113" t="str">
        <f t="shared" ca="1" si="16"/>
        <v>Jeans</v>
      </c>
      <c r="F113">
        <f t="shared" ca="1" si="17"/>
        <v>1788</v>
      </c>
      <c r="G113">
        <f t="shared" ca="1" si="18"/>
        <v>10</v>
      </c>
      <c r="H113">
        <f t="shared" ca="1" si="19"/>
        <v>1609.2</v>
      </c>
      <c r="I113">
        <f t="shared" ca="1" si="20"/>
        <v>1</v>
      </c>
      <c r="J113">
        <f t="shared" ca="1" si="21"/>
        <v>1</v>
      </c>
      <c r="K113">
        <f t="shared" ca="1" si="22"/>
        <v>0</v>
      </c>
      <c r="L113">
        <f t="shared" ca="1" si="23"/>
        <v>0</v>
      </c>
      <c r="M113">
        <f t="shared" ca="1" si="24"/>
        <v>2</v>
      </c>
      <c r="N113">
        <f t="shared" ca="1" si="25"/>
        <v>0</v>
      </c>
    </row>
    <row r="114" spans="1:14" x14ac:dyDescent="0.35">
      <c r="A114" t="s">
        <v>131</v>
      </c>
      <c r="B114" t="str">
        <f t="shared" si="13"/>
        <v>Control</v>
      </c>
      <c r="C114">
        <f t="shared" ca="1" si="14"/>
        <v>20</v>
      </c>
      <c r="D114" t="str">
        <f t="shared" ca="1" si="15"/>
        <v>Female</v>
      </c>
      <c r="E114" t="str">
        <f t="shared" ca="1" si="16"/>
        <v>Sportswear</v>
      </c>
      <c r="F114">
        <f t="shared" ca="1" si="17"/>
        <v>6079</v>
      </c>
      <c r="G114">
        <f t="shared" ca="1" si="18"/>
        <v>10</v>
      </c>
      <c r="H114">
        <f t="shared" ca="1" si="19"/>
        <v>5471.1</v>
      </c>
      <c r="I114">
        <f t="shared" ca="1" si="20"/>
        <v>1</v>
      </c>
      <c r="J114">
        <f t="shared" ca="1" si="21"/>
        <v>1</v>
      </c>
      <c r="K114">
        <f t="shared" ca="1" si="22"/>
        <v>0</v>
      </c>
      <c r="L114">
        <f t="shared" ca="1" si="23"/>
        <v>0</v>
      </c>
      <c r="M114">
        <f t="shared" ca="1" si="24"/>
        <v>7</v>
      </c>
      <c r="N114">
        <f t="shared" ca="1" si="25"/>
        <v>0</v>
      </c>
    </row>
    <row r="115" spans="1:14" x14ac:dyDescent="0.35">
      <c r="A115" t="s">
        <v>132</v>
      </c>
      <c r="B115" t="str">
        <f t="shared" si="13"/>
        <v>Control</v>
      </c>
      <c r="C115">
        <f t="shared" ca="1" si="14"/>
        <v>29</v>
      </c>
      <c r="D115" t="str">
        <f t="shared" ca="1" si="15"/>
        <v>Female</v>
      </c>
      <c r="E115" t="str">
        <f t="shared" ca="1" si="16"/>
        <v>Ethnic Wear</v>
      </c>
      <c r="F115">
        <f t="shared" ca="1" si="17"/>
        <v>3148</v>
      </c>
      <c r="G115">
        <f t="shared" ca="1" si="18"/>
        <v>10</v>
      </c>
      <c r="H115">
        <f t="shared" ca="1" si="19"/>
        <v>2833.2000000000003</v>
      </c>
      <c r="I115">
        <f t="shared" ca="1" si="20"/>
        <v>0</v>
      </c>
      <c r="J115">
        <f t="shared" ca="1" si="21"/>
        <v>0</v>
      </c>
      <c r="K115">
        <f t="shared" ca="1" si="22"/>
        <v>0</v>
      </c>
      <c r="L115">
        <f t="shared" ca="1" si="23"/>
        <v>0</v>
      </c>
      <c r="M115">
        <f t="shared" ca="1" si="24"/>
        <v>3</v>
      </c>
      <c r="N115">
        <f t="shared" ca="1" si="25"/>
        <v>0</v>
      </c>
    </row>
    <row r="116" spans="1:14" x14ac:dyDescent="0.35">
      <c r="A116" t="s">
        <v>133</v>
      </c>
      <c r="B116" t="str">
        <f t="shared" si="13"/>
        <v>Control</v>
      </c>
      <c r="C116">
        <f t="shared" ca="1" si="14"/>
        <v>30</v>
      </c>
      <c r="D116" t="str">
        <f t="shared" ca="1" si="15"/>
        <v>Male</v>
      </c>
      <c r="E116" t="str">
        <f t="shared" ca="1" si="16"/>
        <v>Sportswear</v>
      </c>
      <c r="F116">
        <f t="shared" ca="1" si="17"/>
        <v>688</v>
      </c>
      <c r="G116">
        <f t="shared" ca="1" si="18"/>
        <v>10</v>
      </c>
      <c r="H116">
        <f t="shared" ca="1" si="19"/>
        <v>619.20000000000005</v>
      </c>
      <c r="I116">
        <f t="shared" ca="1" si="20"/>
        <v>1</v>
      </c>
      <c r="J116">
        <f t="shared" ca="1" si="21"/>
        <v>0</v>
      </c>
      <c r="K116">
        <f t="shared" ca="1" si="22"/>
        <v>0</v>
      </c>
      <c r="L116">
        <f t="shared" ca="1" si="23"/>
        <v>0</v>
      </c>
      <c r="M116">
        <f t="shared" ca="1" si="24"/>
        <v>3</v>
      </c>
      <c r="N116">
        <f t="shared" ca="1" si="25"/>
        <v>0</v>
      </c>
    </row>
    <row r="117" spans="1:14" x14ac:dyDescent="0.35">
      <c r="A117" t="s">
        <v>134</v>
      </c>
      <c r="B117" t="str">
        <f t="shared" si="13"/>
        <v>Control</v>
      </c>
      <c r="C117">
        <f t="shared" ca="1" si="14"/>
        <v>40</v>
      </c>
      <c r="D117" t="str">
        <f t="shared" ca="1" si="15"/>
        <v>Other</v>
      </c>
      <c r="E117" t="str">
        <f t="shared" ca="1" si="16"/>
        <v>T-shirts</v>
      </c>
      <c r="F117">
        <f t="shared" ca="1" si="17"/>
        <v>1233</v>
      </c>
      <c r="G117">
        <f t="shared" ca="1" si="18"/>
        <v>10</v>
      </c>
      <c r="H117">
        <f t="shared" ca="1" si="19"/>
        <v>1109.7</v>
      </c>
      <c r="I117">
        <f t="shared" ca="1" si="20"/>
        <v>0</v>
      </c>
      <c r="J117">
        <f t="shared" ca="1" si="21"/>
        <v>0</v>
      </c>
      <c r="K117">
        <f t="shared" ca="1" si="22"/>
        <v>0</v>
      </c>
      <c r="L117">
        <f t="shared" ca="1" si="23"/>
        <v>0</v>
      </c>
      <c r="M117">
        <f t="shared" ca="1" si="24"/>
        <v>3</v>
      </c>
      <c r="N117">
        <f t="shared" ca="1" si="25"/>
        <v>0</v>
      </c>
    </row>
    <row r="118" spans="1:14" x14ac:dyDescent="0.35">
      <c r="A118" t="s">
        <v>135</v>
      </c>
      <c r="B118" t="str">
        <f t="shared" si="13"/>
        <v>Control</v>
      </c>
      <c r="C118">
        <f t="shared" ca="1" si="14"/>
        <v>24</v>
      </c>
      <c r="D118" t="str">
        <f t="shared" ca="1" si="15"/>
        <v>Female</v>
      </c>
      <c r="E118" t="str">
        <f t="shared" ca="1" si="16"/>
        <v>T-shirts</v>
      </c>
      <c r="F118">
        <f t="shared" ca="1" si="17"/>
        <v>7318</v>
      </c>
      <c r="G118">
        <f t="shared" ca="1" si="18"/>
        <v>10</v>
      </c>
      <c r="H118">
        <f t="shared" ca="1" si="19"/>
        <v>6586.2</v>
      </c>
      <c r="I118">
        <f t="shared" ca="1" si="20"/>
        <v>1</v>
      </c>
      <c r="J118">
        <f t="shared" ca="1" si="21"/>
        <v>1</v>
      </c>
      <c r="K118">
        <f t="shared" ca="1" si="22"/>
        <v>0</v>
      </c>
      <c r="L118">
        <f t="shared" ca="1" si="23"/>
        <v>0</v>
      </c>
      <c r="M118">
        <f t="shared" ca="1" si="24"/>
        <v>2</v>
      </c>
      <c r="N118">
        <f t="shared" ca="1" si="25"/>
        <v>0</v>
      </c>
    </row>
    <row r="119" spans="1:14" x14ac:dyDescent="0.35">
      <c r="A119" t="s">
        <v>136</v>
      </c>
      <c r="B119" t="str">
        <f t="shared" si="13"/>
        <v>Control</v>
      </c>
      <c r="C119">
        <f t="shared" ca="1" si="14"/>
        <v>45</v>
      </c>
      <c r="D119" t="str">
        <f t="shared" ca="1" si="15"/>
        <v>Female</v>
      </c>
      <c r="E119" t="str">
        <f t="shared" ca="1" si="16"/>
        <v>Ethnic Wear</v>
      </c>
      <c r="F119">
        <f t="shared" ca="1" si="17"/>
        <v>3174</v>
      </c>
      <c r="G119">
        <f t="shared" ca="1" si="18"/>
        <v>10</v>
      </c>
      <c r="H119">
        <f t="shared" ca="1" si="19"/>
        <v>2856.6</v>
      </c>
      <c r="I119">
        <f t="shared" ca="1" si="20"/>
        <v>1</v>
      </c>
      <c r="J119">
        <f t="shared" ca="1" si="21"/>
        <v>1</v>
      </c>
      <c r="K119">
        <f t="shared" ca="1" si="22"/>
        <v>0</v>
      </c>
      <c r="L119">
        <f t="shared" ca="1" si="23"/>
        <v>0</v>
      </c>
      <c r="M119">
        <f t="shared" ca="1" si="24"/>
        <v>2</v>
      </c>
      <c r="N119">
        <f t="shared" ca="1" si="25"/>
        <v>0</v>
      </c>
    </row>
    <row r="120" spans="1:14" x14ac:dyDescent="0.35">
      <c r="A120" t="s">
        <v>137</v>
      </c>
      <c r="B120" t="str">
        <f t="shared" si="13"/>
        <v>Control</v>
      </c>
      <c r="C120">
        <f t="shared" ca="1" si="14"/>
        <v>26</v>
      </c>
      <c r="D120" t="str">
        <f t="shared" ca="1" si="15"/>
        <v>Male</v>
      </c>
      <c r="E120" t="str">
        <f t="shared" ca="1" si="16"/>
        <v>T-shirts</v>
      </c>
      <c r="F120">
        <f t="shared" ca="1" si="17"/>
        <v>3276</v>
      </c>
      <c r="G120">
        <f t="shared" ca="1" si="18"/>
        <v>10</v>
      </c>
      <c r="H120">
        <f t="shared" ca="1" si="19"/>
        <v>2948.4</v>
      </c>
      <c r="I120">
        <f t="shared" ca="1" si="20"/>
        <v>1</v>
      </c>
      <c r="J120">
        <f t="shared" ca="1" si="21"/>
        <v>1</v>
      </c>
      <c r="K120">
        <f t="shared" ca="1" si="22"/>
        <v>0</v>
      </c>
      <c r="L120">
        <f t="shared" ca="1" si="23"/>
        <v>0</v>
      </c>
      <c r="M120">
        <f t="shared" ca="1" si="24"/>
        <v>3</v>
      </c>
      <c r="N120">
        <f t="shared" ca="1" si="25"/>
        <v>0</v>
      </c>
    </row>
    <row r="121" spans="1:14" x14ac:dyDescent="0.35">
      <c r="A121" t="s">
        <v>138</v>
      </c>
      <c r="B121" t="str">
        <f t="shared" si="13"/>
        <v>Control</v>
      </c>
      <c r="C121">
        <f t="shared" ca="1" si="14"/>
        <v>24</v>
      </c>
      <c r="D121" t="str">
        <f t="shared" ca="1" si="15"/>
        <v>Female</v>
      </c>
      <c r="E121" t="str">
        <f t="shared" ca="1" si="16"/>
        <v>Jeans</v>
      </c>
      <c r="F121">
        <f t="shared" ca="1" si="17"/>
        <v>7641</v>
      </c>
      <c r="G121">
        <f t="shared" ca="1" si="18"/>
        <v>10</v>
      </c>
      <c r="H121">
        <f t="shared" ca="1" si="19"/>
        <v>6876.9000000000005</v>
      </c>
      <c r="I121">
        <f t="shared" ca="1" si="20"/>
        <v>1</v>
      </c>
      <c r="J121">
        <f t="shared" ca="1" si="21"/>
        <v>0</v>
      </c>
      <c r="K121">
        <f t="shared" ca="1" si="22"/>
        <v>0</v>
      </c>
      <c r="L121">
        <f t="shared" ca="1" si="23"/>
        <v>0</v>
      </c>
      <c r="M121">
        <f t="shared" ca="1" si="24"/>
        <v>5</v>
      </c>
      <c r="N121">
        <f t="shared" ca="1" si="25"/>
        <v>0</v>
      </c>
    </row>
    <row r="122" spans="1:14" x14ac:dyDescent="0.35">
      <c r="A122" t="s">
        <v>139</v>
      </c>
      <c r="B122" t="str">
        <f t="shared" si="13"/>
        <v>Control</v>
      </c>
      <c r="C122">
        <f t="shared" ca="1" si="14"/>
        <v>26</v>
      </c>
      <c r="D122" t="str">
        <f t="shared" ca="1" si="15"/>
        <v>Male</v>
      </c>
      <c r="E122" t="str">
        <f t="shared" ca="1" si="16"/>
        <v>Accessories</v>
      </c>
      <c r="F122">
        <f t="shared" ca="1" si="17"/>
        <v>7976</v>
      </c>
      <c r="G122">
        <f t="shared" ca="1" si="18"/>
        <v>10</v>
      </c>
      <c r="H122">
        <f t="shared" ca="1" si="19"/>
        <v>7178.4000000000005</v>
      </c>
      <c r="I122">
        <f t="shared" ca="1" si="20"/>
        <v>1</v>
      </c>
      <c r="J122">
        <f t="shared" ca="1" si="21"/>
        <v>0</v>
      </c>
      <c r="K122">
        <f t="shared" ca="1" si="22"/>
        <v>0</v>
      </c>
      <c r="L122">
        <f t="shared" ca="1" si="23"/>
        <v>0</v>
      </c>
      <c r="M122">
        <f t="shared" ca="1" si="24"/>
        <v>2</v>
      </c>
      <c r="N122">
        <f t="shared" ca="1" si="25"/>
        <v>0</v>
      </c>
    </row>
    <row r="123" spans="1:14" x14ac:dyDescent="0.35">
      <c r="A123" t="s">
        <v>140</v>
      </c>
      <c r="B123" t="str">
        <f t="shared" si="13"/>
        <v>Control</v>
      </c>
      <c r="C123">
        <f t="shared" ca="1" si="14"/>
        <v>26</v>
      </c>
      <c r="D123" t="str">
        <f t="shared" ca="1" si="15"/>
        <v>Female</v>
      </c>
      <c r="E123" t="str">
        <f t="shared" ca="1" si="16"/>
        <v>Sportswear</v>
      </c>
      <c r="F123">
        <f t="shared" ca="1" si="17"/>
        <v>5083</v>
      </c>
      <c r="G123">
        <f t="shared" ca="1" si="18"/>
        <v>10</v>
      </c>
      <c r="H123">
        <f t="shared" ca="1" si="19"/>
        <v>4574.7</v>
      </c>
      <c r="I123">
        <f t="shared" ca="1" si="20"/>
        <v>1</v>
      </c>
      <c r="J123">
        <f t="shared" ca="1" si="21"/>
        <v>0</v>
      </c>
      <c r="K123">
        <f t="shared" ca="1" si="22"/>
        <v>0</v>
      </c>
      <c r="L123">
        <f t="shared" ca="1" si="23"/>
        <v>0</v>
      </c>
      <c r="M123">
        <f t="shared" ca="1" si="24"/>
        <v>2</v>
      </c>
      <c r="N123">
        <f t="shared" ca="1" si="25"/>
        <v>0</v>
      </c>
    </row>
    <row r="124" spans="1:14" x14ac:dyDescent="0.35">
      <c r="A124" t="s">
        <v>141</v>
      </c>
      <c r="B124" t="str">
        <f t="shared" si="13"/>
        <v>Control</v>
      </c>
      <c r="C124">
        <f t="shared" ca="1" si="14"/>
        <v>41</v>
      </c>
      <c r="D124" t="str">
        <f t="shared" ca="1" si="15"/>
        <v>Female</v>
      </c>
      <c r="E124" t="str">
        <f t="shared" ca="1" si="16"/>
        <v>Shoes</v>
      </c>
      <c r="F124">
        <f t="shared" ca="1" si="17"/>
        <v>4182</v>
      </c>
      <c r="G124">
        <f t="shared" ca="1" si="18"/>
        <v>10</v>
      </c>
      <c r="H124">
        <f t="shared" ca="1" si="19"/>
        <v>3763.8</v>
      </c>
      <c r="I124">
        <f t="shared" ca="1" si="20"/>
        <v>1</v>
      </c>
      <c r="J124">
        <f t="shared" ca="1" si="21"/>
        <v>1</v>
      </c>
      <c r="K124">
        <f t="shared" ca="1" si="22"/>
        <v>0</v>
      </c>
      <c r="L124">
        <f t="shared" ca="1" si="23"/>
        <v>0</v>
      </c>
      <c r="M124">
        <f t="shared" ca="1" si="24"/>
        <v>7</v>
      </c>
      <c r="N124">
        <f t="shared" ca="1" si="25"/>
        <v>0</v>
      </c>
    </row>
    <row r="125" spans="1:14" x14ac:dyDescent="0.35">
      <c r="A125" t="s">
        <v>142</v>
      </c>
      <c r="B125" t="str">
        <f t="shared" si="13"/>
        <v>Control</v>
      </c>
      <c r="C125">
        <f t="shared" ca="1" si="14"/>
        <v>30</v>
      </c>
      <c r="D125" t="str">
        <f t="shared" ca="1" si="15"/>
        <v>Male</v>
      </c>
      <c r="E125" t="str">
        <f t="shared" ca="1" si="16"/>
        <v>Sportswear</v>
      </c>
      <c r="F125">
        <f t="shared" ca="1" si="17"/>
        <v>6999</v>
      </c>
      <c r="G125">
        <f t="shared" ca="1" si="18"/>
        <v>10</v>
      </c>
      <c r="H125">
        <f t="shared" ca="1" si="19"/>
        <v>6299.1</v>
      </c>
      <c r="I125">
        <f t="shared" ca="1" si="20"/>
        <v>0</v>
      </c>
      <c r="J125">
        <f t="shared" ca="1" si="21"/>
        <v>0</v>
      </c>
      <c r="K125">
        <f t="shared" ca="1" si="22"/>
        <v>0</v>
      </c>
      <c r="L125">
        <f t="shared" ca="1" si="23"/>
        <v>0</v>
      </c>
      <c r="M125">
        <f t="shared" ca="1" si="24"/>
        <v>5</v>
      </c>
      <c r="N125">
        <f t="shared" ca="1" si="25"/>
        <v>0</v>
      </c>
    </row>
    <row r="126" spans="1:14" x14ac:dyDescent="0.35">
      <c r="A126" t="s">
        <v>143</v>
      </c>
      <c r="B126" t="str">
        <f t="shared" si="13"/>
        <v>Control</v>
      </c>
      <c r="C126">
        <f t="shared" ca="1" si="14"/>
        <v>28</v>
      </c>
      <c r="D126" t="str">
        <f t="shared" ca="1" si="15"/>
        <v>Male</v>
      </c>
      <c r="E126" t="str">
        <f t="shared" ca="1" si="16"/>
        <v>Sportswear</v>
      </c>
      <c r="F126">
        <f t="shared" ca="1" si="17"/>
        <v>1212</v>
      </c>
      <c r="G126">
        <f t="shared" ca="1" si="18"/>
        <v>10</v>
      </c>
      <c r="H126">
        <f t="shared" ca="1" si="19"/>
        <v>1090.8</v>
      </c>
      <c r="I126">
        <f t="shared" ca="1" si="20"/>
        <v>1</v>
      </c>
      <c r="J126">
        <f t="shared" ca="1" si="21"/>
        <v>1</v>
      </c>
      <c r="K126">
        <f t="shared" ca="1" si="22"/>
        <v>0</v>
      </c>
      <c r="L126">
        <f t="shared" ca="1" si="23"/>
        <v>0</v>
      </c>
      <c r="M126">
        <f t="shared" ca="1" si="24"/>
        <v>3</v>
      </c>
      <c r="N126">
        <f t="shared" ca="1" si="25"/>
        <v>0</v>
      </c>
    </row>
    <row r="127" spans="1:14" x14ac:dyDescent="0.35">
      <c r="A127" t="s">
        <v>144</v>
      </c>
      <c r="B127" t="str">
        <f t="shared" si="13"/>
        <v>Control</v>
      </c>
      <c r="C127">
        <f t="shared" ca="1" si="14"/>
        <v>41</v>
      </c>
      <c r="D127" t="str">
        <f t="shared" ca="1" si="15"/>
        <v>Male</v>
      </c>
      <c r="E127" t="str">
        <f t="shared" ca="1" si="16"/>
        <v>Ethnic Wear</v>
      </c>
      <c r="F127">
        <f t="shared" ca="1" si="17"/>
        <v>2289</v>
      </c>
      <c r="G127">
        <f t="shared" ca="1" si="18"/>
        <v>10</v>
      </c>
      <c r="H127">
        <f t="shared" ca="1" si="19"/>
        <v>2060.1</v>
      </c>
      <c r="I127">
        <f t="shared" ca="1" si="20"/>
        <v>1</v>
      </c>
      <c r="J127">
        <f t="shared" ca="1" si="21"/>
        <v>0</v>
      </c>
      <c r="K127">
        <f t="shared" ca="1" si="22"/>
        <v>0</v>
      </c>
      <c r="L127">
        <f t="shared" ca="1" si="23"/>
        <v>0</v>
      </c>
      <c r="M127">
        <f t="shared" ca="1" si="24"/>
        <v>1</v>
      </c>
      <c r="N127">
        <f t="shared" ca="1" si="25"/>
        <v>0</v>
      </c>
    </row>
    <row r="128" spans="1:14" x14ac:dyDescent="0.35">
      <c r="A128" t="s">
        <v>145</v>
      </c>
      <c r="B128" t="str">
        <f t="shared" si="13"/>
        <v>Control</v>
      </c>
      <c r="C128">
        <f t="shared" ca="1" si="14"/>
        <v>44</v>
      </c>
      <c r="D128" t="str">
        <f t="shared" ca="1" si="15"/>
        <v>Female</v>
      </c>
      <c r="E128" t="str">
        <f t="shared" ca="1" si="16"/>
        <v>T-shirts</v>
      </c>
      <c r="F128">
        <f t="shared" ca="1" si="17"/>
        <v>6422</v>
      </c>
      <c r="G128">
        <f t="shared" ca="1" si="18"/>
        <v>10</v>
      </c>
      <c r="H128">
        <f t="shared" ca="1" si="19"/>
        <v>5779.8</v>
      </c>
      <c r="I128">
        <f t="shared" ca="1" si="20"/>
        <v>0</v>
      </c>
      <c r="J128">
        <f t="shared" ca="1" si="21"/>
        <v>0</v>
      </c>
      <c r="K128">
        <f t="shared" ca="1" si="22"/>
        <v>0</v>
      </c>
      <c r="L128">
        <f t="shared" ca="1" si="23"/>
        <v>0</v>
      </c>
      <c r="M128">
        <f t="shared" ca="1" si="24"/>
        <v>2</v>
      </c>
      <c r="N128">
        <f t="shared" ca="1" si="25"/>
        <v>0</v>
      </c>
    </row>
    <row r="129" spans="1:14" x14ac:dyDescent="0.35">
      <c r="A129" t="s">
        <v>146</v>
      </c>
      <c r="B129" t="str">
        <f t="shared" si="13"/>
        <v>Control</v>
      </c>
      <c r="C129">
        <f t="shared" ca="1" si="14"/>
        <v>39</v>
      </c>
      <c r="D129" t="str">
        <f t="shared" ca="1" si="15"/>
        <v>Female</v>
      </c>
      <c r="E129" t="str">
        <f t="shared" ca="1" si="16"/>
        <v>Tops</v>
      </c>
      <c r="F129">
        <f t="shared" ca="1" si="17"/>
        <v>6474</v>
      </c>
      <c r="G129">
        <f t="shared" ca="1" si="18"/>
        <v>10</v>
      </c>
      <c r="H129">
        <f t="shared" ca="1" si="19"/>
        <v>5826.6</v>
      </c>
      <c r="I129">
        <f t="shared" ca="1" si="20"/>
        <v>1</v>
      </c>
      <c r="J129">
        <f t="shared" ca="1" si="21"/>
        <v>1</v>
      </c>
      <c r="K129">
        <f t="shared" ca="1" si="22"/>
        <v>0</v>
      </c>
      <c r="L129">
        <f t="shared" ca="1" si="23"/>
        <v>0</v>
      </c>
      <c r="M129">
        <f t="shared" ca="1" si="24"/>
        <v>6</v>
      </c>
      <c r="N129">
        <f t="shared" ca="1" si="25"/>
        <v>0</v>
      </c>
    </row>
    <row r="130" spans="1:14" x14ac:dyDescent="0.35">
      <c r="A130" t="s">
        <v>147</v>
      </c>
      <c r="B130" t="str">
        <f t="shared" si="13"/>
        <v>Control</v>
      </c>
      <c r="C130">
        <f t="shared" ca="1" si="14"/>
        <v>20</v>
      </c>
      <c r="D130" t="str">
        <f t="shared" ca="1" si="15"/>
        <v>Female</v>
      </c>
      <c r="E130" t="str">
        <f t="shared" ca="1" si="16"/>
        <v>Jeans</v>
      </c>
      <c r="F130">
        <f t="shared" ca="1" si="17"/>
        <v>3041</v>
      </c>
      <c r="G130">
        <f t="shared" ca="1" si="18"/>
        <v>10</v>
      </c>
      <c r="H130">
        <f t="shared" ca="1" si="19"/>
        <v>2736.9</v>
      </c>
      <c r="I130">
        <f t="shared" ca="1" si="20"/>
        <v>1</v>
      </c>
      <c r="J130">
        <f t="shared" ca="1" si="21"/>
        <v>1</v>
      </c>
      <c r="K130">
        <f t="shared" ca="1" si="22"/>
        <v>0</v>
      </c>
      <c r="L130">
        <f t="shared" ca="1" si="23"/>
        <v>0</v>
      </c>
      <c r="M130">
        <f t="shared" ca="1" si="24"/>
        <v>3</v>
      </c>
      <c r="N130">
        <f t="shared" ca="1" si="25"/>
        <v>0</v>
      </c>
    </row>
    <row r="131" spans="1:14" x14ac:dyDescent="0.35">
      <c r="A131" t="s">
        <v>148</v>
      </c>
      <c r="B131" t="str">
        <f t="shared" si="13"/>
        <v>Control</v>
      </c>
      <c r="C131">
        <f t="shared" ca="1" si="14"/>
        <v>28</v>
      </c>
      <c r="D131" t="str">
        <f t="shared" ca="1" si="15"/>
        <v>Female</v>
      </c>
      <c r="E131" t="str">
        <f t="shared" ca="1" si="16"/>
        <v>Dresses</v>
      </c>
      <c r="F131">
        <f t="shared" ca="1" si="17"/>
        <v>1247</v>
      </c>
      <c r="G131">
        <f t="shared" ca="1" si="18"/>
        <v>10</v>
      </c>
      <c r="H131">
        <f t="shared" ca="1" si="19"/>
        <v>1122.3</v>
      </c>
      <c r="I131">
        <f t="shared" ca="1" si="20"/>
        <v>1</v>
      </c>
      <c r="J131">
        <f t="shared" ca="1" si="21"/>
        <v>0</v>
      </c>
      <c r="K131">
        <f t="shared" ca="1" si="22"/>
        <v>0</v>
      </c>
      <c r="L131">
        <f t="shared" ca="1" si="23"/>
        <v>0</v>
      </c>
      <c r="M131">
        <f t="shared" ca="1" si="24"/>
        <v>4</v>
      </c>
      <c r="N131">
        <f t="shared" ca="1" si="25"/>
        <v>0</v>
      </c>
    </row>
    <row r="132" spans="1:14" x14ac:dyDescent="0.35">
      <c r="A132" t="s">
        <v>149</v>
      </c>
      <c r="B132" t="str">
        <f t="shared" si="13"/>
        <v>Control</v>
      </c>
      <c r="C132">
        <f t="shared" ca="1" si="14"/>
        <v>37</v>
      </c>
      <c r="D132" t="str">
        <f t="shared" ca="1" si="15"/>
        <v>Male</v>
      </c>
      <c r="E132" t="str">
        <f t="shared" ca="1" si="16"/>
        <v>Shoes</v>
      </c>
      <c r="F132">
        <f t="shared" ca="1" si="17"/>
        <v>6320</v>
      </c>
      <c r="G132">
        <f t="shared" ca="1" si="18"/>
        <v>10</v>
      </c>
      <c r="H132">
        <f t="shared" ca="1" si="19"/>
        <v>5688</v>
      </c>
      <c r="I132">
        <f t="shared" ca="1" si="20"/>
        <v>1</v>
      </c>
      <c r="J132">
        <f t="shared" ca="1" si="21"/>
        <v>1</v>
      </c>
      <c r="K132">
        <f t="shared" ca="1" si="22"/>
        <v>1</v>
      </c>
      <c r="L132">
        <f t="shared" ca="1" si="23"/>
        <v>5688</v>
      </c>
      <c r="M132">
        <f t="shared" ca="1" si="24"/>
        <v>4</v>
      </c>
      <c r="N132">
        <f t="shared" ca="1" si="25"/>
        <v>0</v>
      </c>
    </row>
    <row r="133" spans="1:14" x14ac:dyDescent="0.35">
      <c r="A133" t="s">
        <v>150</v>
      </c>
      <c r="B133" t="str">
        <f t="shared" ref="B133:B196" si="26">IF(ROW()&lt;=1001,"Control","Test")</f>
        <v>Control</v>
      </c>
      <c r="C133">
        <f t="shared" ref="C133:C196" ca="1" si="27">RANDBETWEEN(18,45)</f>
        <v>18</v>
      </c>
      <c r="D133" t="str">
        <f t="shared" ref="D133:D196" ca="1" si="28">CHOOSE(RANDBETWEEN(1,20),"Female","Female","Female","Female","Female","Female","Female","Female","Female","Female","Male","Male","Male","Male","Male","Male","Male","Male","Other","Other")</f>
        <v>Male</v>
      </c>
      <c r="E133" t="str">
        <f t="shared" ref="E133:E196" ca="1" si="29">CHOOSE(RANDBETWEEN(1,8),"T-shirts","Dresses","Jeans","Shoes","Ethnic Wear","Tops","Sportswear","Accessories")</f>
        <v>Jeans</v>
      </c>
      <c r="F133">
        <f t="shared" ref="F133:F196" ca="1" si="30">RANDBETWEEN(300,8000)</f>
        <v>7720</v>
      </c>
      <c r="G133">
        <f t="shared" ref="G133:G196" ca="1" si="31">IF(B133="Control",10,CHOOSE(RANDBETWEEN(1,3),15,20,25))</f>
        <v>10</v>
      </c>
      <c r="H133">
        <f t="shared" ref="H133:H196" ca="1" si="32">F133*(1-G133/100)</f>
        <v>6948</v>
      </c>
      <c r="I133">
        <f t="shared" ref="I133:I196" ca="1" si="33">IF(RAND()&lt;0.85,1,0)</f>
        <v>1</v>
      </c>
      <c r="J133">
        <f t="shared" ref="J133:J196" ca="1" si="34">IF(I133=1,IF(RAND()&lt;0.55,1,0),0)</f>
        <v>1</v>
      </c>
      <c r="K133">
        <f t="shared" ref="K133:K196" ca="1" si="35">IF(J133=1,IF(B133="Test",IF(RAND()&lt;0.4,1,0),IF(RAND()&lt;0.34,1,0)),0)</f>
        <v>1</v>
      </c>
      <c r="L133">
        <f t="shared" ref="L133:L196" ca="1" si="36">IF(K133=1,H133,0)</f>
        <v>6948</v>
      </c>
      <c r="M133">
        <f t="shared" ref="M133:M196" ca="1" si="37">RANDBETWEEN(1,7)</f>
        <v>3</v>
      </c>
      <c r="N133">
        <f t="shared" ref="N133:N196" ca="1" si="38">IF(K133=1,IF(RAND()&lt;0.15,1,0),0)</f>
        <v>0</v>
      </c>
    </row>
    <row r="134" spans="1:14" x14ac:dyDescent="0.35">
      <c r="A134" t="s">
        <v>151</v>
      </c>
      <c r="B134" t="str">
        <f t="shared" si="26"/>
        <v>Control</v>
      </c>
      <c r="C134">
        <f t="shared" ca="1" si="27"/>
        <v>34</v>
      </c>
      <c r="D134" t="str">
        <f t="shared" ca="1" si="28"/>
        <v>Male</v>
      </c>
      <c r="E134" t="str">
        <f t="shared" ca="1" si="29"/>
        <v>Sportswear</v>
      </c>
      <c r="F134">
        <f t="shared" ca="1" si="30"/>
        <v>1597</v>
      </c>
      <c r="G134">
        <f t="shared" ca="1" si="31"/>
        <v>10</v>
      </c>
      <c r="H134">
        <f t="shared" ca="1" si="32"/>
        <v>1437.3</v>
      </c>
      <c r="I134">
        <f t="shared" ca="1" si="33"/>
        <v>0</v>
      </c>
      <c r="J134">
        <f t="shared" ca="1" si="34"/>
        <v>0</v>
      </c>
      <c r="K134">
        <f t="shared" ca="1" si="35"/>
        <v>0</v>
      </c>
      <c r="L134">
        <f t="shared" ca="1" si="36"/>
        <v>0</v>
      </c>
      <c r="M134">
        <f t="shared" ca="1" si="37"/>
        <v>4</v>
      </c>
      <c r="N134">
        <f t="shared" ca="1" si="38"/>
        <v>0</v>
      </c>
    </row>
    <row r="135" spans="1:14" x14ac:dyDescent="0.35">
      <c r="A135" t="s">
        <v>152</v>
      </c>
      <c r="B135" t="str">
        <f t="shared" si="26"/>
        <v>Control</v>
      </c>
      <c r="C135">
        <f t="shared" ca="1" si="27"/>
        <v>42</v>
      </c>
      <c r="D135" t="str">
        <f t="shared" ca="1" si="28"/>
        <v>Male</v>
      </c>
      <c r="E135" t="str">
        <f t="shared" ca="1" si="29"/>
        <v>T-shirts</v>
      </c>
      <c r="F135">
        <f t="shared" ca="1" si="30"/>
        <v>1433</v>
      </c>
      <c r="G135">
        <f t="shared" ca="1" si="31"/>
        <v>10</v>
      </c>
      <c r="H135">
        <f t="shared" ca="1" si="32"/>
        <v>1289.7</v>
      </c>
      <c r="I135">
        <f t="shared" ca="1" si="33"/>
        <v>1</v>
      </c>
      <c r="J135">
        <f t="shared" ca="1" si="34"/>
        <v>0</v>
      </c>
      <c r="K135">
        <f t="shared" ca="1" si="35"/>
        <v>0</v>
      </c>
      <c r="L135">
        <f t="shared" ca="1" si="36"/>
        <v>0</v>
      </c>
      <c r="M135">
        <f t="shared" ca="1" si="37"/>
        <v>7</v>
      </c>
      <c r="N135">
        <f t="shared" ca="1" si="38"/>
        <v>0</v>
      </c>
    </row>
    <row r="136" spans="1:14" x14ac:dyDescent="0.35">
      <c r="A136" t="s">
        <v>153</v>
      </c>
      <c r="B136" t="str">
        <f t="shared" si="26"/>
        <v>Control</v>
      </c>
      <c r="C136">
        <f t="shared" ca="1" si="27"/>
        <v>38</v>
      </c>
      <c r="D136" t="str">
        <f t="shared" ca="1" si="28"/>
        <v>Female</v>
      </c>
      <c r="E136" t="str">
        <f t="shared" ca="1" si="29"/>
        <v>Jeans</v>
      </c>
      <c r="F136">
        <f t="shared" ca="1" si="30"/>
        <v>3166</v>
      </c>
      <c r="G136">
        <f t="shared" ca="1" si="31"/>
        <v>10</v>
      </c>
      <c r="H136">
        <f t="shared" ca="1" si="32"/>
        <v>2849.4</v>
      </c>
      <c r="I136">
        <f t="shared" ca="1" si="33"/>
        <v>0</v>
      </c>
      <c r="J136">
        <f t="shared" ca="1" si="34"/>
        <v>0</v>
      </c>
      <c r="K136">
        <f t="shared" ca="1" si="35"/>
        <v>0</v>
      </c>
      <c r="L136">
        <f t="shared" ca="1" si="36"/>
        <v>0</v>
      </c>
      <c r="M136">
        <f t="shared" ca="1" si="37"/>
        <v>3</v>
      </c>
      <c r="N136">
        <f t="shared" ca="1" si="38"/>
        <v>0</v>
      </c>
    </row>
    <row r="137" spans="1:14" x14ac:dyDescent="0.35">
      <c r="A137" t="s">
        <v>154</v>
      </c>
      <c r="B137" t="str">
        <f t="shared" si="26"/>
        <v>Control</v>
      </c>
      <c r="C137">
        <f t="shared" ca="1" si="27"/>
        <v>45</v>
      </c>
      <c r="D137" t="str">
        <f t="shared" ca="1" si="28"/>
        <v>Other</v>
      </c>
      <c r="E137" t="str">
        <f t="shared" ca="1" si="29"/>
        <v>Tops</v>
      </c>
      <c r="F137">
        <f t="shared" ca="1" si="30"/>
        <v>6233</v>
      </c>
      <c r="G137">
        <f t="shared" ca="1" si="31"/>
        <v>10</v>
      </c>
      <c r="H137">
        <f t="shared" ca="1" si="32"/>
        <v>5609.7</v>
      </c>
      <c r="I137">
        <f t="shared" ca="1" si="33"/>
        <v>1</v>
      </c>
      <c r="J137">
        <f t="shared" ca="1" si="34"/>
        <v>0</v>
      </c>
      <c r="K137">
        <f t="shared" ca="1" si="35"/>
        <v>0</v>
      </c>
      <c r="L137">
        <f t="shared" ca="1" si="36"/>
        <v>0</v>
      </c>
      <c r="M137">
        <f t="shared" ca="1" si="37"/>
        <v>3</v>
      </c>
      <c r="N137">
        <f t="shared" ca="1" si="38"/>
        <v>0</v>
      </c>
    </row>
    <row r="138" spans="1:14" x14ac:dyDescent="0.35">
      <c r="A138" t="s">
        <v>155</v>
      </c>
      <c r="B138" t="str">
        <f t="shared" si="26"/>
        <v>Control</v>
      </c>
      <c r="C138">
        <f t="shared" ca="1" si="27"/>
        <v>27</v>
      </c>
      <c r="D138" t="str">
        <f t="shared" ca="1" si="28"/>
        <v>Male</v>
      </c>
      <c r="E138" t="str">
        <f t="shared" ca="1" si="29"/>
        <v>Sportswear</v>
      </c>
      <c r="F138">
        <f t="shared" ca="1" si="30"/>
        <v>1260</v>
      </c>
      <c r="G138">
        <f t="shared" ca="1" si="31"/>
        <v>10</v>
      </c>
      <c r="H138">
        <f t="shared" ca="1" si="32"/>
        <v>1134</v>
      </c>
      <c r="I138">
        <f t="shared" ca="1" si="33"/>
        <v>1</v>
      </c>
      <c r="J138">
        <f t="shared" ca="1" si="34"/>
        <v>1</v>
      </c>
      <c r="K138">
        <f t="shared" ca="1" si="35"/>
        <v>1</v>
      </c>
      <c r="L138">
        <f t="shared" ca="1" si="36"/>
        <v>1134</v>
      </c>
      <c r="M138">
        <f t="shared" ca="1" si="37"/>
        <v>6</v>
      </c>
      <c r="N138">
        <f t="shared" ca="1" si="38"/>
        <v>0</v>
      </c>
    </row>
    <row r="139" spans="1:14" x14ac:dyDescent="0.35">
      <c r="A139" t="s">
        <v>156</v>
      </c>
      <c r="B139" t="str">
        <f t="shared" si="26"/>
        <v>Control</v>
      </c>
      <c r="C139">
        <f t="shared" ca="1" si="27"/>
        <v>30</v>
      </c>
      <c r="D139" t="str">
        <f t="shared" ca="1" si="28"/>
        <v>Male</v>
      </c>
      <c r="E139" t="str">
        <f t="shared" ca="1" si="29"/>
        <v>Ethnic Wear</v>
      </c>
      <c r="F139">
        <f t="shared" ca="1" si="30"/>
        <v>6882</v>
      </c>
      <c r="G139">
        <f t="shared" ca="1" si="31"/>
        <v>10</v>
      </c>
      <c r="H139">
        <f t="shared" ca="1" si="32"/>
        <v>6193.8</v>
      </c>
      <c r="I139">
        <f t="shared" ca="1" si="33"/>
        <v>1</v>
      </c>
      <c r="J139">
        <f t="shared" ca="1" si="34"/>
        <v>0</v>
      </c>
      <c r="K139">
        <f t="shared" ca="1" si="35"/>
        <v>0</v>
      </c>
      <c r="L139">
        <f t="shared" ca="1" si="36"/>
        <v>0</v>
      </c>
      <c r="M139">
        <f t="shared" ca="1" si="37"/>
        <v>5</v>
      </c>
      <c r="N139">
        <f t="shared" ca="1" si="38"/>
        <v>0</v>
      </c>
    </row>
    <row r="140" spans="1:14" x14ac:dyDescent="0.35">
      <c r="A140" t="s">
        <v>157</v>
      </c>
      <c r="B140" t="str">
        <f t="shared" si="26"/>
        <v>Control</v>
      </c>
      <c r="C140">
        <f t="shared" ca="1" si="27"/>
        <v>36</v>
      </c>
      <c r="D140" t="str">
        <f t="shared" ca="1" si="28"/>
        <v>Female</v>
      </c>
      <c r="E140" t="str">
        <f t="shared" ca="1" si="29"/>
        <v>Accessories</v>
      </c>
      <c r="F140">
        <f t="shared" ca="1" si="30"/>
        <v>1275</v>
      </c>
      <c r="G140">
        <f t="shared" ca="1" si="31"/>
        <v>10</v>
      </c>
      <c r="H140">
        <f t="shared" ca="1" si="32"/>
        <v>1147.5</v>
      </c>
      <c r="I140">
        <f t="shared" ca="1" si="33"/>
        <v>1</v>
      </c>
      <c r="J140">
        <f t="shared" ca="1" si="34"/>
        <v>1</v>
      </c>
      <c r="K140">
        <f t="shared" ca="1" si="35"/>
        <v>1</v>
      </c>
      <c r="L140">
        <f t="shared" ca="1" si="36"/>
        <v>1147.5</v>
      </c>
      <c r="M140">
        <f t="shared" ca="1" si="37"/>
        <v>7</v>
      </c>
      <c r="N140">
        <f t="shared" ca="1" si="38"/>
        <v>0</v>
      </c>
    </row>
    <row r="141" spans="1:14" x14ac:dyDescent="0.35">
      <c r="A141" t="s">
        <v>158</v>
      </c>
      <c r="B141" t="str">
        <f t="shared" si="26"/>
        <v>Control</v>
      </c>
      <c r="C141">
        <f t="shared" ca="1" si="27"/>
        <v>28</v>
      </c>
      <c r="D141" t="str">
        <f t="shared" ca="1" si="28"/>
        <v>Female</v>
      </c>
      <c r="E141" t="str">
        <f t="shared" ca="1" si="29"/>
        <v>Jeans</v>
      </c>
      <c r="F141">
        <f t="shared" ca="1" si="30"/>
        <v>6964</v>
      </c>
      <c r="G141">
        <f t="shared" ca="1" si="31"/>
        <v>10</v>
      </c>
      <c r="H141">
        <f t="shared" ca="1" si="32"/>
        <v>6267.6</v>
      </c>
      <c r="I141">
        <f t="shared" ca="1" si="33"/>
        <v>1</v>
      </c>
      <c r="J141">
        <f t="shared" ca="1" si="34"/>
        <v>1</v>
      </c>
      <c r="K141">
        <f t="shared" ca="1" si="35"/>
        <v>0</v>
      </c>
      <c r="L141">
        <f t="shared" ca="1" si="36"/>
        <v>0</v>
      </c>
      <c r="M141">
        <f t="shared" ca="1" si="37"/>
        <v>6</v>
      </c>
      <c r="N141">
        <f t="shared" ca="1" si="38"/>
        <v>0</v>
      </c>
    </row>
    <row r="142" spans="1:14" x14ac:dyDescent="0.35">
      <c r="A142" t="s">
        <v>159</v>
      </c>
      <c r="B142" t="str">
        <f t="shared" si="26"/>
        <v>Control</v>
      </c>
      <c r="C142">
        <f t="shared" ca="1" si="27"/>
        <v>45</v>
      </c>
      <c r="D142" t="str">
        <f t="shared" ca="1" si="28"/>
        <v>Male</v>
      </c>
      <c r="E142" t="str">
        <f t="shared" ca="1" si="29"/>
        <v>T-shirts</v>
      </c>
      <c r="F142">
        <f t="shared" ca="1" si="30"/>
        <v>6910</v>
      </c>
      <c r="G142">
        <f t="shared" ca="1" si="31"/>
        <v>10</v>
      </c>
      <c r="H142">
        <f t="shared" ca="1" si="32"/>
        <v>6219</v>
      </c>
      <c r="I142">
        <f t="shared" ca="1" si="33"/>
        <v>1</v>
      </c>
      <c r="J142">
        <f t="shared" ca="1" si="34"/>
        <v>0</v>
      </c>
      <c r="K142">
        <f t="shared" ca="1" si="35"/>
        <v>0</v>
      </c>
      <c r="L142">
        <f t="shared" ca="1" si="36"/>
        <v>0</v>
      </c>
      <c r="M142">
        <f t="shared" ca="1" si="37"/>
        <v>3</v>
      </c>
      <c r="N142">
        <f t="shared" ca="1" si="38"/>
        <v>0</v>
      </c>
    </row>
    <row r="143" spans="1:14" x14ac:dyDescent="0.35">
      <c r="A143" t="s">
        <v>160</v>
      </c>
      <c r="B143" t="str">
        <f t="shared" si="26"/>
        <v>Control</v>
      </c>
      <c r="C143">
        <f t="shared" ca="1" si="27"/>
        <v>22</v>
      </c>
      <c r="D143" t="str">
        <f t="shared" ca="1" si="28"/>
        <v>Male</v>
      </c>
      <c r="E143" t="str">
        <f t="shared" ca="1" si="29"/>
        <v>T-shirts</v>
      </c>
      <c r="F143">
        <f t="shared" ca="1" si="30"/>
        <v>7633</v>
      </c>
      <c r="G143">
        <f t="shared" ca="1" si="31"/>
        <v>10</v>
      </c>
      <c r="H143">
        <f t="shared" ca="1" si="32"/>
        <v>6869.7</v>
      </c>
      <c r="I143">
        <f t="shared" ca="1" si="33"/>
        <v>1</v>
      </c>
      <c r="J143">
        <f t="shared" ca="1" si="34"/>
        <v>0</v>
      </c>
      <c r="K143">
        <f t="shared" ca="1" si="35"/>
        <v>0</v>
      </c>
      <c r="L143">
        <f t="shared" ca="1" si="36"/>
        <v>0</v>
      </c>
      <c r="M143">
        <f t="shared" ca="1" si="37"/>
        <v>5</v>
      </c>
      <c r="N143">
        <f t="shared" ca="1" si="38"/>
        <v>0</v>
      </c>
    </row>
    <row r="144" spans="1:14" x14ac:dyDescent="0.35">
      <c r="A144" t="s">
        <v>161</v>
      </c>
      <c r="B144" t="str">
        <f t="shared" si="26"/>
        <v>Control</v>
      </c>
      <c r="C144">
        <f t="shared" ca="1" si="27"/>
        <v>43</v>
      </c>
      <c r="D144" t="str">
        <f t="shared" ca="1" si="28"/>
        <v>Female</v>
      </c>
      <c r="E144" t="str">
        <f t="shared" ca="1" si="29"/>
        <v>Dresses</v>
      </c>
      <c r="F144">
        <f t="shared" ca="1" si="30"/>
        <v>5642</v>
      </c>
      <c r="G144">
        <f t="shared" ca="1" si="31"/>
        <v>10</v>
      </c>
      <c r="H144">
        <f t="shared" ca="1" si="32"/>
        <v>5077.8</v>
      </c>
      <c r="I144">
        <f t="shared" ca="1" si="33"/>
        <v>1</v>
      </c>
      <c r="J144">
        <f t="shared" ca="1" si="34"/>
        <v>1</v>
      </c>
      <c r="K144">
        <f t="shared" ca="1" si="35"/>
        <v>1</v>
      </c>
      <c r="L144">
        <f t="shared" ca="1" si="36"/>
        <v>5077.8</v>
      </c>
      <c r="M144">
        <f t="shared" ca="1" si="37"/>
        <v>7</v>
      </c>
      <c r="N144">
        <f t="shared" ca="1" si="38"/>
        <v>0</v>
      </c>
    </row>
    <row r="145" spans="1:14" x14ac:dyDescent="0.35">
      <c r="A145" t="s">
        <v>162</v>
      </c>
      <c r="B145" t="str">
        <f t="shared" si="26"/>
        <v>Control</v>
      </c>
      <c r="C145">
        <f t="shared" ca="1" si="27"/>
        <v>31</v>
      </c>
      <c r="D145" t="str">
        <f t="shared" ca="1" si="28"/>
        <v>Male</v>
      </c>
      <c r="E145" t="str">
        <f t="shared" ca="1" si="29"/>
        <v>Ethnic Wear</v>
      </c>
      <c r="F145">
        <f t="shared" ca="1" si="30"/>
        <v>1969</v>
      </c>
      <c r="G145">
        <f t="shared" ca="1" si="31"/>
        <v>10</v>
      </c>
      <c r="H145">
        <f t="shared" ca="1" si="32"/>
        <v>1772.1000000000001</v>
      </c>
      <c r="I145">
        <f t="shared" ca="1" si="33"/>
        <v>1</v>
      </c>
      <c r="J145">
        <f t="shared" ca="1" si="34"/>
        <v>0</v>
      </c>
      <c r="K145">
        <f t="shared" ca="1" si="35"/>
        <v>0</v>
      </c>
      <c r="L145">
        <f t="shared" ca="1" si="36"/>
        <v>0</v>
      </c>
      <c r="M145">
        <f t="shared" ca="1" si="37"/>
        <v>6</v>
      </c>
      <c r="N145">
        <f t="shared" ca="1" si="38"/>
        <v>0</v>
      </c>
    </row>
    <row r="146" spans="1:14" x14ac:dyDescent="0.35">
      <c r="A146" t="s">
        <v>163</v>
      </c>
      <c r="B146" t="str">
        <f t="shared" si="26"/>
        <v>Control</v>
      </c>
      <c r="C146">
        <f t="shared" ca="1" si="27"/>
        <v>20</v>
      </c>
      <c r="D146" t="str">
        <f t="shared" ca="1" si="28"/>
        <v>Male</v>
      </c>
      <c r="E146" t="str">
        <f t="shared" ca="1" si="29"/>
        <v>Sportswear</v>
      </c>
      <c r="F146">
        <f t="shared" ca="1" si="30"/>
        <v>6211</v>
      </c>
      <c r="G146">
        <f t="shared" ca="1" si="31"/>
        <v>10</v>
      </c>
      <c r="H146">
        <f t="shared" ca="1" si="32"/>
        <v>5589.9000000000005</v>
      </c>
      <c r="I146">
        <f t="shared" ca="1" si="33"/>
        <v>1</v>
      </c>
      <c r="J146">
        <f t="shared" ca="1" si="34"/>
        <v>1</v>
      </c>
      <c r="K146">
        <f t="shared" ca="1" si="35"/>
        <v>0</v>
      </c>
      <c r="L146">
        <f t="shared" ca="1" si="36"/>
        <v>0</v>
      </c>
      <c r="M146">
        <f t="shared" ca="1" si="37"/>
        <v>5</v>
      </c>
      <c r="N146">
        <f t="shared" ca="1" si="38"/>
        <v>0</v>
      </c>
    </row>
    <row r="147" spans="1:14" x14ac:dyDescent="0.35">
      <c r="A147" t="s">
        <v>164</v>
      </c>
      <c r="B147" t="str">
        <f t="shared" si="26"/>
        <v>Control</v>
      </c>
      <c r="C147">
        <f t="shared" ca="1" si="27"/>
        <v>42</v>
      </c>
      <c r="D147" t="str">
        <f t="shared" ca="1" si="28"/>
        <v>Female</v>
      </c>
      <c r="E147" t="str">
        <f t="shared" ca="1" si="29"/>
        <v>Tops</v>
      </c>
      <c r="F147">
        <f t="shared" ca="1" si="30"/>
        <v>1868</v>
      </c>
      <c r="G147">
        <f t="shared" ca="1" si="31"/>
        <v>10</v>
      </c>
      <c r="H147">
        <f t="shared" ca="1" si="32"/>
        <v>1681.2</v>
      </c>
      <c r="I147">
        <f t="shared" ca="1" si="33"/>
        <v>1</v>
      </c>
      <c r="J147">
        <f t="shared" ca="1" si="34"/>
        <v>1</v>
      </c>
      <c r="K147">
        <f t="shared" ca="1" si="35"/>
        <v>1</v>
      </c>
      <c r="L147">
        <f t="shared" ca="1" si="36"/>
        <v>1681.2</v>
      </c>
      <c r="M147">
        <f t="shared" ca="1" si="37"/>
        <v>4</v>
      </c>
      <c r="N147">
        <f t="shared" ca="1" si="38"/>
        <v>0</v>
      </c>
    </row>
    <row r="148" spans="1:14" x14ac:dyDescent="0.35">
      <c r="A148" t="s">
        <v>165</v>
      </c>
      <c r="B148" t="str">
        <f t="shared" si="26"/>
        <v>Control</v>
      </c>
      <c r="C148">
        <f t="shared" ca="1" si="27"/>
        <v>26</v>
      </c>
      <c r="D148" t="str">
        <f t="shared" ca="1" si="28"/>
        <v>Female</v>
      </c>
      <c r="E148" t="str">
        <f t="shared" ca="1" si="29"/>
        <v>Dresses</v>
      </c>
      <c r="F148">
        <f t="shared" ca="1" si="30"/>
        <v>7641</v>
      </c>
      <c r="G148">
        <f t="shared" ca="1" si="31"/>
        <v>10</v>
      </c>
      <c r="H148">
        <f t="shared" ca="1" si="32"/>
        <v>6876.9000000000005</v>
      </c>
      <c r="I148">
        <f t="shared" ca="1" si="33"/>
        <v>1</v>
      </c>
      <c r="J148">
        <f t="shared" ca="1" si="34"/>
        <v>1</v>
      </c>
      <c r="K148">
        <f t="shared" ca="1" si="35"/>
        <v>0</v>
      </c>
      <c r="L148">
        <f t="shared" ca="1" si="36"/>
        <v>0</v>
      </c>
      <c r="M148">
        <f t="shared" ca="1" si="37"/>
        <v>7</v>
      </c>
      <c r="N148">
        <f t="shared" ca="1" si="38"/>
        <v>0</v>
      </c>
    </row>
    <row r="149" spans="1:14" x14ac:dyDescent="0.35">
      <c r="A149" t="s">
        <v>166</v>
      </c>
      <c r="B149" t="str">
        <f t="shared" si="26"/>
        <v>Control</v>
      </c>
      <c r="C149">
        <f t="shared" ca="1" si="27"/>
        <v>23</v>
      </c>
      <c r="D149" t="str">
        <f t="shared" ca="1" si="28"/>
        <v>Female</v>
      </c>
      <c r="E149" t="str">
        <f t="shared" ca="1" si="29"/>
        <v>T-shirts</v>
      </c>
      <c r="F149">
        <f t="shared" ca="1" si="30"/>
        <v>7488</v>
      </c>
      <c r="G149">
        <f t="shared" ca="1" si="31"/>
        <v>10</v>
      </c>
      <c r="H149">
        <f t="shared" ca="1" si="32"/>
        <v>6739.2</v>
      </c>
      <c r="I149">
        <f t="shared" ca="1" si="33"/>
        <v>1</v>
      </c>
      <c r="J149">
        <f t="shared" ca="1" si="34"/>
        <v>0</v>
      </c>
      <c r="K149">
        <f t="shared" ca="1" si="35"/>
        <v>0</v>
      </c>
      <c r="L149">
        <f t="shared" ca="1" si="36"/>
        <v>0</v>
      </c>
      <c r="M149">
        <f t="shared" ca="1" si="37"/>
        <v>6</v>
      </c>
      <c r="N149">
        <f t="shared" ca="1" si="38"/>
        <v>0</v>
      </c>
    </row>
    <row r="150" spans="1:14" x14ac:dyDescent="0.35">
      <c r="A150" t="s">
        <v>167</v>
      </c>
      <c r="B150" t="str">
        <f t="shared" si="26"/>
        <v>Control</v>
      </c>
      <c r="C150">
        <f t="shared" ca="1" si="27"/>
        <v>18</v>
      </c>
      <c r="D150" t="str">
        <f t="shared" ca="1" si="28"/>
        <v>Female</v>
      </c>
      <c r="E150" t="str">
        <f t="shared" ca="1" si="29"/>
        <v>Sportswear</v>
      </c>
      <c r="F150">
        <f t="shared" ca="1" si="30"/>
        <v>3670</v>
      </c>
      <c r="G150">
        <f t="shared" ca="1" si="31"/>
        <v>10</v>
      </c>
      <c r="H150">
        <f t="shared" ca="1" si="32"/>
        <v>3303</v>
      </c>
      <c r="I150">
        <f t="shared" ca="1" si="33"/>
        <v>0</v>
      </c>
      <c r="J150">
        <f t="shared" ca="1" si="34"/>
        <v>0</v>
      </c>
      <c r="K150">
        <f t="shared" ca="1" si="35"/>
        <v>0</v>
      </c>
      <c r="L150">
        <f t="shared" ca="1" si="36"/>
        <v>0</v>
      </c>
      <c r="M150">
        <f t="shared" ca="1" si="37"/>
        <v>4</v>
      </c>
      <c r="N150">
        <f t="shared" ca="1" si="38"/>
        <v>0</v>
      </c>
    </row>
    <row r="151" spans="1:14" x14ac:dyDescent="0.35">
      <c r="A151" t="s">
        <v>168</v>
      </c>
      <c r="B151" t="str">
        <f t="shared" si="26"/>
        <v>Control</v>
      </c>
      <c r="C151">
        <f t="shared" ca="1" si="27"/>
        <v>30</v>
      </c>
      <c r="D151" t="str">
        <f t="shared" ca="1" si="28"/>
        <v>Female</v>
      </c>
      <c r="E151" t="str">
        <f t="shared" ca="1" si="29"/>
        <v>Ethnic Wear</v>
      </c>
      <c r="F151">
        <f t="shared" ca="1" si="30"/>
        <v>4482</v>
      </c>
      <c r="G151">
        <f t="shared" ca="1" si="31"/>
        <v>10</v>
      </c>
      <c r="H151">
        <f t="shared" ca="1" si="32"/>
        <v>4033.8</v>
      </c>
      <c r="I151">
        <f t="shared" ca="1" si="33"/>
        <v>1</v>
      </c>
      <c r="J151">
        <f t="shared" ca="1" si="34"/>
        <v>1</v>
      </c>
      <c r="K151">
        <f t="shared" ca="1" si="35"/>
        <v>1</v>
      </c>
      <c r="L151">
        <f t="shared" ca="1" si="36"/>
        <v>4033.8</v>
      </c>
      <c r="M151">
        <f t="shared" ca="1" si="37"/>
        <v>3</v>
      </c>
      <c r="N151">
        <f t="shared" ca="1" si="38"/>
        <v>0</v>
      </c>
    </row>
    <row r="152" spans="1:14" x14ac:dyDescent="0.35">
      <c r="A152" t="s">
        <v>169</v>
      </c>
      <c r="B152" t="str">
        <f t="shared" si="26"/>
        <v>Control</v>
      </c>
      <c r="C152">
        <f t="shared" ca="1" si="27"/>
        <v>32</v>
      </c>
      <c r="D152" t="str">
        <f t="shared" ca="1" si="28"/>
        <v>Male</v>
      </c>
      <c r="E152" t="str">
        <f t="shared" ca="1" si="29"/>
        <v>Tops</v>
      </c>
      <c r="F152">
        <f t="shared" ca="1" si="30"/>
        <v>1034</v>
      </c>
      <c r="G152">
        <f t="shared" ca="1" si="31"/>
        <v>10</v>
      </c>
      <c r="H152">
        <f t="shared" ca="1" si="32"/>
        <v>930.6</v>
      </c>
      <c r="I152">
        <f t="shared" ca="1" si="33"/>
        <v>1</v>
      </c>
      <c r="J152">
        <f t="shared" ca="1" si="34"/>
        <v>0</v>
      </c>
      <c r="K152">
        <f t="shared" ca="1" si="35"/>
        <v>0</v>
      </c>
      <c r="L152">
        <f t="shared" ca="1" si="36"/>
        <v>0</v>
      </c>
      <c r="M152">
        <f t="shared" ca="1" si="37"/>
        <v>3</v>
      </c>
      <c r="N152">
        <f t="shared" ca="1" si="38"/>
        <v>0</v>
      </c>
    </row>
    <row r="153" spans="1:14" x14ac:dyDescent="0.35">
      <c r="A153" t="s">
        <v>170</v>
      </c>
      <c r="B153" t="str">
        <f t="shared" si="26"/>
        <v>Control</v>
      </c>
      <c r="C153">
        <f t="shared" ca="1" si="27"/>
        <v>20</v>
      </c>
      <c r="D153" t="str">
        <f t="shared" ca="1" si="28"/>
        <v>Male</v>
      </c>
      <c r="E153" t="str">
        <f t="shared" ca="1" si="29"/>
        <v>Accessories</v>
      </c>
      <c r="F153">
        <f t="shared" ca="1" si="30"/>
        <v>2442</v>
      </c>
      <c r="G153">
        <f t="shared" ca="1" si="31"/>
        <v>10</v>
      </c>
      <c r="H153">
        <f t="shared" ca="1" si="32"/>
        <v>2197.8000000000002</v>
      </c>
      <c r="I153">
        <f t="shared" ca="1" si="33"/>
        <v>0</v>
      </c>
      <c r="J153">
        <f t="shared" ca="1" si="34"/>
        <v>0</v>
      </c>
      <c r="K153">
        <f t="shared" ca="1" si="35"/>
        <v>0</v>
      </c>
      <c r="L153">
        <f t="shared" ca="1" si="36"/>
        <v>0</v>
      </c>
      <c r="M153">
        <f t="shared" ca="1" si="37"/>
        <v>1</v>
      </c>
      <c r="N153">
        <f t="shared" ca="1" si="38"/>
        <v>0</v>
      </c>
    </row>
    <row r="154" spans="1:14" x14ac:dyDescent="0.35">
      <c r="A154" t="s">
        <v>171</v>
      </c>
      <c r="B154" t="str">
        <f t="shared" si="26"/>
        <v>Control</v>
      </c>
      <c r="C154">
        <f t="shared" ca="1" si="27"/>
        <v>36</v>
      </c>
      <c r="D154" t="str">
        <f t="shared" ca="1" si="28"/>
        <v>Male</v>
      </c>
      <c r="E154" t="str">
        <f t="shared" ca="1" si="29"/>
        <v>Accessories</v>
      </c>
      <c r="F154">
        <f t="shared" ca="1" si="30"/>
        <v>6100</v>
      </c>
      <c r="G154">
        <f t="shared" ca="1" si="31"/>
        <v>10</v>
      </c>
      <c r="H154">
        <f t="shared" ca="1" si="32"/>
        <v>5490</v>
      </c>
      <c r="I154">
        <f t="shared" ca="1" si="33"/>
        <v>1</v>
      </c>
      <c r="J154">
        <f t="shared" ca="1" si="34"/>
        <v>0</v>
      </c>
      <c r="K154">
        <f t="shared" ca="1" si="35"/>
        <v>0</v>
      </c>
      <c r="L154">
        <f t="shared" ca="1" si="36"/>
        <v>0</v>
      </c>
      <c r="M154">
        <f t="shared" ca="1" si="37"/>
        <v>5</v>
      </c>
      <c r="N154">
        <f t="shared" ca="1" si="38"/>
        <v>0</v>
      </c>
    </row>
    <row r="155" spans="1:14" x14ac:dyDescent="0.35">
      <c r="A155" t="s">
        <v>172</v>
      </c>
      <c r="B155" t="str">
        <f t="shared" si="26"/>
        <v>Control</v>
      </c>
      <c r="C155">
        <f t="shared" ca="1" si="27"/>
        <v>36</v>
      </c>
      <c r="D155" t="str">
        <f t="shared" ca="1" si="28"/>
        <v>Female</v>
      </c>
      <c r="E155" t="str">
        <f t="shared" ca="1" si="29"/>
        <v>T-shirts</v>
      </c>
      <c r="F155">
        <f t="shared" ca="1" si="30"/>
        <v>7404</v>
      </c>
      <c r="G155">
        <f t="shared" ca="1" si="31"/>
        <v>10</v>
      </c>
      <c r="H155">
        <f t="shared" ca="1" si="32"/>
        <v>6663.6</v>
      </c>
      <c r="I155">
        <f t="shared" ca="1" si="33"/>
        <v>1</v>
      </c>
      <c r="J155">
        <f t="shared" ca="1" si="34"/>
        <v>0</v>
      </c>
      <c r="K155">
        <f t="shared" ca="1" si="35"/>
        <v>0</v>
      </c>
      <c r="L155">
        <f t="shared" ca="1" si="36"/>
        <v>0</v>
      </c>
      <c r="M155">
        <f t="shared" ca="1" si="37"/>
        <v>7</v>
      </c>
      <c r="N155">
        <f t="shared" ca="1" si="38"/>
        <v>0</v>
      </c>
    </row>
    <row r="156" spans="1:14" x14ac:dyDescent="0.35">
      <c r="A156" t="s">
        <v>173</v>
      </c>
      <c r="B156" t="str">
        <f t="shared" si="26"/>
        <v>Control</v>
      </c>
      <c r="C156">
        <f t="shared" ca="1" si="27"/>
        <v>26</v>
      </c>
      <c r="D156" t="str">
        <f t="shared" ca="1" si="28"/>
        <v>Male</v>
      </c>
      <c r="E156" t="str">
        <f t="shared" ca="1" si="29"/>
        <v>Tops</v>
      </c>
      <c r="F156">
        <f t="shared" ca="1" si="30"/>
        <v>1402</v>
      </c>
      <c r="G156">
        <f t="shared" ca="1" si="31"/>
        <v>10</v>
      </c>
      <c r="H156">
        <f t="shared" ca="1" si="32"/>
        <v>1261.8</v>
      </c>
      <c r="I156">
        <f t="shared" ca="1" si="33"/>
        <v>0</v>
      </c>
      <c r="J156">
        <f t="shared" ca="1" si="34"/>
        <v>0</v>
      </c>
      <c r="K156">
        <f t="shared" ca="1" si="35"/>
        <v>0</v>
      </c>
      <c r="L156">
        <f t="shared" ca="1" si="36"/>
        <v>0</v>
      </c>
      <c r="M156">
        <f t="shared" ca="1" si="37"/>
        <v>6</v>
      </c>
      <c r="N156">
        <f t="shared" ca="1" si="38"/>
        <v>0</v>
      </c>
    </row>
    <row r="157" spans="1:14" x14ac:dyDescent="0.35">
      <c r="A157" t="s">
        <v>174</v>
      </c>
      <c r="B157" t="str">
        <f t="shared" si="26"/>
        <v>Control</v>
      </c>
      <c r="C157">
        <f t="shared" ca="1" si="27"/>
        <v>39</v>
      </c>
      <c r="D157" t="str">
        <f t="shared" ca="1" si="28"/>
        <v>Male</v>
      </c>
      <c r="E157" t="str">
        <f t="shared" ca="1" si="29"/>
        <v>Shoes</v>
      </c>
      <c r="F157">
        <f t="shared" ca="1" si="30"/>
        <v>3859</v>
      </c>
      <c r="G157">
        <f t="shared" ca="1" si="31"/>
        <v>10</v>
      </c>
      <c r="H157">
        <f t="shared" ca="1" si="32"/>
        <v>3473.1</v>
      </c>
      <c r="I157">
        <f t="shared" ca="1" si="33"/>
        <v>1</v>
      </c>
      <c r="J157">
        <f t="shared" ca="1" si="34"/>
        <v>1</v>
      </c>
      <c r="K157">
        <f t="shared" ca="1" si="35"/>
        <v>0</v>
      </c>
      <c r="L157">
        <f t="shared" ca="1" si="36"/>
        <v>0</v>
      </c>
      <c r="M157">
        <f t="shared" ca="1" si="37"/>
        <v>3</v>
      </c>
      <c r="N157">
        <f t="shared" ca="1" si="38"/>
        <v>0</v>
      </c>
    </row>
    <row r="158" spans="1:14" x14ac:dyDescent="0.35">
      <c r="A158" t="s">
        <v>175</v>
      </c>
      <c r="B158" t="str">
        <f t="shared" si="26"/>
        <v>Control</v>
      </c>
      <c r="C158">
        <f t="shared" ca="1" si="27"/>
        <v>40</v>
      </c>
      <c r="D158" t="str">
        <f t="shared" ca="1" si="28"/>
        <v>Female</v>
      </c>
      <c r="E158" t="str">
        <f t="shared" ca="1" si="29"/>
        <v>Sportswear</v>
      </c>
      <c r="F158">
        <f t="shared" ca="1" si="30"/>
        <v>1769</v>
      </c>
      <c r="G158">
        <f t="shared" ca="1" si="31"/>
        <v>10</v>
      </c>
      <c r="H158">
        <f t="shared" ca="1" si="32"/>
        <v>1592.1000000000001</v>
      </c>
      <c r="I158">
        <f t="shared" ca="1" si="33"/>
        <v>1</v>
      </c>
      <c r="J158">
        <f t="shared" ca="1" si="34"/>
        <v>1</v>
      </c>
      <c r="K158">
        <f t="shared" ca="1" si="35"/>
        <v>1</v>
      </c>
      <c r="L158">
        <f t="shared" ca="1" si="36"/>
        <v>1592.1000000000001</v>
      </c>
      <c r="M158">
        <f t="shared" ca="1" si="37"/>
        <v>6</v>
      </c>
      <c r="N158">
        <f t="shared" ca="1" si="38"/>
        <v>0</v>
      </c>
    </row>
    <row r="159" spans="1:14" x14ac:dyDescent="0.35">
      <c r="A159" t="s">
        <v>176</v>
      </c>
      <c r="B159" t="str">
        <f t="shared" si="26"/>
        <v>Control</v>
      </c>
      <c r="C159">
        <f t="shared" ca="1" si="27"/>
        <v>27</v>
      </c>
      <c r="D159" t="str">
        <f t="shared" ca="1" si="28"/>
        <v>Female</v>
      </c>
      <c r="E159" t="str">
        <f t="shared" ca="1" si="29"/>
        <v>Dresses</v>
      </c>
      <c r="F159">
        <f t="shared" ca="1" si="30"/>
        <v>7302</v>
      </c>
      <c r="G159">
        <f t="shared" ca="1" si="31"/>
        <v>10</v>
      </c>
      <c r="H159">
        <f t="shared" ca="1" si="32"/>
        <v>6571.8</v>
      </c>
      <c r="I159">
        <f t="shared" ca="1" si="33"/>
        <v>1</v>
      </c>
      <c r="J159">
        <f t="shared" ca="1" si="34"/>
        <v>1</v>
      </c>
      <c r="K159">
        <f t="shared" ca="1" si="35"/>
        <v>1</v>
      </c>
      <c r="L159">
        <f t="shared" ca="1" si="36"/>
        <v>6571.8</v>
      </c>
      <c r="M159">
        <f t="shared" ca="1" si="37"/>
        <v>5</v>
      </c>
      <c r="N159">
        <f t="shared" ca="1" si="38"/>
        <v>0</v>
      </c>
    </row>
    <row r="160" spans="1:14" x14ac:dyDescent="0.35">
      <c r="A160" t="s">
        <v>177</v>
      </c>
      <c r="B160" t="str">
        <f t="shared" si="26"/>
        <v>Control</v>
      </c>
      <c r="C160">
        <f t="shared" ca="1" si="27"/>
        <v>23</v>
      </c>
      <c r="D160" t="str">
        <f t="shared" ca="1" si="28"/>
        <v>Female</v>
      </c>
      <c r="E160" t="str">
        <f t="shared" ca="1" si="29"/>
        <v>Shoes</v>
      </c>
      <c r="F160">
        <f t="shared" ca="1" si="30"/>
        <v>1264</v>
      </c>
      <c r="G160">
        <f t="shared" ca="1" si="31"/>
        <v>10</v>
      </c>
      <c r="H160">
        <f t="shared" ca="1" si="32"/>
        <v>1137.6000000000001</v>
      </c>
      <c r="I160">
        <f t="shared" ca="1" si="33"/>
        <v>1</v>
      </c>
      <c r="J160">
        <f t="shared" ca="1" si="34"/>
        <v>0</v>
      </c>
      <c r="K160">
        <f t="shared" ca="1" si="35"/>
        <v>0</v>
      </c>
      <c r="L160">
        <f t="shared" ca="1" si="36"/>
        <v>0</v>
      </c>
      <c r="M160">
        <f t="shared" ca="1" si="37"/>
        <v>3</v>
      </c>
      <c r="N160">
        <f t="shared" ca="1" si="38"/>
        <v>0</v>
      </c>
    </row>
    <row r="161" spans="1:14" x14ac:dyDescent="0.35">
      <c r="A161" t="s">
        <v>178</v>
      </c>
      <c r="B161" t="str">
        <f t="shared" si="26"/>
        <v>Control</v>
      </c>
      <c r="C161">
        <f t="shared" ca="1" si="27"/>
        <v>18</v>
      </c>
      <c r="D161" t="str">
        <f t="shared" ca="1" si="28"/>
        <v>Male</v>
      </c>
      <c r="E161" t="str">
        <f t="shared" ca="1" si="29"/>
        <v>Dresses</v>
      </c>
      <c r="F161">
        <f t="shared" ca="1" si="30"/>
        <v>5057</v>
      </c>
      <c r="G161">
        <f t="shared" ca="1" si="31"/>
        <v>10</v>
      </c>
      <c r="H161">
        <f t="shared" ca="1" si="32"/>
        <v>4551.3</v>
      </c>
      <c r="I161">
        <f t="shared" ca="1" si="33"/>
        <v>1</v>
      </c>
      <c r="J161">
        <f t="shared" ca="1" si="34"/>
        <v>0</v>
      </c>
      <c r="K161">
        <f t="shared" ca="1" si="35"/>
        <v>0</v>
      </c>
      <c r="L161">
        <f t="shared" ca="1" si="36"/>
        <v>0</v>
      </c>
      <c r="M161">
        <f t="shared" ca="1" si="37"/>
        <v>3</v>
      </c>
      <c r="N161">
        <f t="shared" ca="1" si="38"/>
        <v>0</v>
      </c>
    </row>
    <row r="162" spans="1:14" x14ac:dyDescent="0.35">
      <c r="A162" t="s">
        <v>179</v>
      </c>
      <c r="B162" t="str">
        <f t="shared" si="26"/>
        <v>Control</v>
      </c>
      <c r="C162">
        <f t="shared" ca="1" si="27"/>
        <v>45</v>
      </c>
      <c r="D162" t="str">
        <f t="shared" ca="1" si="28"/>
        <v>Female</v>
      </c>
      <c r="E162" t="str">
        <f t="shared" ca="1" si="29"/>
        <v>Sportswear</v>
      </c>
      <c r="F162">
        <f t="shared" ca="1" si="30"/>
        <v>4006</v>
      </c>
      <c r="G162">
        <f t="shared" ca="1" si="31"/>
        <v>10</v>
      </c>
      <c r="H162">
        <f t="shared" ca="1" si="32"/>
        <v>3605.4</v>
      </c>
      <c r="I162">
        <f t="shared" ca="1" si="33"/>
        <v>1</v>
      </c>
      <c r="J162">
        <f t="shared" ca="1" si="34"/>
        <v>1</v>
      </c>
      <c r="K162">
        <f t="shared" ca="1" si="35"/>
        <v>0</v>
      </c>
      <c r="L162">
        <f t="shared" ca="1" si="36"/>
        <v>0</v>
      </c>
      <c r="M162">
        <f t="shared" ca="1" si="37"/>
        <v>7</v>
      </c>
      <c r="N162">
        <f t="shared" ca="1" si="38"/>
        <v>0</v>
      </c>
    </row>
    <row r="163" spans="1:14" x14ac:dyDescent="0.35">
      <c r="A163" t="s">
        <v>180</v>
      </c>
      <c r="B163" t="str">
        <f t="shared" si="26"/>
        <v>Control</v>
      </c>
      <c r="C163">
        <f t="shared" ca="1" si="27"/>
        <v>37</v>
      </c>
      <c r="D163" t="str">
        <f t="shared" ca="1" si="28"/>
        <v>Female</v>
      </c>
      <c r="E163" t="str">
        <f t="shared" ca="1" si="29"/>
        <v>T-shirts</v>
      </c>
      <c r="F163">
        <f t="shared" ca="1" si="30"/>
        <v>5806</v>
      </c>
      <c r="G163">
        <f t="shared" ca="1" si="31"/>
        <v>10</v>
      </c>
      <c r="H163">
        <f t="shared" ca="1" si="32"/>
        <v>5225.4000000000005</v>
      </c>
      <c r="I163">
        <f t="shared" ca="1" si="33"/>
        <v>1</v>
      </c>
      <c r="J163">
        <f t="shared" ca="1" si="34"/>
        <v>1</v>
      </c>
      <c r="K163">
        <f t="shared" ca="1" si="35"/>
        <v>1</v>
      </c>
      <c r="L163">
        <f t="shared" ca="1" si="36"/>
        <v>5225.4000000000005</v>
      </c>
      <c r="M163">
        <f t="shared" ca="1" si="37"/>
        <v>5</v>
      </c>
      <c r="N163">
        <f t="shared" ca="1" si="38"/>
        <v>0</v>
      </c>
    </row>
    <row r="164" spans="1:14" x14ac:dyDescent="0.35">
      <c r="A164" t="s">
        <v>181</v>
      </c>
      <c r="B164" t="str">
        <f t="shared" si="26"/>
        <v>Control</v>
      </c>
      <c r="C164">
        <f t="shared" ca="1" si="27"/>
        <v>44</v>
      </c>
      <c r="D164" t="str">
        <f t="shared" ca="1" si="28"/>
        <v>Female</v>
      </c>
      <c r="E164" t="str">
        <f t="shared" ca="1" si="29"/>
        <v>Tops</v>
      </c>
      <c r="F164">
        <f t="shared" ca="1" si="30"/>
        <v>2176</v>
      </c>
      <c r="G164">
        <f t="shared" ca="1" si="31"/>
        <v>10</v>
      </c>
      <c r="H164">
        <f t="shared" ca="1" si="32"/>
        <v>1958.4</v>
      </c>
      <c r="I164">
        <f t="shared" ca="1" si="33"/>
        <v>1</v>
      </c>
      <c r="J164">
        <f t="shared" ca="1" si="34"/>
        <v>0</v>
      </c>
      <c r="K164">
        <f t="shared" ca="1" si="35"/>
        <v>0</v>
      </c>
      <c r="L164">
        <f t="shared" ca="1" si="36"/>
        <v>0</v>
      </c>
      <c r="M164">
        <f t="shared" ca="1" si="37"/>
        <v>2</v>
      </c>
      <c r="N164">
        <f t="shared" ca="1" si="38"/>
        <v>0</v>
      </c>
    </row>
    <row r="165" spans="1:14" x14ac:dyDescent="0.35">
      <c r="A165" t="s">
        <v>182</v>
      </c>
      <c r="B165" t="str">
        <f t="shared" si="26"/>
        <v>Control</v>
      </c>
      <c r="C165">
        <f t="shared" ca="1" si="27"/>
        <v>23</v>
      </c>
      <c r="D165" t="str">
        <f t="shared" ca="1" si="28"/>
        <v>Male</v>
      </c>
      <c r="E165" t="str">
        <f t="shared" ca="1" si="29"/>
        <v>T-shirts</v>
      </c>
      <c r="F165">
        <f t="shared" ca="1" si="30"/>
        <v>7191</v>
      </c>
      <c r="G165">
        <f t="shared" ca="1" si="31"/>
        <v>10</v>
      </c>
      <c r="H165">
        <f t="shared" ca="1" si="32"/>
        <v>6471.9000000000005</v>
      </c>
      <c r="I165">
        <f t="shared" ca="1" si="33"/>
        <v>1</v>
      </c>
      <c r="J165">
        <f t="shared" ca="1" si="34"/>
        <v>0</v>
      </c>
      <c r="K165">
        <f t="shared" ca="1" si="35"/>
        <v>0</v>
      </c>
      <c r="L165">
        <f t="shared" ca="1" si="36"/>
        <v>0</v>
      </c>
      <c r="M165">
        <f t="shared" ca="1" si="37"/>
        <v>3</v>
      </c>
      <c r="N165">
        <f t="shared" ca="1" si="38"/>
        <v>0</v>
      </c>
    </row>
    <row r="166" spans="1:14" x14ac:dyDescent="0.35">
      <c r="A166" t="s">
        <v>183</v>
      </c>
      <c r="B166" t="str">
        <f t="shared" si="26"/>
        <v>Control</v>
      </c>
      <c r="C166">
        <f t="shared" ca="1" si="27"/>
        <v>45</v>
      </c>
      <c r="D166" t="str">
        <f t="shared" ca="1" si="28"/>
        <v>Female</v>
      </c>
      <c r="E166" t="str">
        <f t="shared" ca="1" si="29"/>
        <v>Accessories</v>
      </c>
      <c r="F166">
        <f t="shared" ca="1" si="30"/>
        <v>2456</v>
      </c>
      <c r="G166">
        <f t="shared" ca="1" si="31"/>
        <v>10</v>
      </c>
      <c r="H166">
        <f t="shared" ca="1" si="32"/>
        <v>2210.4</v>
      </c>
      <c r="I166">
        <f t="shared" ca="1" si="33"/>
        <v>1</v>
      </c>
      <c r="J166">
        <f t="shared" ca="1" si="34"/>
        <v>1</v>
      </c>
      <c r="K166">
        <f t="shared" ca="1" si="35"/>
        <v>1</v>
      </c>
      <c r="L166">
        <f t="shared" ca="1" si="36"/>
        <v>2210.4</v>
      </c>
      <c r="M166">
        <f t="shared" ca="1" si="37"/>
        <v>2</v>
      </c>
      <c r="N166">
        <f t="shared" ca="1" si="38"/>
        <v>0</v>
      </c>
    </row>
    <row r="167" spans="1:14" x14ac:dyDescent="0.35">
      <c r="A167" t="s">
        <v>184</v>
      </c>
      <c r="B167" t="str">
        <f t="shared" si="26"/>
        <v>Control</v>
      </c>
      <c r="C167">
        <f t="shared" ca="1" si="27"/>
        <v>19</v>
      </c>
      <c r="D167" t="str">
        <f t="shared" ca="1" si="28"/>
        <v>Male</v>
      </c>
      <c r="E167" t="str">
        <f t="shared" ca="1" si="29"/>
        <v>Accessories</v>
      </c>
      <c r="F167">
        <f t="shared" ca="1" si="30"/>
        <v>4677</v>
      </c>
      <c r="G167">
        <f t="shared" ca="1" si="31"/>
        <v>10</v>
      </c>
      <c r="H167">
        <f t="shared" ca="1" si="32"/>
        <v>4209.3</v>
      </c>
      <c r="I167">
        <f t="shared" ca="1" si="33"/>
        <v>1</v>
      </c>
      <c r="J167">
        <f t="shared" ca="1" si="34"/>
        <v>1</v>
      </c>
      <c r="K167">
        <f t="shared" ca="1" si="35"/>
        <v>1</v>
      </c>
      <c r="L167">
        <f t="shared" ca="1" si="36"/>
        <v>4209.3</v>
      </c>
      <c r="M167">
        <f t="shared" ca="1" si="37"/>
        <v>1</v>
      </c>
      <c r="N167">
        <f t="shared" ca="1" si="38"/>
        <v>0</v>
      </c>
    </row>
    <row r="168" spans="1:14" x14ac:dyDescent="0.35">
      <c r="A168" t="s">
        <v>185</v>
      </c>
      <c r="B168" t="str">
        <f t="shared" si="26"/>
        <v>Control</v>
      </c>
      <c r="C168">
        <f t="shared" ca="1" si="27"/>
        <v>26</v>
      </c>
      <c r="D168" t="str">
        <f t="shared" ca="1" si="28"/>
        <v>Male</v>
      </c>
      <c r="E168" t="str">
        <f t="shared" ca="1" si="29"/>
        <v>Accessories</v>
      </c>
      <c r="F168">
        <f t="shared" ca="1" si="30"/>
        <v>2485</v>
      </c>
      <c r="G168">
        <f t="shared" ca="1" si="31"/>
        <v>10</v>
      </c>
      <c r="H168">
        <f t="shared" ca="1" si="32"/>
        <v>2236.5</v>
      </c>
      <c r="I168">
        <f t="shared" ca="1" si="33"/>
        <v>1</v>
      </c>
      <c r="J168">
        <f t="shared" ca="1" si="34"/>
        <v>0</v>
      </c>
      <c r="K168">
        <f t="shared" ca="1" si="35"/>
        <v>0</v>
      </c>
      <c r="L168">
        <f t="shared" ca="1" si="36"/>
        <v>0</v>
      </c>
      <c r="M168">
        <f t="shared" ca="1" si="37"/>
        <v>1</v>
      </c>
      <c r="N168">
        <f t="shared" ca="1" si="38"/>
        <v>0</v>
      </c>
    </row>
    <row r="169" spans="1:14" x14ac:dyDescent="0.35">
      <c r="A169" t="s">
        <v>186</v>
      </c>
      <c r="B169" t="str">
        <f t="shared" si="26"/>
        <v>Control</v>
      </c>
      <c r="C169">
        <f t="shared" ca="1" si="27"/>
        <v>22</v>
      </c>
      <c r="D169" t="str">
        <f t="shared" ca="1" si="28"/>
        <v>Female</v>
      </c>
      <c r="E169" t="str">
        <f t="shared" ca="1" si="29"/>
        <v>Jeans</v>
      </c>
      <c r="F169">
        <f t="shared" ca="1" si="30"/>
        <v>726</v>
      </c>
      <c r="G169">
        <f t="shared" ca="1" si="31"/>
        <v>10</v>
      </c>
      <c r="H169">
        <f t="shared" ca="1" si="32"/>
        <v>653.4</v>
      </c>
      <c r="I169">
        <f t="shared" ca="1" si="33"/>
        <v>1</v>
      </c>
      <c r="J169">
        <f t="shared" ca="1" si="34"/>
        <v>0</v>
      </c>
      <c r="K169">
        <f t="shared" ca="1" si="35"/>
        <v>0</v>
      </c>
      <c r="L169">
        <f t="shared" ca="1" si="36"/>
        <v>0</v>
      </c>
      <c r="M169">
        <f t="shared" ca="1" si="37"/>
        <v>4</v>
      </c>
      <c r="N169">
        <f t="shared" ca="1" si="38"/>
        <v>0</v>
      </c>
    </row>
    <row r="170" spans="1:14" x14ac:dyDescent="0.35">
      <c r="A170" t="s">
        <v>187</v>
      </c>
      <c r="B170" t="str">
        <f t="shared" si="26"/>
        <v>Control</v>
      </c>
      <c r="C170">
        <f t="shared" ca="1" si="27"/>
        <v>25</v>
      </c>
      <c r="D170" t="str">
        <f t="shared" ca="1" si="28"/>
        <v>Female</v>
      </c>
      <c r="E170" t="str">
        <f t="shared" ca="1" si="29"/>
        <v>Jeans</v>
      </c>
      <c r="F170">
        <f t="shared" ca="1" si="30"/>
        <v>5991</v>
      </c>
      <c r="G170">
        <f t="shared" ca="1" si="31"/>
        <v>10</v>
      </c>
      <c r="H170">
        <f t="shared" ca="1" si="32"/>
        <v>5391.9000000000005</v>
      </c>
      <c r="I170">
        <f t="shared" ca="1" si="33"/>
        <v>0</v>
      </c>
      <c r="J170">
        <f t="shared" ca="1" si="34"/>
        <v>0</v>
      </c>
      <c r="K170">
        <f t="shared" ca="1" si="35"/>
        <v>0</v>
      </c>
      <c r="L170">
        <f t="shared" ca="1" si="36"/>
        <v>0</v>
      </c>
      <c r="M170">
        <f t="shared" ca="1" si="37"/>
        <v>6</v>
      </c>
      <c r="N170">
        <f t="shared" ca="1" si="38"/>
        <v>0</v>
      </c>
    </row>
    <row r="171" spans="1:14" x14ac:dyDescent="0.35">
      <c r="A171" t="s">
        <v>188</v>
      </c>
      <c r="B171" t="str">
        <f t="shared" si="26"/>
        <v>Control</v>
      </c>
      <c r="C171">
        <f t="shared" ca="1" si="27"/>
        <v>39</v>
      </c>
      <c r="D171" t="str">
        <f t="shared" ca="1" si="28"/>
        <v>Male</v>
      </c>
      <c r="E171" t="str">
        <f t="shared" ca="1" si="29"/>
        <v>Accessories</v>
      </c>
      <c r="F171">
        <f t="shared" ca="1" si="30"/>
        <v>2110</v>
      </c>
      <c r="G171">
        <f t="shared" ca="1" si="31"/>
        <v>10</v>
      </c>
      <c r="H171">
        <f t="shared" ca="1" si="32"/>
        <v>1899</v>
      </c>
      <c r="I171">
        <f t="shared" ca="1" si="33"/>
        <v>1</v>
      </c>
      <c r="J171">
        <f t="shared" ca="1" si="34"/>
        <v>0</v>
      </c>
      <c r="K171">
        <f t="shared" ca="1" si="35"/>
        <v>0</v>
      </c>
      <c r="L171">
        <f t="shared" ca="1" si="36"/>
        <v>0</v>
      </c>
      <c r="M171">
        <f t="shared" ca="1" si="37"/>
        <v>4</v>
      </c>
      <c r="N171">
        <f t="shared" ca="1" si="38"/>
        <v>0</v>
      </c>
    </row>
    <row r="172" spans="1:14" x14ac:dyDescent="0.35">
      <c r="A172" t="s">
        <v>189</v>
      </c>
      <c r="B172" t="str">
        <f t="shared" si="26"/>
        <v>Control</v>
      </c>
      <c r="C172">
        <f t="shared" ca="1" si="27"/>
        <v>23</v>
      </c>
      <c r="D172" t="str">
        <f t="shared" ca="1" si="28"/>
        <v>Male</v>
      </c>
      <c r="E172" t="str">
        <f t="shared" ca="1" si="29"/>
        <v>Shoes</v>
      </c>
      <c r="F172">
        <f t="shared" ca="1" si="30"/>
        <v>1396</v>
      </c>
      <c r="G172">
        <f t="shared" ca="1" si="31"/>
        <v>10</v>
      </c>
      <c r="H172">
        <f t="shared" ca="1" si="32"/>
        <v>1256.4000000000001</v>
      </c>
      <c r="I172">
        <f t="shared" ca="1" si="33"/>
        <v>1</v>
      </c>
      <c r="J172">
        <f t="shared" ca="1" si="34"/>
        <v>1</v>
      </c>
      <c r="K172">
        <f t="shared" ca="1" si="35"/>
        <v>0</v>
      </c>
      <c r="L172">
        <f t="shared" ca="1" si="36"/>
        <v>0</v>
      </c>
      <c r="M172">
        <f t="shared" ca="1" si="37"/>
        <v>2</v>
      </c>
      <c r="N172">
        <f t="shared" ca="1" si="38"/>
        <v>0</v>
      </c>
    </row>
    <row r="173" spans="1:14" x14ac:dyDescent="0.35">
      <c r="A173" t="s">
        <v>190</v>
      </c>
      <c r="B173" t="str">
        <f t="shared" si="26"/>
        <v>Control</v>
      </c>
      <c r="C173">
        <f t="shared" ca="1" si="27"/>
        <v>28</v>
      </c>
      <c r="D173" t="str">
        <f t="shared" ca="1" si="28"/>
        <v>Male</v>
      </c>
      <c r="E173" t="str">
        <f t="shared" ca="1" si="29"/>
        <v>Shoes</v>
      </c>
      <c r="F173">
        <f t="shared" ca="1" si="30"/>
        <v>7628</v>
      </c>
      <c r="G173">
        <f t="shared" ca="1" si="31"/>
        <v>10</v>
      </c>
      <c r="H173">
        <f t="shared" ca="1" si="32"/>
        <v>6865.2</v>
      </c>
      <c r="I173">
        <f t="shared" ca="1" si="33"/>
        <v>1</v>
      </c>
      <c r="J173">
        <f t="shared" ca="1" si="34"/>
        <v>0</v>
      </c>
      <c r="K173">
        <f t="shared" ca="1" si="35"/>
        <v>0</v>
      </c>
      <c r="L173">
        <f t="shared" ca="1" si="36"/>
        <v>0</v>
      </c>
      <c r="M173">
        <f t="shared" ca="1" si="37"/>
        <v>4</v>
      </c>
      <c r="N173">
        <f t="shared" ca="1" si="38"/>
        <v>0</v>
      </c>
    </row>
    <row r="174" spans="1:14" x14ac:dyDescent="0.35">
      <c r="A174" t="s">
        <v>191</v>
      </c>
      <c r="B174" t="str">
        <f t="shared" si="26"/>
        <v>Control</v>
      </c>
      <c r="C174">
        <f t="shared" ca="1" si="27"/>
        <v>28</v>
      </c>
      <c r="D174" t="str">
        <f t="shared" ca="1" si="28"/>
        <v>Female</v>
      </c>
      <c r="E174" t="str">
        <f t="shared" ca="1" si="29"/>
        <v>Sportswear</v>
      </c>
      <c r="F174">
        <f t="shared" ca="1" si="30"/>
        <v>3314</v>
      </c>
      <c r="G174">
        <f t="shared" ca="1" si="31"/>
        <v>10</v>
      </c>
      <c r="H174">
        <f t="shared" ca="1" si="32"/>
        <v>2982.6</v>
      </c>
      <c r="I174">
        <f t="shared" ca="1" si="33"/>
        <v>1</v>
      </c>
      <c r="J174">
        <f t="shared" ca="1" si="34"/>
        <v>1</v>
      </c>
      <c r="K174">
        <f t="shared" ca="1" si="35"/>
        <v>0</v>
      </c>
      <c r="L174">
        <f t="shared" ca="1" si="36"/>
        <v>0</v>
      </c>
      <c r="M174">
        <f t="shared" ca="1" si="37"/>
        <v>5</v>
      </c>
      <c r="N174">
        <f t="shared" ca="1" si="38"/>
        <v>0</v>
      </c>
    </row>
    <row r="175" spans="1:14" x14ac:dyDescent="0.35">
      <c r="A175" t="s">
        <v>192</v>
      </c>
      <c r="B175" t="str">
        <f t="shared" si="26"/>
        <v>Control</v>
      </c>
      <c r="C175">
        <f t="shared" ca="1" si="27"/>
        <v>35</v>
      </c>
      <c r="D175" t="str">
        <f t="shared" ca="1" si="28"/>
        <v>Male</v>
      </c>
      <c r="E175" t="str">
        <f t="shared" ca="1" si="29"/>
        <v>Sportswear</v>
      </c>
      <c r="F175">
        <f t="shared" ca="1" si="30"/>
        <v>1760</v>
      </c>
      <c r="G175">
        <f t="shared" ca="1" si="31"/>
        <v>10</v>
      </c>
      <c r="H175">
        <f t="shared" ca="1" si="32"/>
        <v>1584</v>
      </c>
      <c r="I175">
        <f t="shared" ca="1" si="33"/>
        <v>1</v>
      </c>
      <c r="J175">
        <f t="shared" ca="1" si="34"/>
        <v>0</v>
      </c>
      <c r="K175">
        <f t="shared" ca="1" si="35"/>
        <v>0</v>
      </c>
      <c r="L175">
        <f t="shared" ca="1" si="36"/>
        <v>0</v>
      </c>
      <c r="M175">
        <f t="shared" ca="1" si="37"/>
        <v>6</v>
      </c>
      <c r="N175">
        <f t="shared" ca="1" si="38"/>
        <v>0</v>
      </c>
    </row>
    <row r="176" spans="1:14" x14ac:dyDescent="0.35">
      <c r="A176" t="s">
        <v>193</v>
      </c>
      <c r="B176" t="str">
        <f t="shared" si="26"/>
        <v>Control</v>
      </c>
      <c r="C176">
        <f t="shared" ca="1" si="27"/>
        <v>24</v>
      </c>
      <c r="D176" t="str">
        <f t="shared" ca="1" si="28"/>
        <v>Female</v>
      </c>
      <c r="E176" t="str">
        <f t="shared" ca="1" si="29"/>
        <v>Sportswear</v>
      </c>
      <c r="F176">
        <f t="shared" ca="1" si="30"/>
        <v>1520</v>
      </c>
      <c r="G176">
        <f t="shared" ca="1" si="31"/>
        <v>10</v>
      </c>
      <c r="H176">
        <f t="shared" ca="1" si="32"/>
        <v>1368</v>
      </c>
      <c r="I176">
        <f t="shared" ca="1" si="33"/>
        <v>1</v>
      </c>
      <c r="J176">
        <f t="shared" ca="1" si="34"/>
        <v>0</v>
      </c>
      <c r="K176">
        <f t="shared" ca="1" si="35"/>
        <v>0</v>
      </c>
      <c r="L176">
        <f t="shared" ca="1" si="36"/>
        <v>0</v>
      </c>
      <c r="M176">
        <f t="shared" ca="1" si="37"/>
        <v>4</v>
      </c>
      <c r="N176">
        <f t="shared" ca="1" si="38"/>
        <v>0</v>
      </c>
    </row>
    <row r="177" spans="1:14" x14ac:dyDescent="0.35">
      <c r="A177" t="s">
        <v>194</v>
      </c>
      <c r="B177" t="str">
        <f t="shared" si="26"/>
        <v>Control</v>
      </c>
      <c r="C177">
        <f t="shared" ca="1" si="27"/>
        <v>37</v>
      </c>
      <c r="D177" t="str">
        <f t="shared" ca="1" si="28"/>
        <v>Female</v>
      </c>
      <c r="E177" t="str">
        <f t="shared" ca="1" si="29"/>
        <v>Dresses</v>
      </c>
      <c r="F177">
        <f t="shared" ca="1" si="30"/>
        <v>4575</v>
      </c>
      <c r="G177">
        <f t="shared" ca="1" si="31"/>
        <v>10</v>
      </c>
      <c r="H177">
        <f t="shared" ca="1" si="32"/>
        <v>4117.5</v>
      </c>
      <c r="I177">
        <f t="shared" ca="1" si="33"/>
        <v>1</v>
      </c>
      <c r="J177">
        <f t="shared" ca="1" si="34"/>
        <v>1</v>
      </c>
      <c r="K177">
        <f t="shared" ca="1" si="35"/>
        <v>0</v>
      </c>
      <c r="L177">
        <f t="shared" ca="1" si="36"/>
        <v>0</v>
      </c>
      <c r="M177">
        <f t="shared" ca="1" si="37"/>
        <v>7</v>
      </c>
      <c r="N177">
        <f t="shared" ca="1" si="38"/>
        <v>0</v>
      </c>
    </row>
    <row r="178" spans="1:14" x14ac:dyDescent="0.35">
      <c r="A178" t="s">
        <v>195</v>
      </c>
      <c r="B178" t="str">
        <f t="shared" si="26"/>
        <v>Control</v>
      </c>
      <c r="C178">
        <f t="shared" ca="1" si="27"/>
        <v>40</v>
      </c>
      <c r="D178" t="str">
        <f t="shared" ca="1" si="28"/>
        <v>Male</v>
      </c>
      <c r="E178" t="str">
        <f t="shared" ca="1" si="29"/>
        <v>Sportswear</v>
      </c>
      <c r="F178">
        <f t="shared" ca="1" si="30"/>
        <v>3332</v>
      </c>
      <c r="G178">
        <f t="shared" ca="1" si="31"/>
        <v>10</v>
      </c>
      <c r="H178">
        <f t="shared" ca="1" si="32"/>
        <v>2998.8</v>
      </c>
      <c r="I178">
        <f t="shared" ca="1" si="33"/>
        <v>1</v>
      </c>
      <c r="J178">
        <f t="shared" ca="1" si="34"/>
        <v>0</v>
      </c>
      <c r="K178">
        <f t="shared" ca="1" si="35"/>
        <v>0</v>
      </c>
      <c r="L178">
        <f t="shared" ca="1" si="36"/>
        <v>0</v>
      </c>
      <c r="M178">
        <f t="shared" ca="1" si="37"/>
        <v>5</v>
      </c>
      <c r="N178">
        <f t="shared" ca="1" si="38"/>
        <v>0</v>
      </c>
    </row>
    <row r="179" spans="1:14" x14ac:dyDescent="0.35">
      <c r="A179" t="s">
        <v>196</v>
      </c>
      <c r="B179" t="str">
        <f t="shared" si="26"/>
        <v>Control</v>
      </c>
      <c r="C179">
        <f t="shared" ca="1" si="27"/>
        <v>24</v>
      </c>
      <c r="D179" t="str">
        <f t="shared" ca="1" si="28"/>
        <v>Female</v>
      </c>
      <c r="E179" t="str">
        <f t="shared" ca="1" si="29"/>
        <v>Sportswear</v>
      </c>
      <c r="F179">
        <f t="shared" ca="1" si="30"/>
        <v>532</v>
      </c>
      <c r="G179">
        <f t="shared" ca="1" si="31"/>
        <v>10</v>
      </c>
      <c r="H179">
        <f t="shared" ca="1" si="32"/>
        <v>478.8</v>
      </c>
      <c r="I179">
        <f t="shared" ca="1" si="33"/>
        <v>0</v>
      </c>
      <c r="J179">
        <f t="shared" ca="1" si="34"/>
        <v>0</v>
      </c>
      <c r="K179">
        <f t="shared" ca="1" si="35"/>
        <v>0</v>
      </c>
      <c r="L179">
        <f t="shared" ca="1" si="36"/>
        <v>0</v>
      </c>
      <c r="M179">
        <f t="shared" ca="1" si="37"/>
        <v>5</v>
      </c>
      <c r="N179">
        <f t="shared" ca="1" si="38"/>
        <v>0</v>
      </c>
    </row>
    <row r="180" spans="1:14" x14ac:dyDescent="0.35">
      <c r="A180" t="s">
        <v>197</v>
      </c>
      <c r="B180" t="str">
        <f t="shared" si="26"/>
        <v>Control</v>
      </c>
      <c r="C180">
        <f t="shared" ca="1" si="27"/>
        <v>20</v>
      </c>
      <c r="D180" t="str">
        <f t="shared" ca="1" si="28"/>
        <v>Male</v>
      </c>
      <c r="E180" t="str">
        <f t="shared" ca="1" si="29"/>
        <v>Jeans</v>
      </c>
      <c r="F180">
        <f t="shared" ca="1" si="30"/>
        <v>6803</v>
      </c>
      <c r="G180">
        <f t="shared" ca="1" si="31"/>
        <v>10</v>
      </c>
      <c r="H180">
        <f t="shared" ca="1" si="32"/>
        <v>6122.7</v>
      </c>
      <c r="I180">
        <f t="shared" ca="1" si="33"/>
        <v>1</v>
      </c>
      <c r="J180">
        <f t="shared" ca="1" si="34"/>
        <v>0</v>
      </c>
      <c r="K180">
        <f t="shared" ca="1" si="35"/>
        <v>0</v>
      </c>
      <c r="L180">
        <f t="shared" ca="1" si="36"/>
        <v>0</v>
      </c>
      <c r="M180">
        <f t="shared" ca="1" si="37"/>
        <v>4</v>
      </c>
      <c r="N180">
        <f t="shared" ca="1" si="38"/>
        <v>0</v>
      </c>
    </row>
    <row r="181" spans="1:14" x14ac:dyDescent="0.35">
      <c r="A181" t="s">
        <v>198</v>
      </c>
      <c r="B181" t="str">
        <f t="shared" si="26"/>
        <v>Control</v>
      </c>
      <c r="C181">
        <f t="shared" ca="1" si="27"/>
        <v>44</v>
      </c>
      <c r="D181" t="str">
        <f t="shared" ca="1" si="28"/>
        <v>Female</v>
      </c>
      <c r="E181" t="str">
        <f t="shared" ca="1" si="29"/>
        <v>Ethnic Wear</v>
      </c>
      <c r="F181">
        <f t="shared" ca="1" si="30"/>
        <v>5415</v>
      </c>
      <c r="G181">
        <f t="shared" ca="1" si="31"/>
        <v>10</v>
      </c>
      <c r="H181">
        <f t="shared" ca="1" si="32"/>
        <v>4873.5</v>
      </c>
      <c r="I181">
        <f t="shared" ca="1" si="33"/>
        <v>1</v>
      </c>
      <c r="J181">
        <f t="shared" ca="1" si="34"/>
        <v>1</v>
      </c>
      <c r="K181">
        <f t="shared" ca="1" si="35"/>
        <v>0</v>
      </c>
      <c r="L181">
        <f t="shared" ca="1" si="36"/>
        <v>0</v>
      </c>
      <c r="M181">
        <f t="shared" ca="1" si="37"/>
        <v>1</v>
      </c>
      <c r="N181">
        <f t="shared" ca="1" si="38"/>
        <v>0</v>
      </c>
    </row>
    <row r="182" spans="1:14" x14ac:dyDescent="0.35">
      <c r="A182" t="s">
        <v>199</v>
      </c>
      <c r="B182" t="str">
        <f t="shared" si="26"/>
        <v>Control</v>
      </c>
      <c r="C182">
        <f t="shared" ca="1" si="27"/>
        <v>35</v>
      </c>
      <c r="D182" t="str">
        <f t="shared" ca="1" si="28"/>
        <v>Female</v>
      </c>
      <c r="E182" t="str">
        <f t="shared" ca="1" si="29"/>
        <v>Dresses</v>
      </c>
      <c r="F182">
        <f t="shared" ca="1" si="30"/>
        <v>6460</v>
      </c>
      <c r="G182">
        <f t="shared" ca="1" si="31"/>
        <v>10</v>
      </c>
      <c r="H182">
        <f t="shared" ca="1" si="32"/>
        <v>5814</v>
      </c>
      <c r="I182">
        <f t="shared" ca="1" si="33"/>
        <v>1</v>
      </c>
      <c r="J182">
        <f t="shared" ca="1" si="34"/>
        <v>0</v>
      </c>
      <c r="K182">
        <f t="shared" ca="1" si="35"/>
        <v>0</v>
      </c>
      <c r="L182">
        <f t="shared" ca="1" si="36"/>
        <v>0</v>
      </c>
      <c r="M182">
        <f t="shared" ca="1" si="37"/>
        <v>1</v>
      </c>
      <c r="N182">
        <f t="shared" ca="1" si="38"/>
        <v>0</v>
      </c>
    </row>
    <row r="183" spans="1:14" x14ac:dyDescent="0.35">
      <c r="A183" t="s">
        <v>200</v>
      </c>
      <c r="B183" t="str">
        <f t="shared" si="26"/>
        <v>Control</v>
      </c>
      <c r="C183">
        <f t="shared" ca="1" si="27"/>
        <v>43</v>
      </c>
      <c r="D183" t="str">
        <f t="shared" ca="1" si="28"/>
        <v>Female</v>
      </c>
      <c r="E183" t="str">
        <f t="shared" ca="1" si="29"/>
        <v>Sportswear</v>
      </c>
      <c r="F183">
        <f t="shared" ca="1" si="30"/>
        <v>1344</v>
      </c>
      <c r="G183">
        <f t="shared" ca="1" si="31"/>
        <v>10</v>
      </c>
      <c r="H183">
        <f t="shared" ca="1" si="32"/>
        <v>1209.6000000000001</v>
      </c>
      <c r="I183">
        <f t="shared" ca="1" si="33"/>
        <v>1</v>
      </c>
      <c r="J183">
        <f t="shared" ca="1" si="34"/>
        <v>0</v>
      </c>
      <c r="K183">
        <f t="shared" ca="1" si="35"/>
        <v>0</v>
      </c>
      <c r="L183">
        <f t="shared" ca="1" si="36"/>
        <v>0</v>
      </c>
      <c r="M183">
        <f t="shared" ca="1" si="37"/>
        <v>7</v>
      </c>
      <c r="N183">
        <f t="shared" ca="1" si="38"/>
        <v>0</v>
      </c>
    </row>
    <row r="184" spans="1:14" x14ac:dyDescent="0.35">
      <c r="A184" t="s">
        <v>201</v>
      </c>
      <c r="B184" t="str">
        <f t="shared" si="26"/>
        <v>Control</v>
      </c>
      <c r="C184">
        <f t="shared" ca="1" si="27"/>
        <v>21</v>
      </c>
      <c r="D184" t="str">
        <f t="shared" ca="1" si="28"/>
        <v>Female</v>
      </c>
      <c r="E184" t="str">
        <f t="shared" ca="1" si="29"/>
        <v>T-shirts</v>
      </c>
      <c r="F184">
        <f t="shared" ca="1" si="30"/>
        <v>1087</v>
      </c>
      <c r="G184">
        <f t="shared" ca="1" si="31"/>
        <v>10</v>
      </c>
      <c r="H184">
        <f t="shared" ca="1" si="32"/>
        <v>978.30000000000007</v>
      </c>
      <c r="I184">
        <f t="shared" ca="1" si="33"/>
        <v>1</v>
      </c>
      <c r="J184">
        <f t="shared" ca="1" si="34"/>
        <v>1</v>
      </c>
      <c r="K184">
        <f t="shared" ca="1" si="35"/>
        <v>0</v>
      </c>
      <c r="L184">
        <f t="shared" ca="1" si="36"/>
        <v>0</v>
      </c>
      <c r="M184">
        <f t="shared" ca="1" si="37"/>
        <v>2</v>
      </c>
      <c r="N184">
        <f t="shared" ca="1" si="38"/>
        <v>0</v>
      </c>
    </row>
    <row r="185" spans="1:14" x14ac:dyDescent="0.35">
      <c r="A185" t="s">
        <v>202</v>
      </c>
      <c r="B185" t="str">
        <f t="shared" si="26"/>
        <v>Control</v>
      </c>
      <c r="C185">
        <f t="shared" ca="1" si="27"/>
        <v>32</v>
      </c>
      <c r="D185" t="str">
        <f t="shared" ca="1" si="28"/>
        <v>Female</v>
      </c>
      <c r="E185" t="str">
        <f t="shared" ca="1" si="29"/>
        <v>T-shirts</v>
      </c>
      <c r="F185">
        <f t="shared" ca="1" si="30"/>
        <v>5518</v>
      </c>
      <c r="G185">
        <f t="shared" ca="1" si="31"/>
        <v>10</v>
      </c>
      <c r="H185">
        <f t="shared" ca="1" si="32"/>
        <v>4966.2</v>
      </c>
      <c r="I185">
        <f t="shared" ca="1" si="33"/>
        <v>1</v>
      </c>
      <c r="J185">
        <f t="shared" ca="1" si="34"/>
        <v>1</v>
      </c>
      <c r="K185">
        <f t="shared" ca="1" si="35"/>
        <v>0</v>
      </c>
      <c r="L185">
        <f t="shared" ca="1" si="36"/>
        <v>0</v>
      </c>
      <c r="M185">
        <f t="shared" ca="1" si="37"/>
        <v>4</v>
      </c>
      <c r="N185">
        <f t="shared" ca="1" si="38"/>
        <v>0</v>
      </c>
    </row>
    <row r="186" spans="1:14" x14ac:dyDescent="0.35">
      <c r="A186" t="s">
        <v>203</v>
      </c>
      <c r="B186" t="str">
        <f t="shared" si="26"/>
        <v>Control</v>
      </c>
      <c r="C186">
        <f t="shared" ca="1" si="27"/>
        <v>42</v>
      </c>
      <c r="D186" t="str">
        <f t="shared" ca="1" si="28"/>
        <v>Female</v>
      </c>
      <c r="E186" t="str">
        <f t="shared" ca="1" si="29"/>
        <v>T-shirts</v>
      </c>
      <c r="F186">
        <f t="shared" ca="1" si="30"/>
        <v>7838</v>
      </c>
      <c r="G186">
        <f t="shared" ca="1" si="31"/>
        <v>10</v>
      </c>
      <c r="H186">
        <f t="shared" ca="1" si="32"/>
        <v>7054.2</v>
      </c>
      <c r="I186">
        <f t="shared" ca="1" si="33"/>
        <v>1</v>
      </c>
      <c r="J186">
        <f t="shared" ca="1" si="34"/>
        <v>0</v>
      </c>
      <c r="K186">
        <f t="shared" ca="1" si="35"/>
        <v>0</v>
      </c>
      <c r="L186">
        <f t="shared" ca="1" si="36"/>
        <v>0</v>
      </c>
      <c r="M186">
        <f t="shared" ca="1" si="37"/>
        <v>6</v>
      </c>
      <c r="N186">
        <f t="shared" ca="1" si="38"/>
        <v>0</v>
      </c>
    </row>
    <row r="187" spans="1:14" x14ac:dyDescent="0.35">
      <c r="A187" t="s">
        <v>204</v>
      </c>
      <c r="B187" t="str">
        <f t="shared" si="26"/>
        <v>Control</v>
      </c>
      <c r="C187">
        <f t="shared" ca="1" si="27"/>
        <v>23</v>
      </c>
      <c r="D187" t="str">
        <f t="shared" ca="1" si="28"/>
        <v>Male</v>
      </c>
      <c r="E187" t="str">
        <f t="shared" ca="1" si="29"/>
        <v>Ethnic Wear</v>
      </c>
      <c r="F187">
        <f t="shared" ca="1" si="30"/>
        <v>5167</v>
      </c>
      <c r="G187">
        <f t="shared" ca="1" si="31"/>
        <v>10</v>
      </c>
      <c r="H187">
        <f t="shared" ca="1" si="32"/>
        <v>4650.3</v>
      </c>
      <c r="I187">
        <f t="shared" ca="1" si="33"/>
        <v>1</v>
      </c>
      <c r="J187">
        <f t="shared" ca="1" si="34"/>
        <v>1</v>
      </c>
      <c r="K187">
        <f t="shared" ca="1" si="35"/>
        <v>0</v>
      </c>
      <c r="L187">
        <f t="shared" ca="1" si="36"/>
        <v>0</v>
      </c>
      <c r="M187">
        <f t="shared" ca="1" si="37"/>
        <v>3</v>
      </c>
      <c r="N187">
        <f t="shared" ca="1" si="38"/>
        <v>0</v>
      </c>
    </row>
    <row r="188" spans="1:14" x14ac:dyDescent="0.35">
      <c r="A188" t="s">
        <v>205</v>
      </c>
      <c r="B188" t="str">
        <f t="shared" si="26"/>
        <v>Control</v>
      </c>
      <c r="C188">
        <f t="shared" ca="1" si="27"/>
        <v>23</v>
      </c>
      <c r="D188" t="str">
        <f t="shared" ca="1" si="28"/>
        <v>Male</v>
      </c>
      <c r="E188" t="str">
        <f t="shared" ca="1" si="29"/>
        <v>Jeans</v>
      </c>
      <c r="F188">
        <f t="shared" ca="1" si="30"/>
        <v>2204</v>
      </c>
      <c r="G188">
        <f t="shared" ca="1" si="31"/>
        <v>10</v>
      </c>
      <c r="H188">
        <f t="shared" ca="1" si="32"/>
        <v>1983.6000000000001</v>
      </c>
      <c r="I188">
        <f t="shared" ca="1" si="33"/>
        <v>0</v>
      </c>
      <c r="J188">
        <f t="shared" ca="1" si="34"/>
        <v>0</v>
      </c>
      <c r="K188">
        <f t="shared" ca="1" si="35"/>
        <v>0</v>
      </c>
      <c r="L188">
        <f t="shared" ca="1" si="36"/>
        <v>0</v>
      </c>
      <c r="M188">
        <f t="shared" ca="1" si="37"/>
        <v>1</v>
      </c>
      <c r="N188">
        <f t="shared" ca="1" si="38"/>
        <v>0</v>
      </c>
    </row>
    <row r="189" spans="1:14" x14ac:dyDescent="0.35">
      <c r="A189" t="s">
        <v>206</v>
      </c>
      <c r="B189" t="str">
        <f t="shared" si="26"/>
        <v>Control</v>
      </c>
      <c r="C189">
        <f t="shared" ca="1" si="27"/>
        <v>32</v>
      </c>
      <c r="D189" t="str">
        <f t="shared" ca="1" si="28"/>
        <v>Female</v>
      </c>
      <c r="E189" t="str">
        <f t="shared" ca="1" si="29"/>
        <v>Shoes</v>
      </c>
      <c r="F189">
        <f t="shared" ca="1" si="30"/>
        <v>3147</v>
      </c>
      <c r="G189">
        <f t="shared" ca="1" si="31"/>
        <v>10</v>
      </c>
      <c r="H189">
        <f t="shared" ca="1" si="32"/>
        <v>2832.3</v>
      </c>
      <c r="I189">
        <f t="shared" ca="1" si="33"/>
        <v>1</v>
      </c>
      <c r="J189">
        <f t="shared" ca="1" si="34"/>
        <v>0</v>
      </c>
      <c r="K189">
        <f t="shared" ca="1" si="35"/>
        <v>0</v>
      </c>
      <c r="L189">
        <f t="shared" ca="1" si="36"/>
        <v>0</v>
      </c>
      <c r="M189">
        <f t="shared" ca="1" si="37"/>
        <v>7</v>
      </c>
      <c r="N189">
        <f t="shared" ca="1" si="38"/>
        <v>0</v>
      </c>
    </row>
    <row r="190" spans="1:14" x14ac:dyDescent="0.35">
      <c r="A190" t="s">
        <v>207</v>
      </c>
      <c r="B190" t="str">
        <f t="shared" si="26"/>
        <v>Control</v>
      </c>
      <c r="C190">
        <f t="shared" ca="1" si="27"/>
        <v>32</v>
      </c>
      <c r="D190" t="str">
        <f t="shared" ca="1" si="28"/>
        <v>Female</v>
      </c>
      <c r="E190" t="str">
        <f t="shared" ca="1" si="29"/>
        <v>Jeans</v>
      </c>
      <c r="F190">
        <f t="shared" ca="1" si="30"/>
        <v>3057</v>
      </c>
      <c r="G190">
        <f t="shared" ca="1" si="31"/>
        <v>10</v>
      </c>
      <c r="H190">
        <f t="shared" ca="1" si="32"/>
        <v>2751.3</v>
      </c>
      <c r="I190">
        <f t="shared" ca="1" si="33"/>
        <v>0</v>
      </c>
      <c r="J190">
        <f t="shared" ca="1" si="34"/>
        <v>0</v>
      </c>
      <c r="K190">
        <f t="shared" ca="1" si="35"/>
        <v>0</v>
      </c>
      <c r="L190">
        <f t="shared" ca="1" si="36"/>
        <v>0</v>
      </c>
      <c r="M190">
        <f t="shared" ca="1" si="37"/>
        <v>6</v>
      </c>
      <c r="N190">
        <f t="shared" ca="1" si="38"/>
        <v>0</v>
      </c>
    </row>
    <row r="191" spans="1:14" x14ac:dyDescent="0.35">
      <c r="A191" t="s">
        <v>208</v>
      </c>
      <c r="B191" t="str">
        <f t="shared" si="26"/>
        <v>Control</v>
      </c>
      <c r="C191">
        <f t="shared" ca="1" si="27"/>
        <v>40</v>
      </c>
      <c r="D191" t="str">
        <f t="shared" ca="1" si="28"/>
        <v>Female</v>
      </c>
      <c r="E191" t="str">
        <f t="shared" ca="1" si="29"/>
        <v>Sportswear</v>
      </c>
      <c r="F191">
        <f t="shared" ca="1" si="30"/>
        <v>7974</v>
      </c>
      <c r="G191">
        <f t="shared" ca="1" si="31"/>
        <v>10</v>
      </c>
      <c r="H191">
        <f t="shared" ca="1" si="32"/>
        <v>7176.6</v>
      </c>
      <c r="I191">
        <f t="shared" ca="1" si="33"/>
        <v>0</v>
      </c>
      <c r="J191">
        <f t="shared" ca="1" si="34"/>
        <v>0</v>
      </c>
      <c r="K191">
        <f t="shared" ca="1" si="35"/>
        <v>0</v>
      </c>
      <c r="L191">
        <f t="shared" ca="1" si="36"/>
        <v>0</v>
      </c>
      <c r="M191">
        <f t="shared" ca="1" si="37"/>
        <v>3</v>
      </c>
      <c r="N191">
        <f t="shared" ca="1" si="38"/>
        <v>0</v>
      </c>
    </row>
    <row r="192" spans="1:14" x14ac:dyDescent="0.35">
      <c r="A192" t="s">
        <v>209</v>
      </c>
      <c r="B192" t="str">
        <f t="shared" si="26"/>
        <v>Control</v>
      </c>
      <c r="C192">
        <f t="shared" ca="1" si="27"/>
        <v>23</v>
      </c>
      <c r="D192" t="str">
        <f t="shared" ca="1" si="28"/>
        <v>Female</v>
      </c>
      <c r="E192" t="str">
        <f t="shared" ca="1" si="29"/>
        <v>Tops</v>
      </c>
      <c r="F192">
        <f t="shared" ca="1" si="30"/>
        <v>2920</v>
      </c>
      <c r="G192">
        <f t="shared" ca="1" si="31"/>
        <v>10</v>
      </c>
      <c r="H192">
        <f t="shared" ca="1" si="32"/>
        <v>2628</v>
      </c>
      <c r="I192">
        <f t="shared" ca="1" si="33"/>
        <v>1</v>
      </c>
      <c r="J192">
        <f t="shared" ca="1" si="34"/>
        <v>0</v>
      </c>
      <c r="K192">
        <f t="shared" ca="1" si="35"/>
        <v>0</v>
      </c>
      <c r="L192">
        <f t="shared" ca="1" si="36"/>
        <v>0</v>
      </c>
      <c r="M192">
        <f t="shared" ca="1" si="37"/>
        <v>6</v>
      </c>
      <c r="N192">
        <f t="shared" ca="1" si="38"/>
        <v>0</v>
      </c>
    </row>
    <row r="193" spans="1:14" x14ac:dyDescent="0.35">
      <c r="A193" t="s">
        <v>210</v>
      </c>
      <c r="B193" t="str">
        <f t="shared" si="26"/>
        <v>Control</v>
      </c>
      <c r="C193">
        <f t="shared" ca="1" si="27"/>
        <v>23</v>
      </c>
      <c r="D193" t="str">
        <f t="shared" ca="1" si="28"/>
        <v>Female</v>
      </c>
      <c r="E193" t="str">
        <f t="shared" ca="1" si="29"/>
        <v>Ethnic Wear</v>
      </c>
      <c r="F193">
        <f t="shared" ca="1" si="30"/>
        <v>5413</v>
      </c>
      <c r="G193">
        <f t="shared" ca="1" si="31"/>
        <v>10</v>
      </c>
      <c r="H193">
        <f t="shared" ca="1" si="32"/>
        <v>4871.7</v>
      </c>
      <c r="I193">
        <f t="shared" ca="1" si="33"/>
        <v>1</v>
      </c>
      <c r="J193">
        <f t="shared" ca="1" si="34"/>
        <v>0</v>
      </c>
      <c r="K193">
        <f t="shared" ca="1" si="35"/>
        <v>0</v>
      </c>
      <c r="L193">
        <f t="shared" ca="1" si="36"/>
        <v>0</v>
      </c>
      <c r="M193">
        <f t="shared" ca="1" si="37"/>
        <v>4</v>
      </c>
      <c r="N193">
        <f t="shared" ca="1" si="38"/>
        <v>0</v>
      </c>
    </row>
    <row r="194" spans="1:14" x14ac:dyDescent="0.35">
      <c r="A194" t="s">
        <v>211</v>
      </c>
      <c r="B194" t="str">
        <f t="shared" si="26"/>
        <v>Control</v>
      </c>
      <c r="C194">
        <f t="shared" ca="1" si="27"/>
        <v>21</v>
      </c>
      <c r="D194" t="str">
        <f t="shared" ca="1" si="28"/>
        <v>Female</v>
      </c>
      <c r="E194" t="str">
        <f t="shared" ca="1" si="29"/>
        <v>Tops</v>
      </c>
      <c r="F194">
        <f t="shared" ca="1" si="30"/>
        <v>3486</v>
      </c>
      <c r="G194">
        <f t="shared" ca="1" si="31"/>
        <v>10</v>
      </c>
      <c r="H194">
        <f t="shared" ca="1" si="32"/>
        <v>3137.4</v>
      </c>
      <c r="I194">
        <f t="shared" ca="1" si="33"/>
        <v>1</v>
      </c>
      <c r="J194">
        <f t="shared" ca="1" si="34"/>
        <v>0</v>
      </c>
      <c r="K194">
        <f t="shared" ca="1" si="35"/>
        <v>0</v>
      </c>
      <c r="L194">
        <f t="shared" ca="1" si="36"/>
        <v>0</v>
      </c>
      <c r="M194">
        <f t="shared" ca="1" si="37"/>
        <v>7</v>
      </c>
      <c r="N194">
        <f t="shared" ca="1" si="38"/>
        <v>0</v>
      </c>
    </row>
    <row r="195" spans="1:14" x14ac:dyDescent="0.35">
      <c r="A195" t="s">
        <v>212</v>
      </c>
      <c r="B195" t="str">
        <f t="shared" si="26"/>
        <v>Control</v>
      </c>
      <c r="C195">
        <f t="shared" ca="1" si="27"/>
        <v>45</v>
      </c>
      <c r="D195" t="str">
        <f t="shared" ca="1" si="28"/>
        <v>Female</v>
      </c>
      <c r="E195" t="str">
        <f t="shared" ca="1" si="29"/>
        <v>Dresses</v>
      </c>
      <c r="F195">
        <f t="shared" ca="1" si="30"/>
        <v>6360</v>
      </c>
      <c r="G195">
        <f t="shared" ca="1" si="31"/>
        <v>10</v>
      </c>
      <c r="H195">
        <f t="shared" ca="1" si="32"/>
        <v>5724</v>
      </c>
      <c r="I195">
        <f t="shared" ca="1" si="33"/>
        <v>1</v>
      </c>
      <c r="J195">
        <f t="shared" ca="1" si="34"/>
        <v>0</v>
      </c>
      <c r="K195">
        <f t="shared" ca="1" si="35"/>
        <v>0</v>
      </c>
      <c r="L195">
        <f t="shared" ca="1" si="36"/>
        <v>0</v>
      </c>
      <c r="M195">
        <f t="shared" ca="1" si="37"/>
        <v>4</v>
      </c>
      <c r="N195">
        <f t="shared" ca="1" si="38"/>
        <v>0</v>
      </c>
    </row>
    <row r="196" spans="1:14" x14ac:dyDescent="0.35">
      <c r="A196" t="s">
        <v>213</v>
      </c>
      <c r="B196" t="str">
        <f t="shared" si="26"/>
        <v>Control</v>
      </c>
      <c r="C196">
        <f t="shared" ca="1" si="27"/>
        <v>25</v>
      </c>
      <c r="D196" t="str">
        <f t="shared" ca="1" si="28"/>
        <v>Female</v>
      </c>
      <c r="E196" t="str">
        <f t="shared" ca="1" si="29"/>
        <v>Ethnic Wear</v>
      </c>
      <c r="F196">
        <f t="shared" ca="1" si="30"/>
        <v>3885</v>
      </c>
      <c r="G196">
        <f t="shared" ca="1" si="31"/>
        <v>10</v>
      </c>
      <c r="H196">
        <f t="shared" ca="1" si="32"/>
        <v>3496.5</v>
      </c>
      <c r="I196">
        <f t="shared" ca="1" si="33"/>
        <v>1</v>
      </c>
      <c r="J196">
        <f t="shared" ca="1" si="34"/>
        <v>0</v>
      </c>
      <c r="K196">
        <f t="shared" ca="1" si="35"/>
        <v>0</v>
      </c>
      <c r="L196">
        <f t="shared" ca="1" si="36"/>
        <v>0</v>
      </c>
      <c r="M196">
        <f t="shared" ca="1" si="37"/>
        <v>1</v>
      </c>
      <c r="N196">
        <f t="shared" ca="1" si="38"/>
        <v>0</v>
      </c>
    </row>
    <row r="197" spans="1:14" x14ac:dyDescent="0.35">
      <c r="A197" t="s">
        <v>214</v>
      </c>
      <c r="B197" t="str">
        <f t="shared" ref="B197:B260" si="39">IF(ROW()&lt;=1001,"Control","Test")</f>
        <v>Control</v>
      </c>
      <c r="C197">
        <f t="shared" ref="C197:C260" ca="1" si="40">RANDBETWEEN(18,45)</f>
        <v>30</v>
      </c>
      <c r="D197" t="str">
        <f t="shared" ref="D197:D260" ca="1" si="41">CHOOSE(RANDBETWEEN(1,20),"Female","Female","Female","Female","Female","Female","Female","Female","Female","Female","Male","Male","Male","Male","Male","Male","Male","Male","Other","Other")</f>
        <v>Male</v>
      </c>
      <c r="E197" t="str">
        <f t="shared" ref="E197:E260" ca="1" si="42">CHOOSE(RANDBETWEEN(1,8),"T-shirts","Dresses","Jeans","Shoes","Ethnic Wear","Tops","Sportswear","Accessories")</f>
        <v>Shoes</v>
      </c>
      <c r="F197">
        <f t="shared" ref="F197:F260" ca="1" si="43">RANDBETWEEN(300,8000)</f>
        <v>2122</v>
      </c>
      <c r="G197">
        <f t="shared" ref="G197:G260" ca="1" si="44">IF(B197="Control",10,CHOOSE(RANDBETWEEN(1,3),15,20,25))</f>
        <v>10</v>
      </c>
      <c r="H197">
        <f t="shared" ref="H197:H260" ca="1" si="45">F197*(1-G197/100)</f>
        <v>1909.8</v>
      </c>
      <c r="I197">
        <f t="shared" ref="I197:I260" ca="1" si="46">IF(RAND()&lt;0.85,1,0)</f>
        <v>1</v>
      </c>
      <c r="J197">
        <f t="shared" ref="J197:J260" ca="1" si="47">IF(I197=1,IF(RAND()&lt;0.55,1,0),0)</f>
        <v>1</v>
      </c>
      <c r="K197">
        <f t="shared" ref="K197:K260" ca="1" si="48">IF(J197=1,IF(B197="Test",IF(RAND()&lt;0.4,1,0),IF(RAND()&lt;0.34,1,0)),0)</f>
        <v>0</v>
      </c>
      <c r="L197">
        <f t="shared" ref="L197:L260" ca="1" si="49">IF(K197=1,H197,0)</f>
        <v>0</v>
      </c>
      <c r="M197">
        <f t="shared" ref="M197:M260" ca="1" si="50">RANDBETWEEN(1,7)</f>
        <v>4</v>
      </c>
      <c r="N197">
        <f t="shared" ref="N197:N260" ca="1" si="51">IF(K197=1,IF(RAND()&lt;0.15,1,0),0)</f>
        <v>0</v>
      </c>
    </row>
    <row r="198" spans="1:14" x14ac:dyDescent="0.35">
      <c r="A198" t="s">
        <v>215</v>
      </c>
      <c r="B198" t="str">
        <f t="shared" si="39"/>
        <v>Control</v>
      </c>
      <c r="C198">
        <f t="shared" ca="1" si="40"/>
        <v>38</v>
      </c>
      <c r="D198" t="str">
        <f t="shared" ca="1" si="41"/>
        <v>Female</v>
      </c>
      <c r="E198" t="str">
        <f t="shared" ca="1" si="42"/>
        <v>Tops</v>
      </c>
      <c r="F198">
        <f t="shared" ca="1" si="43"/>
        <v>5215</v>
      </c>
      <c r="G198">
        <f t="shared" ca="1" si="44"/>
        <v>10</v>
      </c>
      <c r="H198">
        <f t="shared" ca="1" si="45"/>
        <v>4693.5</v>
      </c>
      <c r="I198">
        <f t="shared" ca="1" si="46"/>
        <v>1</v>
      </c>
      <c r="J198">
        <f t="shared" ca="1" si="47"/>
        <v>0</v>
      </c>
      <c r="K198">
        <f t="shared" ca="1" si="48"/>
        <v>0</v>
      </c>
      <c r="L198">
        <f t="shared" ca="1" si="49"/>
        <v>0</v>
      </c>
      <c r="M198">
        <f t="shared" ca="1" si="50"/>
        <v>6</v>
      </c>
      <c r="N198">
        <f t="shared" ca="1" si="51"/>
        <v>0</v>
      </c>
    </row>
    <row r="199" spans="1:14" x14ac:dyDescent="0.35">
      <c r="A199" t="s">
        <v>216</v>
      </c>
      <c r="B199" t="str">
        <f t="shared" si="39"/>
        <v>Control</v>
      </c>
      <c r="C199">
        <f t="shared" ca="1" si="40"/>
        <v>37</v>
      </c>
      <c r="D199" t="str">
        <f t="shared" ca="1" si="41"/>
        <v>Male</v>
      </c>
      <c r="E199" t="str">
        <f t="shared" ca="1" si="42"/>
        <v>Accessories</v>
      </c>
      <c r="F199">
        <f t="shared" ca="1" si="43"/>
        <v>5782</v>
      </c>
      <c r="G199">
        <f t="shared" ca="1" si="44"/>
        <v>10</v>
      </c>
      <c r="H199">
        <f t="shared" ca="1" si="45"/>
        <v>5203.8</v>
      </c>
      <c r="I199">
        <f t="shared" ca="1" si="46"/>
        <v>1</v>
      </c>
      <c r="J199">
        <f t="shared" ca="1" si="47"/>
        <v>0</v>
      </c>
      <c r="K199">
        <f t="shared" ca="1" si="48"/>
        <v>0</v>
      </c>
      <c r="L199">
        <f t="shared" ca="1" si="49"/>
        <v>0</v>
      </c>
      <c r="M199">
        <f t="shared" ca="1" si="50"/>
        <v>7</v>
      </c>
      <c r="N199">
        <f t="shared" ca="1" si="51"/>
        <v>0</v>
      </c>
    </row>
    <row r="200" spans="1:14" x14ac:dyDescent="0.35">
      <c r="A200" t="s">
        <v>217</v>
      </c>
      <c r="B200" t="str">
        <f t="shared" si="39"/>
        <v>Control</v>
      </c>
      <c r="C200">
        <f t="shared" ca="1" si="40"/>
        <v>42</v>
      </c>
      <c r="D200" t="str">
        <f t="shared" ca="1" si="41"/>
        <v>Female</v>
      </c>
      <c r="E200" t="str">
        <f t="shared" ca="1" si="42"/>
        <v>Ethnic Wear</v>
      </c>
      <c r="F200">
        <f t="shared" ca="1" si="43"/>
        <v>7226</v>
      </c>
      <c r="G200">
        <f t="shared" ca="1" si="44"/>
        <v>10</v>
      </c>
      <c r="H200">
        <f t="shared" ca="1" si="45"/>
        <v>6503.4000000000005</v>
      </c>
      <c r="I200">
        <f t="shared" ca="1" si="46"/>
        <v>1</v>
      </c>
      <c r="J200">
        <f t="shared" ca="1" si="47"/>
        <v>1</v>
      </c>
      <c r="K200">
        <f t="shared" ca="1" si="48"/>
        <v>1</v>
      </c>
      <c r="L200">
        <f t="shared" ca="1" si="49"/>
        <v>6503.4000000000005</v>
      </c>
      <c r="M200">
        <f t="shared" ca="1" si="50"/>
        <v>1</v>
      </c>
      <c r="N200">
        <f t="shared" ca="1" si="51"/>
        <v>0</v>
      </c>
    </row>
    <row r="201" spans="1:14" x14ac:dyDescent="0.35">
      <c r="A201" t="s">
        <v>218</v>
      </c>
      <c r="B201" t="str">
        <f t="shared" si="39"/>
        <v>Control</v>
      </c>
      <c r="C201">
        <f t="shared" ca="1" si="40"/>
        <v>37</v>
      </c>
      <c r="D201" t="str">
        <f t="shared" ca="1" si="41"/>
        <v>Female</v>
      </c>
      <c r="E201" t="str">
        <f t="shared" ca="1" si="42"/>
        <v>Sportswear</v>
      </c>
      <c r="F201">
        <f t="shared" ca="1" si="43"/>
        <v>5817</v>
      </c>
      <c r="G201">
        <f t="shared" ca="1" si="44"/>
        <v>10</v>
      </c>
      <c r="H201">
        <f t="shared" ca="1" si="45"/>
        <v>5235.3</v>
      </c>
      <c r="I201">
        <f t="shared" ca="1" si="46"/>
        <v>1</v>
      </c>
      <c r="J201">
        <f t="shared" ca="1" si="47"/>
        <v>0</v>
      </c>
      <c r="K201">
        <f t="shared" ca="1" si="48"/>
        <v>0</v>
      </c>
      <c r="L201">
        <f t="shared" ca="1" si="49"/>
        <v>0</v>
      </c>
      <c r="M201">
        <f t="shared" ca="1" si="50"/>
        <v>2</v>
      </c>
      <c r="N201">
        <f t="shared" ca="1" si="51"/>
        <v>0</v>
      </c>
    </row>
    <row r="202" spans="1:14" x14ac:dyDescent="0.35">
      <c r="A202" t="s">
        <v>219</v>
      </c>
      <c r="B202" t="str">
        <f t="shared" si="39"/>
        <v>Control</v>
      </c>
      <c r="C202">
        <f t="shared" ca="1" si="40"/>
        <v>36</v>
      </c>
      <c r="D202" t="str">
        <f t="shared" ca="1" si="41"/>
        <v>Male</v>
      </c>
      <c r="E202" t="str">
        <f t="shared" ca="1" si="42"/>
        <v>Tops</v>
      </c>
      <c r="F202">
        <f t="shared" ca="1" si="43"/>
        <v>6083</v>
      </c>
      <c r="G202">
        <f t="shared" ca="1" si="44"/>
        <v>10</v>
      </c>
      <c r="H202">
        <f t="shared" ca="1" si="45"/>
        <v>5474.7</v>
      </c>
      <c r="I202">
        <f t="shared" ca="1" si="46"/>
        <v>1</v>
      </c>
      <c r="J202">
        <f t="shared" ca="1" si="47"/>
        <v>0</v>
      </c>
      <c r="K202">
        <f t="shared" ca="1" si="48"/>
        <v>0</v>
      </c>
      <c r="L202">
        <f t="shared" ca="1" si="49"/>
        <v>0</v>
      </c>
      <c r="M202">
        <f t="shared" ca="1" si="50"/>
        <v>1</v>
      </c>
      <c r="N202">
        <f t="shared" ca="1" si="51"/>
        <v>0</v>
      </c>
    </row>
    <row r="203" spans="1:14" x14ac:dyDescent="0.35">
      <c r="A203" t="s">
        <v>220</v>
      </c>
      <c r="B203" t="str">
        <f t="shared" si="39"/>
        <v>Control</v>
      </c>
      <c r="C203">
        <f t="shared" ca="1" si="40"/>
        <v>18</v>
      </c>
      <c r="D203" t="str">
        <f t="shared" ca="1" si="41"/>
        <v>Male</v>
      </c>
      <c r="E203" t="str">
        <f t="shared" ca="1" si="42"/>
        <v>Sportswear</v>
      </c>
      <c r="F203">
        <f t="shared" ca="1" si="43"/>
        <v>6457</v>
      </c>
      <c r="G203">
        <f t="shared" ca="1" si="44"/>
        <v>10</v>
      </c>
      <c r="H203">
        <f t="shared" ca="1" si="45"/>
        <v>5811.3</v>
      </c>
      <c r="I203">
        <f t="shared" ca="1" si="46"/>
        <v>1</v>
      </c>
      <c r="J203">
        <f t="shared" ca="1" si="47"/>
        <v>1</v>
      </c>
      <c r="K203">
        <f t="shared" ca="1" si="48"/>
        <v>0</v>
      </c>
      <c r="L203">
        <f t="shared" ca="1" si="49"/>
        <v>0</v>
      </c>
      <c r="M203">
        <f t="shared" ca="1" si="50"/>
        <v>7</v>
      </c>
      <c r="N203">
        <f t="shared" ca="1" si="51"/>
        <v>0</v>
      </c>
    </row>
    <row r="204" spans="1:14" x14ac:dyDescent="0.35">
      <c r="A204" t="s">
        <v>221</v>
      </c>
      <c r="B204" t="str">
        <f t="shared" si="39"/>
        <v>Control</v>
      </c>
      <c r="C204">
        <f t="shared" ca="1" si="40"/>
        <v>41</v>
      </c>
      <c r="D204" t="str">
        <f t="shared" ca="1" si="41"/>
        <v>Female</v>
      </c>
      <c r="E204" t="str">
        <f t="shared" ca="1" si="42"/>
        <v>Shoes</v>
      </c>
      <c r="F204">
        <f t="shared" ca="1" si="43"/>
        <v>1784</v>
      </c>
      <c r="G204">
        <f t="shared" ca="1" si="44"/>
        <v>10</v>
      </c>
      <c r="H204">
        <f t="shared" ca="1" si="45"/>
        <v>1605.6000000000001</v>
      </c>
      <c r="I204">
        <f t="shared" ca="1" si="46"/>
        <v>1</v>
      </c>
      <c r="J204">
        <f t="shared" ca="1" si="47"/>
        <v>0</v>
      </c>
      <c r="K204">
        <f t="shared" ca="1" si="48"/>
        <v>0</v>
      </c>
      <c r="L204">
        <f t="shared" ca="1" si="49"/>
        <v>0</v>
      </c>
      <c r="M204">
        <f t="shared" ca="1" si="50"/>
        <v>1</v>
      </c>
      <c r="N204">
        <f t="shared" ca="1" si="51"/>
        <v>0</v>
      </c>
    </row>
    <row r="205" spans="1:14" x14ac:dyDescent="0.35">
      <c r="A205" t="s">
        <v>222</v>
      </c>
      <c r="B205" t="str">
        <f t="shared" si="39"/>
        <v>Control</v>
      </c>
      <c r="C205">
        <f t="shared" ca="1" si="40"/>
        <v>21</v>
      </c>
      <c r="D205" t="str">
        <f t="shared" ca="1" si="41"/>
        <v>Other</v>
      </c>
      <c r="E205" t="str">
        <f t="shared" ca="1" si="42"/>
        <v>Dresses</v>
      </c>
      <c r="F205">
        <f t="shared" ca="1" si="43"/>
        <v>6798</v>
      </c>
      <c r="G205">
        <f t="shared" ca="1" si="44"/>
        <v>10</v>
      </c>
      <c r="H205">
        <f t="shared" ca="1" si="45"/>
        <v>6118.2</v>
      </c>
      <c r="I205">
        <f t="shared" ca="1" si="46"/>
        <v>1</v>
      </c>
      <c r="J205">
        <f t="shared" ca="1" si="47"/>
        <v>1</v>
      </c>
      <c r="K205">
        <f t="shared" ca="1" si="48"/>
        <v>0</v>
      </c>
      <c r="L205">
        <f t="shared" ca="1" si="49"/>
        <v>0</v>
      </c>
      <c r="M205">
        <f t="shared" ca="1" si="50"/>
        <v>5</v>
      </c>
      <c r="N205">
        <f t="shared" ca="1" si="51"/>
        <v>0</v>
      </c>
    </row>
    <row r="206" spans="1:14" x14ac:dyDescent="0.35">
      <c r="A206" t="s">
        <v>223</v>
      </c>
      <c r="B206" t="str">
        <f t="shared" si="39"/>
        <v>Control</v>
      </c>
      <c r="C206">
        <f t="shared" ca="1" si="40"/>
        <v>23</v>
      </c>
      <c r="D206" t="str">
        <f t="shared" ca="1" si="41"/>
        <v>Other</v>
      </c>
      <c r="E206" t="str">
        <f t="shared" ca="1" si="42"/>
        <v>Shoes</v>
      </c>
      <c r="F206">
        <f t="shared" ca="1" si="43"/>
        <v>7964</v>
      </c>
      <c r="G206">
        <f t="shared" ca="1" si="44"/>
        <v>10</v>
      </c>
      <c r="H206">
        <f t="shared" ca="1" si="45"/>
        <v>7167.6</v>
      </c>
      <c r="I206">
        <f t="shared" ca="1" si="46"/>
        <v>0</v>
      </c>
      <c r="J206">
        <f t="shared" ca="1" si="47"/>
        <v>0</v>
      </c>
      <c r="K206">
        <f t="shared" ca="1" si="48"/>
        <v>0</v>
      </c>
      <c r="L206">
        <f t="shared" ca="1" si="49"/>
        <v>0</v>
      </c>
      <c r="M206">
        <f t="shared" ca="1" si="50"/>
        <v>5</v>
      </c>
      <c r="N206">
        <f t="shared" ca="1" si="51"/>
        <v>0</v>
      </c>
    </row>
    <row r="207" spans="1:14" x14ac:dyDescent="0.35">
      <c r="A207" t="s">
        <v>224</v>
      </c>
      <c r="B207" t="str">
        <f t="shared" si="39"/>
        <v>Control</v>
      </c>
      <c r="C207">
        <f t="shared" ca="1" si="40"/>
        <v>20</v>
      </c>
      <c r="D207" t="str">
        <f t="shared" ca="1" si="41"/>
        <v>Male</v>
      </c>
      <c r="E207" t="str">
        <f t="shared" ca="1" si="42"/>
        <v>Sportswear</v>
      </c>
      <c r="F207">
        <f t="shared" ca="1" si="43"/>
        <v>2233</v>
      </c>
      <c r="G207">
        <f t="shared" ca="1" si="44"/>
        <v>10</v>
      </c>
      <c r="H207">
        <f t="shared" ca="1" si="45"/>
        <v>2009.7</v>
      </c>
      <c r="I207">
        <f t="shared" ca="1" si="46"/>
        <v>0</v>
      </c>
      <c r="J207">
        <f t="shared" ca="1" si="47"/>
        <v>0</v>
      </c>
      <c r="K207">
        <f t="shared" ca="1" si="48"/>
        <v>0</v>
      </c>
      <c r="L207">
        <f t="shared" ca="1" si="49"/>
        <v>0</v>
      </c>
      <c r="M207">
        <f t="shared" ca="1" si="50"/>
        <v>5</v>
      </c>
      <c r="N207">
        <f t="shared" ca="1" si="51"/>
        <v>0</v>
      </c>
    </row>
    <row r="208" spans="1:14" x14ac:dyDescent="0.35">
      <c r="A208" t="s">
        <v>225</v>
      </c>
      <c r="B208" t="str">
        <f t="shared" si="39"/>
        <v>Control</v>
      </c>
      <c r="C208">
        <f t="shared" ca="1" si="40"/>
        <v>21</v>
      </c>
      <c r="D208" t="str">
        <f t="shared" ca="1" si="41"/>
        <v>Other</v>
      </c>
      <c r="E208" t="str">
        <f t="shared" ca="1" si="42"/>
        <v>Accessories</v>
      </c>
      <c r="F208">
        <f t="shared" ca="1" si="43"/>
        <v>5148</v>
      </c>
      <c r="G208">
        <f t="shared" ca="1" si="44"/>
        <v>10</v>
      </c>
      <c r="H208">
        <f t="shared" ca="1" si="45"/>
        <v>4633.2</v>
      </c>
      <c r="I208">
        <f t="shared" ca="1" si="46"/>
        <v>1</v>
      </c>
      <c r="J208">
        <f t="shared" ca="1" si="47"/>
        <v>0</v>
      </c>
      <c r="K208">
        <f t="shared" ca="1" si="48"/>
        <v>0</v>
      </c>
      <c r="L208">
        <f t="shared" ca="1" si="49"/>
        <v>0</v>
      </c>
      <c r="M208">
        <f t="shared" ca="1" si="50"/>
        <v>5</v>
      </c>
      <c r="N208">
        <f t="shared" ca="1" si="51"/>
        <v>0</v>
      </c>
    </row>
    <row r="209" spans="1:14" x14ac:dyDescent="0.35">
      <c r="A209" t="s">
        <v>226</v>
      </c>
      <c r="B209" t="str">
        <f t="shared" si="39"/>
        <v>Control</v>
      </c>
      <c r="C209">
        <f t="shared" ca="1" si="40"/>
        <v>32</v>
      </c>
      <c r="D209" t="str">
        <f t="shared" ca="1" si="41"/>
        <v>Female</v>
      </c>
      <c r="E209" t="str">
        <f t="shared" ca="1" si="42"/>
        <v>Shoes</v>
      </c>
      <c r="F209">
        <f t="shared" ca="1" si="43"/>
        <v>2088</v>
      </c>
      <c r="G209">
        <f t="shared" ca="1" si="44"/>
        <v>10</v>
      </c>
      <c r="H209">
        <f t="shared" ca="1" si="45"/>
        <v>1879.2</v>
      </c>
      <c r="I209">
        <f t="shared" ca="1" si="46"/>
        <v>1</v>
      </c>
      <c r="J209">
        <f t="shared" ca="1" si="47"/>
        <v>0</v>
      </c>
      <c r="K209">
        <f t="shared" ca="1" si="48"/>
        <v>0</v>
      </c>
      <c r="L209">
        <f t="shared" ca="1" si="49"/>
        <v>0</v>
      </c>
      <c r="M209">
        <f t="shared" ca="1" si="50"/>
        <v>7</v>
      </c>
      <c r="N209">
        <f t="shared" ca="1" si="51"/>
        <v>0</v>
      </c>
    </row>
    <row r="210" spans="1:14" x14ac:dyDescent="0.35">
      <c r="A210" t="s">
        <v>227</v>
      </c>
      <c r="B210" t="str">
        <f t="shared" si="39"/>
        <v>Control</v>
      </c>
      <c r="C210">
        <f t="shared" ca="1" si="40"/>
        <v>31</v>
      </c>
      <c r="D210" t="str">
        <f t="shared" ca="1" si="41"/>
        <v>Female</v>
      </c>
      <c r="E210" t="str">
        <f t="shared" ca="1" si="42"/>
        <v>T-shirts</v>
      </c>
      <c r="F210">
        <f t="shared" ca="1" si="43"/>
        <v>1579</v>
      </c>
      <c r="G210">
        <f t="shared" ca="1" si="44"/>
        <v>10</v>
      </c>
      <c r="H210">
        <f t="shared" ca="1" si="45"/>
        <v>1421.1000000000001</v>
      </c>
      <c r="I210">
        <f t="shared" ca="1" si="46"/>
        <v>1</v>
      </c>
      <c r="J210">
        <f t="shared" ca="1" si="47"/>
        <v>0</v>
      </c>
      <c r="K210">
        <f t="shared" ca="1" si="48"/>
        <v>0</v>
      </c>
      <c r="L210">
        <f t="shared" ca="1" si="49"/>
        <v>0</v>
      </c>
      <c r="M210">
        <f t="shared" ca="1" si="50"/>
        <v>5</v>
      </c>
      <c r="N210">
        <f t="shared" ca="1" si="51"/>
        <v>0</v>
      </c>
    </row>
    <row r="211" spans="1:14" x14ac:dyDescent="0.35">
      <c r="A211" t="s">
        <v>228</v>
      </c>
      <c r="B211" t="str">
        <f t="shared" si="39"/>
        <v>Control</v>
      </c>
      <c r="C211">
        <f t="shared" ca="1" si="40"/>
        <v>26</v>
      </c>
      <c r="D211" t="str">
        <f t="shared" ca="1" si="41"/>
        <v>Female</v>
      </c>
      <c r="E211" t="str">
        <f t="shared" ca="1" si="42"/>
        <v>Sportswear</v>
      </c>
      <c r="F211">
        <f t="shared" ca="1" si="43"/>
        <v>6175</v>
      </c>
      <c r="G211">
        <f t="shared" ca="1" si="44"/>
        <v>10</v>
      </c>
      <c r="H211">
        <f t="shared" ca="1" si="45"/>
        <v>5557.5</v>
      </c>
      <c r="I211">
        <f t="shared" ca="1" si="46"/>
        <v>1</v>
      </c>
      <c r="J211">
        <f t="shared" ca="1" si="47"/>
        <v>0</v>
      </c>
      <c r="K211">
        <f t="shared" ca="1" si="48"/>
        <v>0</v>
      </c>
      <c r="L211">
        <f t="shared" ca="1" si="49"/>
        <v>0</v>
      </c>
      <c r="M211">
        <f t="shared" ca="1" si="50"/>
        <v>1</v>
      </c>
      <c r="N211">
        <f t="shared" ca="1" si="51"/>
        <v>0</v>
      </c>
    </row>
    <row r="212" spans="1:14" x14ac:dyDescent="0.35">
      <c r="A212" t="s">
        <v>229</v>
      </c>
      <c r="B212" t="str">
        <f t="shared" si="39"/>
        <v>Control</v>
      </c>
      <c r="C212">
        <f t="shared" ca="1" si="40"/>
        <v>42</v>
      </c>
      <c r="D212" t="str">
        <f t="shared" ca="1" si="41"/>
        <v>Female</v>
      </c>
      <c r="E212" t="str">
        <f t="shared" ca="1" si="42"/>
        <v>Accessories</v>
      </c>
      <c r="F212">
        <f t="shared" ca="1" si="43"/>
        <v>7969</v>
      </c>
      <c r="G212">
        <f t="shared" ca="1" si="44"/>
        <v>10</v>
      </c>
      <c r="H212">
        <f t="shared" ca="1" si="45"/>
        <v>7172.1</v>
      </c>
      <c r="I212">
        <f t="shared" ca="1" si="46"/>
        <v>1</v>
      </c>
      <c r="J212">
        <f t="shared" ca="1" si="47"/>
        <v>1</v>
      </c>
      <c r="K212">
        <f t="shared" ca="1" si="48"/>
        <v>0</v>
      </c>
      <c r="L212">
        <f t="shared" ca="1" si="49"/>
        <v>0</v>
      </c>
      <c r="M212">
        <f t="shared" ca="1" si="50"/>
        <v>2</v>
      </c>
      <c r="N212">
        <f t="shared" ca="1" si="51"/>
        <v>0</v>
      </c>
    </row>
    <row r="213" spans="1:14" x14ac:dyDescent="0.35">
      <c r="A213" t="s">
        <v>230</v>
      </c>
      <c r="B213" t="str">
        <f t="shared" si="39"/>
        <v>Control</v>
      </c>
      <c r="C213">
        <f t="shared" ca="1" si="40"/>
        <v>18</v>
      </c>
      <c r="D213" t="str">
        <f t="shared" ca="1" si="41"/>
        <v>Male</v>
      </c>
      <c r="E213" t="str">
        <f t="shared" ca="1" si="42"/>
        <v>Ethnic Wear</v>
      </c>
      <c r="F213">
        <f t="shared" ca="1" si="43"/>
        <v>2155</v>
      </c>
      <c r="G213">
        <f t="shared" ca="1" si="44"/>
        <v>10</v>
      </c>
      <c r="H213">
        <f t="shared" ca="1" si="45"/>
        <v>1939.5</v>
      </c>
      <c r="I213">
        <f t="shared" ca="1" si="46"/>
        <v>1</v>
      </c>
      <c r="J213">
        <f t="shared" ca="1" si="47"/>
        <v>0</v>
      </c>
      <c r="K213">
        <f t="shared" ca="1" si="48"/>
        <v>0</v>
      </c>
      <c r="L213">
        <f t="shared" ca="1" si="49"/>
        <v>0</v>
      </c>
      <c r="M213">
        <f t="shared" ca="1" si="50"/>
        <v>2</v>
      </c>
      <c r="N213">
        <f t="shared" ca="1" si="51"/>
        <v>0</v>
      </c>
    </row>
    <row r="214" spans="1:14" x14ac:dyDescent="0.35">
      <c r="A214" t="s">
        <v>231</v>
      </c>
      <c r="B214" t="str">
        <f t="shared" si="39"/>
        <v>Control</v>
      </c>
      <c r="C214">
        <f t="shared" ca="1" si="40"/>
        <v>22</v>
      </c>
      <c r="D214" t="str">
        <f t="shared" ca="1" si="41"/>
        <v>Female</v>
      </c>
      <c r="E214" t="str">
        <f t="shared" ca="1" si="42"/>
        <v>Tops</v>
      </c>
      <c r="F214">
        <f t="shared" ca="1" si="43"/>
        <v>4750</v>
      </c>
      <c r="G214">
        <f t="shared" ca="1" si="44"/>
        <v>10</v>
      </c>
      <c r="H214">
        <f t="shared" ca="1" si="45"/>
        <v>4275</v>
      </c>
      <c r="I214">
        <f t="shared" ca="1" si="46"/>
        <v>0</v>
      </c>
      <c r="J214">
        <f t="shared" ca="1" si="47"/>
        <v>0</v>
      </c>
      <c r="K214">
        <f t="shared" ca="1" si="48"/>
        <v>0</v>
      </c>
      <c r="L214">
        <f t="shared" ca="1" si="49"/>
        <v>0</v>
      </c>
      <c r="M214">
        <f t="shared" ca="1" si="50"/>
        <v>1</v>
      </c>
      <c r="N214">
        <f t="shared" ca="1" si="51"/>
        <v>0</v>
      </c>
    </row>
    <row r="215" spans="1:14" x14ac:dyDescent="0.35">
      <c r="A215" t="s">
        <v>232</v>
      </c>
      <c r="B215" t="str">
        <f t="shared" si="39"/>
        <v>Control</v>
      </c>
      <c r="C215">
        <f t="shared" ca="1" si="40"/>
        <v>43</v>
      </c>
      <c r="D215" t="str">
        <f t="shared" ca="1" si="41"/>
        <v>Male</v>
      </c>
      <c r="E215" t="str">
        <f t="shared" ca="1" si="42"/>
        <v>Tops</v>
      </c>
      <c r="F215">
        <f t="shared" ca="1" si="43"/>
        <v>507</v>
      </c>
      <c r="G215">
        <f t="shared" ca="1" si="44"/>
        <v>10</v>
      </c>
      <c r="H215">
        <f t="shared" ca="1" si="45"/>
        <v>456.3</v>
      </c>
      <c r="I215">
        <f t="shared" ca="1" si="46"/>
        <v>1</v>
      </c>
      <c r="J215">
        <f t="shared" ca="1" si="47"/>
        <v>0</v>
      </c>
      <c r="K215">
        <f t="shared" ca="1" si="48"/>
        <v>0</v>
      </c>
      <c r="L215">
        <f t="shared" ca="1" si="49"/>
        <v>0</v>
      </c>
      <c r="M215">
        <f t="shared" ca="1" si="50"/>
        <v>7</v>
      </c>
      <c r="N215">
        <f t="shared" ca="1" si="51"/>
        <v>0</v>
      </c>
    </row>
    <row r="216" spans="1:14" x14ac:dyDescent="0.35">
      <c r="A216" t="s">
        <v>233</v>
      </c>
      <c r="B216" t="str">
        <f t="shared" si="39"/>
        <v>Control</v>
      </c>
      <c r="C216">
        <f t="shared" ca="1" si="40"/>
        <v>23</v>
      </c>
      <c r="D216" t="str">
        <f t="shared" ca="1" si="41"/>
        <v>Male</v>
      </c>
      <c r="E216" t="str">
        <f t="shared" ca="1" si="42"/>
        <v>Tops</v>
      </c>
      <c r="F216">
        <f t="shared" ca="1" si="43"/>
        <v>5659</v>
      </c>
      <c r="G216">
        <f t="shared" ca="1" si="44"/>
        <v>10</v>
      </c>
      <c r="H216">
        <f t="shared" ca="1" si="45"/>
        <v>5093.1000000000004</v>
      </c>
      <c r="I216">
        <f t="shared" ca="1" si="46"/>
        <v>1</v>
      </c>
      <c r="J216">
        <f t="shared" ca="1" si="47"/>
        <v>1</v>
      </c>
      <c r="K216">
        <f t="shared" ca="1" si="48"/>
        <v>0</v>
      </c>
      <c r="L216">
        <f t="shared" ca="1" si="49"/>
        <v>0</v>
      </c>
      <c r="M216">
        <f t="shared" ca="1" si="50"/>
        <v>5</v>
      </c>
      <c r="N216">
        <f t="shared" ca="1" si="51"/>
        <v>0</v>
      </c>
    </row>
    <row r="217" spans="1:14" x14ac:dyDescent="0.35">
      <c r="A217" t="s">
        <v>234</v>
      </c>
      <c r="B217" t="str">
        <f t="shared" si="39"/>
        <v>Control</v>
      </c>
      <c r="C217">
        <f t="shared" ca="1" si="40"/>
        <v>18</v>
      </c>
      <c r="D217" t="str">
        <f t="shared" ca="1" si="41"/>
        <v>Male</v>
      </c>
      <c r="E217" t="str">
        <f t="shared" ca="1" si="42"/>
        <v>Tops</v>
      </c>
      <c r="F217">
        <f t="shared" ca="1" si="43"/>
        <v>1095</v>
      </c>
      <c r="G217">
        <f t="shared" ca="1" si="44"/>
        <v>10</v>
      </c>
      <c r="H217">
        <f t="shared" ca="1" si="45"/>
        <v>985.5</v>
      </c>
      <c r="I217">
        <f t="shared" ca="1" si="46"/>
        <v>1</v>
      </c>
      <c r="J217">
        <f t="shared" ca="1" si="47"/>
        <v>0</v>
      </c>
      <c r="K217">
        <f t="shared" ca="1" si="48"/>
        <v>0</v>
      </c>
      <c r="L217">
        <f t="shared" ca="1" si="49"/>
        <v>0</v>
      </c>
      <c r="M217">
        <f t="shared" ca="1" si="50"/>
        <v>7</v>
      </c>
      <c r="N217">
        <f t="shared" ca="1" si="51"/>
        <v>0</v>
      </c>
    </row>
    <row r="218" spans="1:14" x14ac:dyDescent="0.35">
      <c r="A218" t="s">
        <v>235</v>
      </c>
      <c r="B218" t="str">
        <f t="shared" si="39"/>
        <v>Control</v>
      </c>
      <c r="C218">
        <f t="shared" ca="1" si="40"/>
        <v>39</v>
      </c>
      <c r="D218" t="str">
        <f t="shared" ca="1" si="41"/>
        <v>Female</v>
      </c>
      <c r="E218" t="str">
        <f t="shared" ca="1" si="42"/>
        <v>Accessories</v>
      </c>
      <c r="F218">
        <f t="shared" ca="1" si="43"/>
        <v>5390</v>
      </c>
      <c r="G218">
        <f t="shared" ca="1" si="44"/>
        <v>10</v>
      </c>
      <c r="H218">
        <f t="shared" ca="1" si="45"/>
        <v>4851</v>
      </c>
      <c r="I218">
        <f t="shared" ca="1" si="46"/>
        <v>1</v>
      </c>
      <c r="J218">
        <f t="shared" ca="1" si="47"/>
        <v>0</v>
      </c>
      <c r="K218">
        <f t="shared" ca="1" si="48"/>
        <v>0</v>
      </c>
      <c r="L218">
        <f t="shared" ca="1" si="49"/>
        <v>0</v>
      </c>
      <c r="M218">
        <f t="shared" ca="1" si="50"/>
        <v>1</v>
      </c>
      <c r="N218">
        <f t="shared" ca="1" si="51"/>
        <v>0</v>
      </c>
    </row>
    <row r="219" spans="1:14" x14ac:dyDescent="0.35">
      <c r="A219" t="s">
        <v>236</v>
      </c>
      <c r="B219" t="str">
        <f t="shared" si="39"/>
        <v>Control</v>
      </c>
      <c r="C219">
        <f t="shared" ca="1" si="40"/>
        <v>39</v>
      </c>
      <c r="D219" t="str">
        <f t="shared" ca="1" si="41"/>
        <v>Other</v>
      </c>
      <c r="E219" t="str">
        <f t="shared" ca="1" si="42"/>
        <v>Dresses</v>
      </c>
      <c r="F219">
        <f t="shared" ca="1" si="43"/>
        <v>7636</v>
      </c>
      <c r="G219">
        <f t="shared" ca="1" si="44"/>
        <v>10</v>
      </c>
      <c r="H219">
        <f t="shared" ca="1" si="45"/>
        <v>6872.4000000000005</v>
      </c>
      <c r="I219">
        <f t="shared" ca="1" si="46"/>
        <v>0</v>
      </c>
      <c r="J219">
        <f t="shared" ca="1" si="47"/>
        <v>0</v>
      </c>
      <c r="K219">
        <f t="shared" ca="1" si="48"/>
        <v>0</v>
      </c>
      <c r="L219">
        <f t="shared" ca="1" si="49"/>
        <v>0</v>
      </c>
      <c r="M219">
        <f t="shared" ca="1" si="50"/>
        <v>6</v>
      </c>
      <c r="N219">
        <f t="shared" ca="1" si="51"/>
        <v>0</v>
      </c>
    </row>
    <row r="220" spans="1:14" x14ac:dyDescent="0.35">
      <c r="A220" t="s">
        <v>237</v>
      </c>
      <c r="B220" t="str">
        <f t="shared" si="39"/>
        <v>Control</v>
      </c>
      <c r="C220">
        <f t="shared" ca="1" si="40"/>
        <v>22</v>
      </c>
      <c r="D220" t="str">
        <f t="shared" ca="1" si="41"/>
        <v>Female</v>
      </c>
      <c r="E220" t="str">
        <f t="shared" ca="1" si="42"/>
        <v>Jeans</v>
      </c>
      <c r="F220">
        <f t="shared" ca="1" si="43"/>
        <v>2108</v>
      </c>
      <c r="G220">
        <f t="shared" ca="1" si="44"/>
        <v>10</v>
      </c>
      <c r="H220">
        <f t="shared" ca="1" si="45"/>
        <v>1897.2</v>
      </c>
      <c r="I220">
        <f t="shared" ca="1" si="46"/>
        <v>1</v>
      </c>
      <c r="J220">
        <f t="shared" ca="1" si="47"/>
        <v>0</v>
      </c>
      <c r="K220">
        <f t="shared" ca="1" si="48"/>
        <v>0</v>
      </c>
      <c r="L220">
        <f t="shared" ca="1" si="49"/>
        <v>0</v>
      </c>
      <c r="M220">
        <f t="shared" ca="1" si="50"/>
        <v>7</v>
      </c>
      <c r="N220">
        <f t="shared" ca="1" si="51"/>
        <v>0</v>
      </c>
    </row>
    <row r="221" spans="1:14" x14ac:dyDescent="0.35">
      <c r="A221" t="s">
        <v>238</v>
      </c>
      <c r="B221" t="str">
        <f t="shared" si="39"/>
        <v>Control</v>
      </c>
      <c r="C221">
        <f t="shared" ca="1" si="40"/>
        <v>18</v>
      </c>
      <c r="D221" t="str">
        <f t="shared" ca="1" si="41"/>
        <v>Male</v>
      </c>
      <c r="E221" t="str">
        <f t="shared" ca="1" si="42"/>
        <v>Tops</v>
      </c>
      <c r="F221">
        <f t="shared" ca="1" si="43"/>
        <v>1302</v>
      </c>
      <c r="G221">
        <f t="shared" ca="1" si="44"/>
        <v>10</v>
      </c>
      <c r="H221">
        <f t="shared" ca="1" si="45"/>
        <v>1171.8</v>
      </c>
      <c r="I221">
        <f t="shared" ca="1" si="46"/>
        <v>1</v>
      </c>
      <c r="J221">
        <f t="shared" ca="1" si="47"/>
        <v>1</v>
      </c>
      <c r="K221">
        <f t="shared" ca="1" si="48"/>
        <v>0</v>
      </c>
      <c r="L221">
        <f t="shared" ca="1" si="49"/>
        <v>0</v>
      </c>
      <c r="M221">
        <f t="shared" ca="1" si="50"/>
        <v>3</v>
      </c>
      <c r="N221">
        <f t="shared" ca="1" si="51"/>
        <v>0</v>
      </c>
    </row>
    <row r="222" spans="1:14" x14ac:dyDescent="0.35">
      <c r="A222" t="s">
        <v>239</v>
      </c>
      <c r="B222" t="str">
        <f t="shared" si="39"/>
        <v>Control</v>
      </c>
      <c r="C222">
        <f t="shared" ca="1" si="40"/>
        <v>42</v>
      </c>
      <c r="D222" t="str">
        <f t="shared" ca="1" si="41"/>
        <v>Male</v>
      </c>
      <c r="E222" t="str">
        <f t="shared" ca="1" si="42"/>
        <v>Tops</v>
      </c>
      <c r="F222">
        <f t="shared" ca="1" si="43"/>
        <v>4257</v>
      </c>
      <c r="G222">
        <f t="shared" ca="1" si="44"/>
        <v>10</v>
      </c>
      <c r="H222">
        <f t="shared" ca="1" si="45"/>
        <v>3831.3</v>
      </c>
      <c r="I222">
        <f t="shared" ca="1" si="46"/>
        <v>0</v>
      </c>
      <c r="J222">
        <f t="shared" ca="1" si="47"/>
        <v>0</v>
      </c>
      <c r="K222">
        <f t="shared" ca="1" si="48"/>
        <v>0</v>
      </c>
      <c r="L222">
        <f t="shared" ca="1" si="49"/>
        <v>0</v>
      </c>
      <c r="M222">
        <f t="shared" ca="1" si="50"/>
        <v>7</v>
      </c>
      <c r="N222">
        <f t="shared" ca="1" si="51"/>
        <v>0</v>
      </c>
    </row>
    <row r="223" spans="1:14" x14ac:dyDescent="0.35">
      <c r="A223" t="s">
        <v>240</v>
      </c>
      <c r="B223" t="str">
        <f t="shared" si="39"/>
        <v>Control</v>
      </c>
      <c r="C223">
        <f t="shared" ca="1" si="40"/>
        <v>39</v>
      </c>
      <c r="D223" t="str">
        <f t="shared" ca="1" si="41"/>
        <v>Female</v>
      </c>
      <c r="E223" t="str">
        <f t="shared" ca="1" si="42"/>
        <v>Sportswear</v>
      </c>
      <c r="F223">
        <f t="shared" ca="1" si="43"/>
        <v>3957</v>
      </c>
      <c r="G223">
        <f t="shared" ca="1" si="44"/>
        <v>10</v>
      </c>
      <c r="H223">
        <f t="shared" ca="1" si="45"/>
        <v>3561.3</v>
      </c>
      <c r="I223">
        <f t="shared" ca="1" si="46"/>
        <v>1</v>
      </c>
      <c r="J223">
        <f t="shared" ca="1" si="47"/>
        <v>0</v>
      </c>
      <c r="K223">
        <f t="shared" ca="1" si="48"/>
        <v>0</v>
      </c>
      <c r="L223">
        <f t="shared" ca="1" si="49"/>
        <v>0</v>
      </c>
      <c r="M223">
        <f t="shared" ca="1" si="50"/>
        <v>5</v>
      </c>
      <c r="N223">
        <f t="shared" ca="1" si="51"/>
        <v>0</v>
      </c>
    </row>
    <row r="224" spans="1:14" x14ac:dyDescent="0.35">
      <c r="A224" t="s">
        <v>241</v>
      </c>
      <c r="B224" t="str">
        <f t="shared" si="39"/>
        <v>Control</v>
      </c>
      <c r="C224">
        <f t="shared" ca="1" si="40"/>
        <v>45</v>
      </c>
      <c r="D224" t="str">
        <f t="shared" ca="1" si="41"/>
        <v>Female</v>
      </c>
      <c r="E224" t="str">
        <f t="shared" ca="1" si="42"/>
        <v>Sportswear</v>
      </c>
      <c r="F224">
        <f t="shared" ca="1" si="43"/>
        <v>3384</v>
      </c>
      <c r="G224">
        <f t="shared" ca="1" si="44"/>
        <v>10</v>
      </c>
      <c r="H224">
        <f t="shared" ca="1" si="45"/>
        <v>3045.6</v>
      </c>
      <c r="I224">
        <f t="shared" ca="1" si="46"/>
        <v>0</v>
      </c>
      <c r="J224">
        <f t="shared" ca="1" si="47"/>
        <v>0</v>
      </c>
      <c r="K224">
        <f t="shared" ca="1" si="48"/>
        <v>0</v>
      </c>
      <c r="L224">
        <f t="shared" ca="1" si="49"/>
        <v>0</v>
      </c>
      <c r="M224">
        <f t="shared" ca="1" si="50"/>
        <v>4</v>
      </c>
      <c r="N224">
        <f t="shared" ca="1" si="51"/>
        <v>0</v>
      </c>
    </row>
    <row r="225" spans="1:14" x14ac:dyDescent="0.35">
      <c r="A225" t="s">
        <v>242</v>
      </c>
      <c r="B225" t="str">
        <f t="shared" si="39"/>
        <v>Control</v>
      </c>
      <c r="C225">
        <f t="shared" ca="1" si="40"/>
        <v>41</v>
      </c>
      <c r="D225" t="str">
        <f t="shared" ca="1" si="41"/>
        <v>Female</v>
      </c>
      <c r="E225" t="str">
        <f t="shared" ca="1" si="42"/>
        <v>Shoes</v>
      </c>
      <c r="F225">
        <f t="shared" ca="1" si="43"/>
        <v>1540</v>
      </c>
      <c r="G225">
        <f t="shared" ca="1" si="44"/>
        <v>10</v>
      </c>
      <c r="H225">
        <f t="shared" ca="1" si="45"/>
        <v>1386</v>
      </c>
      <c r="I225">
        <f t="shared" ca="1" si="46"/>
        <v>1</v>
      </c>
      <c r="J225">
        <f t="shared" ca="1" si="47"/>
        <v>1</v>
      </c>
      <c r="K225">
        <f t="shared" ca="1" si="48"/>
        <v>1</v>
      </c>
      <c r="L225">
        <f t="shared" ca="1" si="49"/>
        <v>1386</v>
      </c>
      <c r="M225">
        <f t="shared" ca="1" si="50"/>
        <v>4</v>
      </c>
      <c r="N225">
        <f t="shared" ca="1" si="51"/>
        <v>0</v>
      </c>
    </row>
    <row r="226" spans="1:14" x14ac:dyDescent="0.35">
      <c r="A226" t="s">
        <v>243</v>
      </c>
      <c r="B226" t="str">
        <f t="shared" si="39"/>
        <v>Control</v>
      </c>
      <c r="C226">
        <f t="shared" ca="1" si="40"/>
        <v>23</v>
      </c>
      <c r="D226" t="str">
        <f t="shared" ca="1" si="41"/>
        <v>Male</v>
      </c>
      <c r="E226" t="str">
        <f t="shared" ca="1" si="42"/>
        <v>Accessories</v>
      </c>
      <c r="F226">
        <f t="shared" ca="1" si="43"/>
        <v>7122</v>
      </c>
      <c r="G226">
        <f t="shared" ca="1" si="44"/>
        <v>10</v>
      </c>
      <c r="H226">
        <f t="shared" ca="1" si="45"/>
        <v>6409.8</v>
      </c>
      <c r="I226">
        <f t="shared" ca="1" si="46"/>
        <v>1</v>
      </c>
      <c r="J226">
        <f t="shared" ca="1" si="47"/>
        <v>0</v>
      </c>
      <c r="K226">
        <f t="shared" ca="1" si="48"/>
        <v>0</v>
      </c>
      <c r="L226">
        <f t="shared" ca="1" si="49"/>
        <v>0</v>
      </c>
      <c r="M226">
        <f t="shared" ca="1" si="50"/>
        <v>6</v>
      </c>
      <c r="N226">
        <f t="shared" ca="1" si="51"/>
        <v>0</v>
      </c>
    </row>
    <row r="227" spans="1:14" x14ac:dyDescent="0.35">
      <c r="A227" t="s">
        <v>244</v>
      </c>
      <c r="B227" t="str">
        <f t="shared" si="39"/>
        <v>Control</v>
      </c>
      <c r="C227">
        <f t="shared" ca="1" si="40"/>
        <v>20</v>
      </c>
      <c r="D227" t="str">
        <f t="shared" ca="1" si="41"/>
        <v>Other</v>
      </c>
      <c r="E227" t="str">
        <f t="shared" ca="1" si="42"/>
        <v>Tops</v>
      </c>
      <c r="F227">
        <f t="shared" ca="1" si="43"/>
        <v>7564</v>
      </c>
      <c r="G227">
        <f t="shared" ca="1" si="44"/>
        <v>10</v>
      </c>
      <c r="H227">
        <f t="shared" ca="1" si="45"/>
        <v>6807.6</v>
      </c>
      <c r="I227">
        <f t="shared" ca="1" si="46"/>
        <v>0</v>
      </c>
      <c r="J227">
        <f t="shared" ca="1" si="47"/>
        <v>0</v>
      </c>
      <c r="K227">
        <f t="shared" ca="1" si="48"/>
        <v>0</v>
      </c>
      <c r="L227">
        <f t="shared" ca="1" si="49"/>
        <v>0</v>
      </c>
      <c r="M227">
        <f t="shared" ca="1" si="50"/>
        <v>7</v>
      </c>
      <c r="N227">
        <f t="shared" ca="1" si="51"/>
        <v>0</v>
      </c>
    </row>
    <row r="228" spans="1:14" x14ac:dyDescent="0.35">
      <c r="A228" t="s">
        <v>245</v>
      </c>
      <c r="B228" t="str">
        <f t="shared" si="39"/>
        <v>Control</v>
      </c>
      <c r="C228">
        <f t="shared" ca="1" si="40"/>
        <v>45</v>
      </c>
      <c r="D228" t="str">
        <f t="shared" ca="1" si="41"/>
        <v>Male</v>
      </c>
      <c r="E228" t="str">
        <f t="shared" ca="1" si="42"/>
        <v>Tops</v>
      </c>
      <c r="F228">
        <f t="shared" ca="1" si="43"/>
        <v>3222</v>
      </c>
      <c r="G228">
        <f t="shared" ca="1" si="44"/>
        <v>10</v>
      </c>
      <c r="H228">
        <f t="shared" ca="1" si="45"/>
        <v>2899.8</v>
      </c>
      <c r="I228">
        <f t="shared" ca="1" si="46"/>
        <v>0</v>
      </c>
      <c r="J228">
        <f t="shared" ca="1" si="47"/>
        <v>0</v>
      </c>
      <c r="K228">
        <f t="shared" ca="1" si="48"/>
        <v>0</v>
      </c>
      <c r="L228">
        <f t="shared" ca="1" si="49"/>
        <v>0</v>
      </c>
      <c r="M228">
        <f t="shared" ca="1" si="50"/>
        <v>2</v>
      </c>
      <c r="N228">
        <f t="shared" ca="1" si="51"/>
        <v>0</v>
      </c>
    </row>
    <row r="229" spans="1:14" x14ac:dyDescent="0.35">
      <c r="A229" t="s">
        <v>246</v>
      </c>
      <c r="B229" t="str">
        <f t="shared" si="39"/>
        <v>Control</v>
      </c>
      <c r="C229">
        <f t="shared" ca="1" si="40"/>
        <v>20</v>
      </c>
      <c r="D229" t="str">
        <f t="shared" ca="1" si="41"/>
        <v>Female</v>
      </c>
      <c r="E229" t="str">
        <f t="shared" ca="1" si="42"/>
        <v>T-shirts</v>
      </c>
      <c r="F229">
        <f t="shared" ca="1" si="43"/>
        <v>3009</v>
      </c>
      <c r="G229">
        <f t="shared" ca="1" si="44"/>
        <v>10</v>
      </c>
      <c r="H229">
        <f t="shared" ca="1" si="45"/>
        <v>2708.1</v>
      </c>
      <c r="I229">
        <f t="shared" ca="1" si="46"/>
        <v>0</v>
      </c>
      <c r="J229">
        <f t="shared" ca="1" si="47"/>
        <v>0</v>
      </c>
      <c r="K229">
        <f t="shared" ca="1" si="48"/>
        <v>0</v>
      </c>
      <c r="L229">
        <f t="shared" ca="1" si="49"/>
        <v>0</v>
      </c>
      <c r="M229">
        <f t="shared" ca="1" si="50"/>
        <v>2</v>
      </c>
      <c r="N229">
        <f t="shared" ca="1" si="51"/>
        <v>0</v>
      </c>
    </row>
    <row r="230" spans="1:14" x14ac:dyDescent="0.35">
      <c r="A230" t="s">
        <v>247</v>
      </c>
      <c r="B230" t="str">
        <f t="shared" si="39"/>
        <v>Control</v>
      </c>
      <c r="C230">
        <f t="shared" ca="1" si="40"/>
        <v>22</v>
      </c>
      <c r="D230" t="str">
        <f t="shared" ca="1" si="41"/>
        <v>Male</v>
      </c>
      <c r="E230" t="str">
        <f t="shared" ca="1" si="42"/>
        <v>Shoes</v>
      </c>
      <c r="F230">
        <f t="shared" ca="1" si="43"/>
        <v>6066</v>
      </c>
      <c r="G230">
        <f t="shared" ca="1" si="44"/>
        <v>10</v>
      </c>
      <c r="H230">
        <f t="shared" ca="1" si="45"/>
        <v>5459.4000000000005</v>
      </c>
      <c r="I230">
        <f t="shared" ca="1" si="46"/>
        <v>0</v>
      </c>
      <c r="J230">
        <f t="shared" ca="1" si="47"/>
        <v>0</v>
      </c>
      <c r="K230">
        <f t="shared" ca="1" si="48"/>
        <v>0</v>
      </c>
      <c r="L230">
        <f t="shared" ca="1" si="49"/>
        <v>0</v>
      </c>
      <c r="M230">
        <f t="shared" ca="1" si="50"/>
        <v>7</v>
      </c>
      <c r="N230">
        <f t="shared" ca="1" si="51"/>
        <v>0</v>
      </c>
    </row>
    <row r="231" spans="1:14" x14ac:dyDescent="0.35">
      <c r="A231" t="s">
        <v>248</v>
      </c>
      <c r="B231" t="str">
        <f t="shared" si="39"/>
        <v>Control</v>
      </c>
      <c r="C231">
        <f t="shared" ca="1" si="40"/>
        <v>20</v>
      </c>
      <c r="D231" t="str">
        <f t="shared" ca="1" si="41"/>
        <v>Male</v>
      </c>
      <c r="E231" t="str">
        <f t="shared" ca="1" si="42"/>
        <v>Accessories</v>
      </c>
      <c r="F231">
        <f t="shared" ca="1" si="43"/>
        <v>842</v>
      </c>
      <c r="G231">
        <f t="shared" ca="1" si="44"/>
        <v>10</v>
      </c>
      <c r="H231">
        <f t="shared" ca="1" si="45"/>
        <v>757.80000000000007</v>
      </c>
      <c r="I231">
        <f t="shared" ca="1" si="46"/>
        <v>1</v>
      </c>
      <c r="J231">
        <f t="shared" ca="1" si="47"/>
        <v>1</v>
      </c>
      <c r="K231">
        <f t="shared" ca="1" si="48"/>
        <v>1</v>
      </c>
      <c r="L231">
        <f t="shared" ca="1" si="49"/>
        <v>757.80000000000007</v>
      </c>
      <c r="M231">
        <f t="shared" ca="1" si="50"/>
        <v>1</v>
      </c>
      <c r="N231">
        <f t="shared" ca="1" si="51"/>
        <v>0</v>
      </c>
    </row>
    <row r="232" spans="1:14" x14ac:dyDescent="0.35">
      <c r="A232" t="s">
        <v>249</v>
      </c>
      <c r="B232" t="str">
        <f t="shared" si="39"/>
        <v>Control</v>
      </c>
      <c r="C232">
        <f t="shared" ca="1" si="40"/>
        <v>41</v>
      </c>
      <c r="D232" t="str">
        <f t="shared" ca="1" si="41"/>
        <v>Female</v>
      </c>
      <c r="E232" t="str">
        <f t="shared" ca="1" si="42"/>
        <v>Accessories</v>
      </c>
      <c r="F232">
        <f t="shared" ca="1" si="43"/>
        <v>4350</v>
      </c>
      <c r="G232">
        <f t="shared" ca="1" si="44"/>
        <v>10</v>
      </c>
      <c r="H232">
        <f t="shared" ca="1" si="45"/>
        <v>3915</v>
      </c>
      <c r="I232">
        <f t="shared" ca="1" si="46"/>
        <v>1</v>
      </c>
      <c r="J232">
        <f t="shared" ca="1" si="47"/>
        <v>1</v>
      </c>
      <c r="K232">
        <f t="shared" ca="1" si="48"/>
        <v>0</v>
      </c>
      <c r="L232">
        <f t="shared" ca="1" si="49"/>
        <v>0</v>
      </c>
      <c r="M232">
        <f t="shared" ca="1" si="50"/>
        <v>3</v>
      </c>
      <c r="N232">
        <f t="shared" ca="1" si="51"/>
        <v>0</v>
      </c>
    </row>
    <row r="233" spans="1:14" x14ac:dyDescent="0.35">
      <c r="A233" t="s">
        <v>250</v>
      </c>
      <c r="B233" t="str">
        <f t="shared" si="39"/>
        <v>Control</v>
      </c>
      <c r="C233">
        <f t="shared" ca="1" si="40"/>
        <v>37</v>
      </c>
      <c r="D233" t="str">
        <f t="shared" ca="1" si="41"/>
        <v>Male</v>
      </c>
      <c r="E233" t="str">
        <f t="shared" ca="1" si="42"/>
        <v>Ethnic Wear</v>
      </c>
      <c r="F233">
        <f t="shared" ca="1" si="43"/>
        <v>3079</v>
      </c>
      <c r="G233">
        <f t="shared" ca="1" si="44"/>
        <v>10</v>
      </c>
      <c r="H233">
        <f t="shared" ca="1" si="45"/>
        <v>2771.1</v>
      </c>
      <c r="I233">
        <f t="shared" ca="1" si="46"/>
        <v>1</v>
      </c>
      <c r="J233">
        <f t="shared" ca="1" si="47"/>
        <v>0</v>
      </c>
      <c r="K233">
        <f t="shared" ca="1" si="48"/>
        <v>0</v>
      </c>
      <c r="L233">
        <f t="shared" ca="1" si="49"/>
        <v>0</v>
      </c>
      <c r="M233">
        <f t="shared" ca="1" si="50"/>
        <v>5</v>
      </c>
      <c r="N233">
        <f t="shared" ca="1" si="51"/>
        <v>0</v>
      </c>
    </row>
    <row r="234" spans="1:14" x14ac:dyDescent="0.35">
      <c r="A234" t="s">
        <v>251</v>
      </c>
      <c r="B234" t="str">
        <f t="shared" si="39"/>
        <v>Control</v>
      </c>
      <c r="C234">
        <f t="shared" ca="1" si="40"/>
        <v>33</v>
      </c>
      <c r="D234" t="str">
        <f t="shared" ca="1" si="41"/>
        <v>Male</v>
      </c>
      <c r="E234" t="str">
        <f t="shared" ca="1" si="42"/>
        <v>Dresses</v>
      </c>
      <c r="F234">
        <f t="shared" ca="1" si="43"/>
        <v>6458</v>
      </c>
      <c r="G234">
        <f t="shared" ca="1" si="44"/>
        <v>10</v>
      </c>
      <c r="H234">
        <f t="shared" ca="1" si="45"/>
        <v>5812.2</v>
      </c>
      <c r="I234">
        <f t="shared" ca="1" si="46"/>
        <v>1</v>
      </c>
      <c r="J234">
        <f t="shared" ca="1" si="47"/>
        <v>1</v>
      </c>
      <c r="K234">
        <f t="shared" ca="1" si="48"/>
        <v>0</v>
      </c>
      <c r="L234">
        <f t="shared" ca="1" si="49"/>
        <v>0</v>
      </c>
      <c r="M234">
        <f t="shared" ca="1" si="50"/>
        <v>2</v>
      </c>
      <c r="N234">
        <f t="shared" ca="1" si="51"/>
        <v>0</v>
      </c>
    </row>
    <row r="235" spans="1:14" x14ac:dyDescent="0.35">
      <c r="A235" t="s">
        <v>252</v>
      </c>
      <c r="B235" t="str">
        <f t="shared" si="39"/>
        <v>Control</v>
      </c>
      <c r="C235">
        <f t="shared" ca="1" si="40"/>
        <v>28</v>
      </c>
      <c r="D235" t="str">
        <f t="shared" ca="1" si="41"/>
        <v>Other</v>
      </c>
      <c r="E235" t="str">
        <f t="shared" ca="1" si="42"/>
        <v>Sportswear</v>
      </c>
      <c r="F235">
        <f t="shared" ca="1" si="43"/>
        <v>2166</v>
      </c>
      <c r="G235">
        <f t="shared" ca="1" si="44"/>
        <v>10</v>
      </c>
      <c r="H235">
        <f t="shared" ca="1" si="45"/>
        <v>1949.4</v>
      </c>
      <c r="I235">
        <f t="shared" ca="1" si="46"/>
        <v>1</v>
      </c>
      <c r="J235">
        <f t="shared" ca="1" si="47"/>
        <v>1</v>
      </c>
      <c r="K235">
        <f t="shared" ca="1" si="48"/>
        <v>1</v>
      </c>
      <c r="L235">
        <f t="shared" ca="1" si="49"/>
        <v>1949.4</v>
      </c>
      <c r="M235">
        <f t="shared" ca="1" si="50"/>
        <v>7</v>
      </c>
      <c r="N235">
        <f t="shared" ca="1" si="51"/>
        <v>0</v>
      </c>
    </row>
    <row r="236" spans="1:14" x14ac:dyDescent="0.35">
      <c r="A236" t="s">
        <v>253</v>
      </c>
      <c r="B236" t="str">
        <f t="shared" si="39"/>
        <v>Control</v>
      </c>
      <c r="C236">
        <f t="shared" ca="1" si="40"/>
        <v>40</v>
      </c>
      <c r="D236" t="str">
        <f t="shared" ca="1" si="41"/>
        <v>Male</v>
      </c>
      <c r="E236" t="str">
        <f t="shared" ca="1" si="42"/>
        <v>Accessories</v>
      </c>
      <c r="F236">
        <f t="shared" ca="1" si="43"/>
        <v>2574</v>
      </c>
      <c r="G236">
        <f t="shared" ca="1" si="44"/>
        <v>10</v>
      </c>
      <c r="H236">
        <f t="shared" ca="1" si="45"/>
        <v>2316.6</v>
      </c>
      <c r="I236">
        <f t="shared" ca="1" si="46"/>
        <v>1</v>
      </c>
      <c r="J236">
        <f t="shared" ca="1" si="47"/>
        <v>0</v>
      </c>
      <c r="K236">
        <f t="shared" ca="1" si="48"/>
        <v>0</v>
      </c>
      <c r="L236">
        <f t="shared" ca="1" si="49"/>
        <v>0</v>
      </c>
      <c r="M236">
        <f t="shared" ca="1" si="50"/>
        <v>2</v>
      </c>
      <c r="N236">
        <f t="shared" ca="1" si="51"/>
        <v>0</v>
      </c>
    </row>
    <row r="237" spans="1:14" x14ac:dyDescent="0.35">
      <c r="A237" t="s">
        <v>254</v>
      </c>
      <c r="B237" t="str">
        <f t="shared" si="39"/>
        <v>Control</v>
      </c>
      <c r="C237">
        <f t="shared" ca="1" si="40"/>
        <v>18</v>
      </c>
      <c r="D237" t="str">
        <f t="shared" ca="1" si="41"/>
        <v>Female</v>
      </c>
      <c r="E237" t="str">
        <f t="shared" ca="1" si="42"/>
        <v>Shoes</v>
      </c>
      <c r="F237">
        <f t="shared" ca="1" si="43"/>
        <v>4766</v>
      </c>
      <c r="G237">
        <f t="shared" ca="1" si="44"/>
        <v>10</v>
      </c>
      <c r="H237">
        <f t="shared" ca="1" si="45"/>
        <v>4289.4000000000005</v>
      </c>
      <c r="I237">
        <f t="shared" ca="1" si="46"/>
        <v>1</v>
      </c>
      <c r="J237">
        <f t="shared" ca="1" si="47"/>
        <v>0</v>
      </c>
      <c r="K237">
        <f t="shared" ca="1" si="48"/>
        <v>0</v>
      </c>
      <c r="L237">
        <f t="shared" ca="1" si="49"/>
        <v>0</v>
      </c>
      <c r="M237">
        <f t="shared" ca="1" si="50"/>
        <v>3</v>
      </c>
      <c r="N237">
        <f t="shared" ca="1" si="51"/>
        <v>0</v>
      </c>
    </row>
    <row r="238" spans="1:14" x14ac:dyDescent="0.35">
      <c r="A238" t="s">
        <v>255</v>
      </c>
      <c r="B238" t="str">
        <f t="shared" si="39"/>
        <v>Control</v>
      </c>
      <c r="C238">
        <f t="shared" ca="1" si="40"/>
        <v>23</v>
      </c>
      <c r="D238" t="str">
        <f t="shared" ca="1" si="41"/>
        <v>Other</v>
      </c>
      <c r="E238" t="str">
        <f t="shared" ca="1" si="42"/>
        <v>Sportswear</v>
      </c>
      <c r="F238">
        <f t="shared" ca="1" si="43"/>
        <v>645</v>
      </c>
      <c r="G238">
        <f t="shared" ca="1" si="44"/>
        <v>10</v>
      </c>
      <c r="H238">
        <f t="shared" ca="1" si="45"/>
        <v>580.5</v>
      </c>
      <c r="I238">
        <f t="shared" ca="1" si="46"/>
        <v>1</v>
      </c>
      <c r="J238">
        <f t="shared" ca="1" si="47"/>
        <v>0</v>
      </c>
      <c r="K238">
        <f t="shared" ca="1" si="48"/>
        <v>0</v>
      </c>
      <c r="L238">
        <f t="shared" ca="1" si="49"/>
        <v>0</v>
      </c>
      <c r="M238">
        <f t="shared" ca="1" si="50"/>
        <v>7</v>
      </c>
      <c r="N238">
        <f t="shared" ca="1" si="51"/>
        <v>0</v>
      </c>
    </row>
    <row r="239" spans="1:14" x14ac:dyDescent="0.35">
      <c r="A239" t="s">
        <v>256</v>
      </c>
      <c r="B239" t="str">
        <f t="shared" si="39"/>
        <v>Control</v>
      </c>
      <c r="C239">
        <f t="shared" ca="1" si="40"/>
        <v>43</v>
      </c>
      <c r="D239" t="str">
        <f t="shared" ca="1" si="41"/>
        <v>Male</v>
      </c>
      <c r="E239" t="str">
        <f t="shared" ca="1" si="42"/>
        <v>Sportswear</v>
      </c>
      <c r="F239">
        <f t="shared" ca="1" si="43"/>
        <v>3161</v>
      </c>
      <c r="G239">
        <f t="shared" ca="1" si="44"/>
        <v>10</v>
      </c>
      <c r="H239">
        <f t="shared" ca="1" si="45"/>
        <v>2844.9</v>
      </c>
      <c r="I239">
        <f t="shared" ca="1" si="46"/>
        <v>1</v>
      </c>
      <c r="J239">
        <f t="shared" ca="1" si="47"/>
        <v>1</v>
      </c>
      <c r="K239">
        <f t="shared" ca="1" si="48"/>
        <v>0</v>
      </c>
      <c r="L239">
        <f t="shared" ca="1" si="49"/>
        <v>0</v>
      </c>
      <c r="M239">
        <f t="shared" ca="1" si="50"/>
        <v>7</v>
      </c>
      <c r="N239">
        <f t="shared" ca="1" si="51"/>
        <v>0</v>
      </c>
    </row>
    <row r="240" spans="1:14" x14ac:dyDescent="0.35">
      <c r="A240" t="s">
        <v>257</v>
      </c>
      <c r="B240" t="str">
        <f t="shared" si="39"/>
        <v>Control</v>
      </c>
      <c r="C240">
        <f t="shared" ca="1" si="40"/>
        <v>41</v>
      </c>
      <c r="D240" t="str">
        <f t="shared" ca="1" si="41"/>
        <v>Female</v>
      </c>
      <c r="E240" t="str">
        <f t="shared" ca="1" si="42"/>
        <v>T-shirts</v>
      </c>
      <c r="F240">
        <f t="shared" ca="1" si="43"/>
        <v>3059</v>
      </c>
      <c r="G240">
        <f t="shared" ca="1" si="44"/>
        <v>10</v>
      </c>
      <c r="H240">
        <f t="shared" ca="1" si="45"/>
        <v>2753.1</v>
      </c>
      <c r="I240">
        <f t="shared" ca="1" si="46"/>
        <v>1</v>
      </c>
      <c r="J240">
        <f t="shared" ca="1" si="47"/>
        <v>0</v>
      </c>
      <c r="K240">
        <f t="shared" ca="1" si="48"/>
        <v>0</v>
      </c>
      <c r="L240">
        <f t="shared" ca="1" si="49"/>
        <v>0</v>
      </c>
      <c r="M240">
        <f t="shared" ca="1" si="50"/>
        <v>1</v>
      </c>
      <c r="N240">
        <f t="shared" ca="1" si="51"/>
        <v>0</v>
      </c>
    </row>
    <row r="241" spans="1:14" x14ac:dyDescent="0.35">
      <c r="A241" t="s">
        <v>258</v>
      </c>
      <c r="B241" t="str">
        <f t="shared" si="39"/>
        <v>Control</v>
      </c>
      <c r="C241">
        <f t="shared" ca="1" si="40"/>
        <v>31</v>
      </c>
      <c r="D241" t="str">
        <f t="shared" ca="1" si="41"/>
        <v>Other</v>
      </c>
      <c r="E241" t="str">
        <f t="shared" ca="1" si="42"/>
        <v>Jeans</v>
      </c>
      <c r="F241">
        <f t="shared" ca="1" si="43"/>
        <v>3614</v>
      </c>
      <c r="G241">
        <f t="shared" ca="1" si="44"/>
        <v>10</v>
      </c>
      <c r="H241">
        <f t="shared" ca="1" si="45"/>
        <v>3252.6</v>
      </c>
      <c r="I241">
        <f t="shared" ca="1" si="46"/>
        <v>1</v>
      </c>
      <c r="J241">
        <f t="shared" ca="1" si="47"/>
        <v>0</v>
      </c>
      <c r="K241">
        <f t="shared" ca="1" si="48"/>
        <v>0</v>
      </c>
      <c r="L241">
        <f t="shared" ca="1" si="49"/>
        <v>0</v>
      </c>
      <c r="M241">
        <f t="shared" ca="1" si="50"/>
        <v>7</v>
      </c>
      <c r="N241">
        <f t="shared" ca="1" si="51"/>
        <v>0</v>
      </c>
    </row>
    <row r="242" spans="1:14" x14ac:dyDescent="0.35">
      <c r="A242" t="s">
        <v>259</v>
      </c>
      <c r="B242" t="str">
        <f t="shared" si="39"/>
        <v>Control</v>
      </c>
      <c r="C242">
        <f t="shared" ca="1" si="40"/>
        <v>20</v>
      </c>
      <c r="D242" t="str">
        <f t="shared" ca="1" si="41"/>
        <v>Female</v>
      </c>
      <c r="E242" t="str">
        <f t="shared" ca="1" si="42"/>
        <v>Tops</v>
      </c>
      <c r="F242">
        <f t="shared" ca="1" si="43"/>
        <v>7317</v>
      </c>
      <c r="G242">
        <f t="shared" ca="1" si="44"/>
        <v>10</v>
      </c>
      <c r="H242">
        <f t="shared" ca="1" si="45"/>
        <v>6585.3</v>
      </c>
      <c r="I242">
        <f t="shared" ca="1" si="46"/>
        <v>1</v>
      </c>
      <c r="J242">
        <f t="shared" ca="1" si="47"/>
        <v>0</v>
      </c>
      <c r="K242">
        <f t="shared" ca="1" si="48"/>
        <v>0</v>
      </c>
      <c r="L242">
        <f t="shared" ca="1" si="49"/>
        <v>0</v>
      </c>
      <c r="M242">
        <f t="shared" ca="1" si="50"/>
        <v>4</v>
      </c>
      <c r="N242">
        <f t="shared" ca="1" si="51"/>
        <v>0</v>
      </c>
    </row>
    <row r="243" spans="1:14" x14ac:dyDescent="0.35">
      <c r="A243" t="s">
        <v>260</v>
      </c>
      <c r="B243" t="str">
        <f t="shared" si="39"/>
        <v>Control</v>
      </c>
      <c r="C243">
        <f t="shared" ca="1" si="40"/>
        <v>41</v>
      </c>
      <c r="D243" t="str">
        <f t="shared" ca="1" si="41"/>
        <v>Female</v>
      </c>
      <c r="E243" t="str">
        <f t="shared" ca="1" si="42"/>
        <v>T-shirts</v>
      </c>
      <c r="F243">
        <f t="shared" ca="1" si="43"/>
        <v>3236</v>
      </c>
      <c r="G243">
        <f t="shared" ca="1" si="44"/>
        <v>10</v>
      </c>
      <c r="H243">
        <f t="shared" ca="1" si="45"/>
        <v>2912.4</v>
      </c>
      <c r="I243">
        <f t="shared" ca="1" si="46"/>
        <v>1</v>
      </c>
      <c r="J243">
        <f t="shared" ca="1" si="47"/>
        <v>0</v>
      </c>
      <c r="K243">
        <f t="shared" ca="1" si="48"/>
        <v>0</v>
      </c>
      <c r="L243">
        <f t="shared" ca="1" si="49"/>
        <v>0</v>
      </c>
      <c r="M243">
        <f t="shared" ca="1" si="50"/>
        <v>1</v>
      </c>
      <c r="N243">
        <f t="shared" ca="1" si="51"/>
        <v>0</v>
      </c>
    </row>
    <row r="244" spans="1:14" x14ac:dyDescent="0.35">
      <c r="A244" t="s">
        <v>261</v>
      </c>
      <c r="B244" t="str">
        <f t="shared" si="39"/>
        <v>Control</v>
      </c>
      <c r="C244">
        <f t="shared" ca="1" si="40"/>
        <v>38</v>
      </c>
      <c r="D244" t="str">
        <f t="shared" ca="1" si="41"/>
        <v>Male</v>
      </c>
      <c r="E244" t="str">
        <f t="shared" ca="1" si="42"/>
        <v>Accessories</v>
      </c>
      <c r="F244">
        <f t="shared" ca="1" si="43"/>
        <v>3543</v>
      </c>
      <c r="G244">
        <f t="shared" ca="1" si="44"/>
        <v>10</v>
      </c>
      <c r="H244">
        <f t="shared" ca="1" si="45"/>
        <v>3188.7000000000003</v>
      </c>
      <c r="I244">
        <f t="shared" ca="1" si="46"/>
        <v>1</v>
      </c>
      <c r="J244">
        <f t="shared" ca="1" si="47"/>
        <v>1</v>
      </c>
      <c r="K244">
        <f t="shared" ca="1" si="48"/>
        <v>0</v>
      </c>
      <c r="L244">
        <f t="shared" ca="1" si="49"/>
        <v>0</v>
      </c>
      <c r="M244">
        <f t="shared" ca="1" si="50"/>
        <v>4</v>
      </c>
      <c r="N244">
        <f t="shared" ca="1" si="51"/>
        <v>0</v>
      </c>
    </row>
    <row r="245" spans="1:14" x14ac:dyDescent="0.35">
      <c r="A245" t="s">
        <v>262</v>
      </c>
      <c r="B245" t="str">
        <f t="shared" si="39"/>
        <v>Control</v>
      </c>
      <c r="C245">
        <f t="shared" ca="1" si="40"/>
        <v>38</v>
      </c>
      <c r="D245" t="str">
        <f t="shared" ca="1" si="41"/>
        <v>Female</v>
      </c>
      <c r="E245" t="str">
        <f t="shared" ca="1" si="42"/>
        <v>T-shirts</v>
      </c>
      <c r="F245">
        <f t="shared" ca="1" si="43"/>
        <v>2491</v>
      </c>
      <c r="G245">
        <f t="shared" ca="1" si="44"/>
        <v>10</v>
      </c>
      <c r="H245">
        <f t="shared" ca="1" si="45"/>
        <v>2241.9</v>
      </c>
      <c r="I245">
        <f t="shared" ca="1" si="46"/>
        <v>1</v>
      </c>
      <c r="J245">
        <f t="shared" ca="1" si="47"/>
        <v>1</v>
      </c>
      <c r="K245">
        <f t="shared" ca="1" si="48"/>
        <v>0</v>
      </c>
      <c r="L245">
        <f t="shared" ca="1" si="49"/>
        <v>0</v>
      </c>
      <c r="M245">
        <f t="shared" ca="1" si="50"/>
        <v>3</v>
      </c>
      <c r="N245">
        <f t="shared" ca="1" si="51"/>
        <v>0</v>
      </c>
    </row>
    <row r="246" spans="1:14" x14ac:dyDescent="0.35">
      <c r="A246" t="s">
        <v>263</v>
      </c>
      <c r="B246" t="str">
        <f t="shared" si="39"/>
        <v>Control</v>
      </c>
      <c r="C246">
        <f t="shared" ca="1" si="40"/>
        <v>29</v>
      </c>
      <c r="D246" t="str">
        <f t="shared" ca="1" si="41"/>
        <v>Male</v>
      </c>
      <c r="E246" t="str">
        <f t="shared" ca="1" si="42"/>
        <v>Shoes</v>
      </c>
      <c r="F246">
        <f t="shared" ca="1" si="43"/>
        <v>1357</v>
      </c>
      <c r="G246">
        <f t="shared" ca="1" si="44"/>
        <v>10</v>
      </c>
      <c r="H246">
        <f t="shared" ca="1" si="45"/>
        <v>1221.3</v>
      </c>
      <c r="I246">
        <f t="shared" ca="1" si="46"/>
        <v>1</v>
      </c>
      <c r="J246">
        <f t="shared" ca="1" si="47"/>
        <v>1</v>
      </c>
      <c r="K246">
        <f t="shared" ca="1" si="48"/>
        <v>0</v>
      </c>
      <c r="L246">
        <f t="shared" ca="1" si="49"/>
        <v>0</v>
      </c>
      <c r="M246">
        <f t="shared" ca="1" si="50"/>
        <v>3</v>
      </c>
      <c r="N246">
        <f t="shared" ca="1" si="51"/>
        <v>0</v>
      </c>
    </row>
    <row r="247" spans="1:14" x14ac:dyDescent="0.35">
      <c r="A247" t="s">
        <v>264</v>
      </c>
      <c r="B247" t="str">
        <f t="shared" si="39"/>
        <v>Control</v>
      </c>
      <c r="C247">
        <f t="shared" ca="1" si="40"/>
        <v>45</v>
      </c>
      <c r="D247" t="str">
        <f t="shared" ca="1" si="41"/>
        <v>Female</v>
      </c>
      <c r="E247" t="str">
        <f t="shared" ca="1" si="42"/>
        <v>Sportswear</v>
      </c>
      <c r="F247">
        <f t="shared" ca="1" si="43"/>
        <v>2452</v>
      </c>
      <c r="G247">
        <f t="shared" ca="1" si="44"/>
        <v>10</v>
      </c>
      <c r="H247">
        <f t="shared" ca="1" si="45"/>
        <v>2206.8000000000002</v>
      </c>
      <c r="I247">
        <f t="shared" ca="1" si="46"/>
        <v>1</v>
      </c>
      <c r="J247">
        <f t="shared" ca="1" si="47"/>
        <v>0</v>
      </c>
      <c r="K247">
        <f t="shared" ca="1" si="48"/>
        <v>0</v>
      </c>
      <c r="L247">
        <f t="shared" ca="1" si="49"/>
        <v>0</v>
      </c>
      <c r="M247">
        <f t="shared" ca="1" si="50"/>
        <v>3</v>
      </c>
      <c r="N247">
        <f t="shared" ca="1" si="51"/>
        <v>0</v>
      </c>
    </row>
    <row r="248" spans="1:14" x14ac:dyDescent="0.35">
      <c r="A248" t="s">
        <v>265</v>
      </c>
      <c r="B248" t="str">
        <f t="shared" si="39"/>
        <v>Control</v>
      </c>
      <c r="C248">
        <f t="shared" ca="1" si="40"/>
        <v>19</v>
      </c>
      <c r="D248" t="str">
        <f t="shared" ca="1" si="41"/>
        <v>Female</v>
      </c>
      <c r="E248" t="str">
        <f t="shared" ca="1" si="42"/>
        <v>Shoes</v>
      </c>
      <c r="F248">
        <f t="shared" ca="1" si="43"/>
        <v>1599</v>
      </c>
      <c r="G248">
        <f t="shared" ca="1" si="44"/>
        <v>10</v>
      </c>
      <c r="H248">
        <f t="shared" ca="1" si="45"/>
        <v>1439.1000000000001</v>
      </c>
      <c r="I248">
        <f t="shared" ca="1" si="46"/>
        <v>0</v>
      </c>
      <c r="J248">
        <f t="shared" ca="1" si="47"/>
        <v>0</v>
      </c>
      <c r="K248">
        <f t="shared" ca="1" si="48"/>
        <v>0</v>
      </c>
      <c r="L248">
        <f t="shared" ca="1" si="49"/>
        <v>0</v>
      </c>
      <c r="M248">
        <f t="shared" ca="1" si="50"/>
        <v>1</v>
      </c>
      <c r="N248">
        <f t="shared" ca="1" si="51"/>
        <v>0</v>
      </c>
    </row>
    <row r="249" spans="1:14" x14ac:dyDescent="0.35">
      <c r="A249" t="s">
        <v>266</v>
      </c>
      <c r="B249" t="str">
        <f t="shared" si="39"/>
        <v>Control</v>
      </c>
      <c r="C249">
        <f t="shared" ca="1" si="40"/>
        <v>28</v>
      </c>
      <c r="D249" t="str">
        <f t="shared" ca="1" si="41"/>
        <v>Female</v>
      </c>
      <c r="E249" t="str">
        <f t="shared" ca="1" si="42"/>
        <v>Sportswear</v>
      </c>
      <c r="F249">
        <f t="shared" ca="1" si="43"/>
        <v>5795</v>
      </c>
      <c r="G249">
        <f t="shared" ca="1" si="44"/>
        <v>10</v>
      </c>
      <c r="H249">
        <f t="shared" ca="1" si="45"/>
        <v>5215.5</v>
      </c>
      <c r="I249">
        <f t="shared" ca="1" si="46"/>
        <v>1</v>
      </c>
      <c r="J249">
        <f t="shared" ca="1" si="47"/>
        <v>0</v>
      </c>
      <c r="K249">
        <f t="shared" ca="1" si="48"/>
        <v>0</v>
      </c>
      <c r="L249">
        <f t="shared" ca="1" si="49"/>
        <v>0</v>
      </c>
      <c r="M249">
        <f t="shared" ca="1" si="50"/>
        <v>5</v>
      </c>
      <c r="N249">
        <f t="shared" ca="1" si="51"/>
        <v>0</v>
      </c>
    </row>
    <row r="250" spans="1:14" x14ac:dyDescent="0.35">
      <c r="A250" t="s">
        <v>267</v>
      </c>
      <c r="B250" t="str">
        <f t="shared" si="39"/>
        <v>Control</v>
      </c>
      <c r="C250">
        <f t="shared" ca="1" si="40"/>
        <v>43</v>
      </c>
      <c r="D250" t="str">
        <f t="shared" ca="1" si="41"/>
        <v>Male</v>
      </c>
      <c r="E250" t="str">
        <f t="shared" ca="1" si="42"/>
        <v>Accessories</v>
      </c>
      <c r="F250">
        <f t="shared" ca="1" si="43"/>
        <v>3145</v>
      </c>
      <c r="G250">
        <f t="shared" ca="1" si="44"/>
        <v>10</v>
      </c>
      <c r="H250">
        <f t="shared" ca="1" si="45"/>
        <v>2830.5</v>
      </c>
      <c r="I250">
        <f t="shared" ca="1" si="46"/>
        <v>1</v>
      </c>
      <c r="J250">
        <f t="shared" ca="1" si="47"/>
        <v>1</v>
      </c>
      <c r="K250">
        <f t="shared" ca="1" si="48"/>
        <v>1</v>
      </c>
      <c r="L250">
        <f t="shared" ca="1" si="49"/>
        <v>2830.5</v>
      </c>
      <c r="M250">
        <f t="shared" ca="1" si="50"/>
        <v>1</v>
      </c>
      <c r="N250">
        <f t="shared" ca="1" si="51"/>
        <v>0</v>
      </c>
    </row>
    <row r="251" spans="1:14" x14ac:dyDescent="0.35">
      <c r="A251" t="s">
        <v>268</v>
      </c>
      <c r="B251" t="str">
        <f t="shared" si="39"/>
        <v>Control</v>
      </c>
      <c r="C251">
        <f t="shared" ca="1" si="40"/>
        <v>20</v>
      </c>
      <c r="D251" t="str">
        <f t="shared" ca="1" si="41"/>
        <v>Male</v>
      </c>
      <c r="E251" t="str">
        <f t="shared" ca="1" si="42"/>
        <v>Tops</v>
      </c>
      <c r="F251">
        <f t="shared" ca="1" si="43"/>
        <v>4564</v>
      </c>
      <c r="G251">
        <f t="shared" ca="1" si="44"/>
        <v>10</v>
      </c>
      <c r="H251">
        <f t="shared" ca="1" si="45"/>
        <v>4107.6000000000004</v>
      </c>
      <c r="I251">
        <f t="shared" ca="1" si="46"/>
        <v>1</v>
      </c>
      <c r="J251">
        <f t="shared" ca="1" si="47"/>
        <v>1</v>
      </c>
      <c r="K251">
        <f t="shared" ca="1" si="48"/>
        <v>1</v>
      </c>
      <c r="L251">
        <f t="shared" ca="1" si="49"/>
        <v>4107.6000000000004</v>
      </c>
      <c r="M251">
        <f t="shared" ca="1" si="50"/>
        <v>6</v>
      </c>
      <c r="N251">
        <f t="shared" ca="1" si="51"/>
        <v>0</v>
      </c>
    </row>
    <row r="252" spans="1:14" x14ac:dyDescent="0.35">
      <c r="A252" t="s">
        <v>269</v>
      </c>
      <c r="B252" t="str">
        <f t="shared" si="39"/>
        <v>Control</v>
      </c>
      <c r="C252">
        <f t="shared" ca="1" si="40"/>
        <v>40</v>
      </c>
      <c r="D252" t="str">
        <f t="shared" ca="1" si="41"/>
        <v>Female</v>
      </c>
      <c r="E252" t="str">
        <f t="shared" ca="1" si="42"/>
        <v>Accessories</v>
      </c>
      <c r="F252">
        <f t="shared" ca="1" si="43"/>
        <v>5027</v>
      </c>
      <c r="G252">
        <f t="shared" ca="1" si="44"/>
        <v>10</v>
      </c>
      <c r="H252">
        <f t="shared" ca="1" si="45"/>
        <v>4524.3</v>
      </c>
      <c r="I252">
        <f t="shared" ca="1" si="46"/>
        <v>1</v>
      </c>
      <c r="J252">
        <f t="shared" ca="1" si="47"/>
        <v>1</v>
      </c>
      <c r="K252">
        <f t="shared" ca="1" si="48"/>
        <v>0</v>
      </c>
      <c r="L252">
        <f t="shared" ca="1" si="49"/>
        <v>0</v>
      </c>
      <c r="M252">
        <f t="shared" ca="1" si="50"/>
        <v>6</v>
      </c>
      <c r="N252">
        <f t="shared" ca="1" si="51"/>
        <v>0</v>
      </c>
    </row>
    <row r="253" spans="1:14" x14ac:dyDescent="0.35">
      <c r="A253" t="s">
        <v>270</v>
      </c>
      <c r="B253" t="str">
        <f t="shared" si="39"/>
        <v>Control</v>
      </c>
      <c r="C253">
        <f t="shared" ca="1" si="40"/>
        <v>28</v>
      </c>
      <c r="D253" t="str">
        <f t="shared" ca="1" si="41"/>
        <v>Other</v>
      </c>
      <c r="E253" t="str">
        <f t="shared" ca="1" si="42"/>
        <v>Shoes</v>
      </c>
      <c r="F253">
        <f t="shared" ca="1" si="43"/>
        <v>4672</v>
      </c>
      <c r="G253">
        <f t="shared" ca="1" si="44"/>
        <v>10</v>
      </c>
      <c r="H253">
        <f t="shared" ca="1" si="45"/>
        <v>4204.8</v>
      </c>
      <c r="I253">
        <f t="shared" ca="1" si="46"/>
        <v>1</v>
      </c>
      <c r="J253">
        <f t="shared" ca="1" si="47"/>
        <v>1</v>
      </c>
      <c r="K253">
        <f t="shared" ca="1" si="48"/>
        <v>0</v>
      </c>
      <c r="L253">
        <f t="shared" ca="1" si="49"/>
        <v>0</v>
      </c>
      <c r="M253">
        <f t="shared" ca="1" si="50"/>
        <v>1</v>
      </c>
      <c r="N253">
        <f t="shared" ca="1" si="51"/>
        <v>0</v>
      </c>
    </row>
    <row r="254" spans="1:14" x14ac:dyDescent="0.35">
      <c r="A254" t="s">
        <v>271</v>
      </c>
      <c r="B254" t="str">
        <f t="shared" si="39"/>
        <v>Control</v>
      </c>
      <c r="C254">
        <f t="shared" ca="1" si="40"/>
        <v>19</v>
      </c>
      <c r="D254" t="str">
        <f t="shared" ca="1" si="41"/>
        <v>Female</v>
      </c>
      <c r="E254" t="str">
        <f t="shared" ca="1" si="42"/>
        <v>Dresses</v>
      </c>
      <c r="F254">
        <f t="shared" ca="1" si="43"/>
        <v>2625</v>
      </c>
      <c r="G254">
        <f t="shared" ca="1" si="44"/>
        <v>10</v>
      </c>
      <c r="H254">
        <f t="shared" ca="1" si="45"/>
        <v>2362.5</v>
      </c>
      <c r="I254">
        <f t="shared" ca="1" si="46"/>
        <v>0</v>
      </c>
      <c r="J254">
        <f t="shared" ca="1" si="47"/>
        <v>0</v>
      </c>
      <c r="K254">
        <f t="shared" ca="1" si="48"/>
        <v>0</v>
      </c>
      <c r="L254">
        <f t="shared" ca="1" si="49"/>
        <v>0</v>
      </c>
      <c r="M254">
        <f t="shared" ca="1" si="50"/>
        <v>4</v>
      </c>
      <c r="N254">
        <f t="shared" ca="1" si="51"/>
        <v>0</v>
      </c>
    </row>
    <row r="255" spans="1:14" x14ac:dyDescent="0.35">
      <c r="A255" t="s">
        <v>272</v>
      </c>
      <c r="B255" t="str">
        <f t="shared" si="39"/>
        <v>Control</v>
      </c>
      <c r="C255">
        <f t="shared" ca="1" si="40"/>
        <v>44</v>
      </c>
      <c r="D255" t="str">
        <f t="shared" ca="1" si="41"/>
        <v>Other</v>
      </c>
      <c r="E255" t="str">
        <f t="shared" ca="1" si="42"/>
        <v>Jeans</v>
      </c>
      <c r="F255">
        <f t="shared" ca="1" si="43"/>
        <v>7246</v>
      </c>
      <c r="G255">
        <f t="shared" ca="1" si="44"/>
        <v>10</v>
      </c>
      <c r="H255">
        <f t="shared" ca="1" si="45"/>
        <v>6521.4000000000005</v>
      </c>
      <c r="I255">
        <f t="shared" ca="1" si="46"/>
        <v>1</v>
      </c>
      <c r="J255">
        <f t="shared" ca="1" si="47"/>
        <v>0</v>
      </c>
      <c r="K255">
        <f t="shared" ca="1" si="48"/>
        <v>0</v>
      </c>
      <c r="L255">
        <f t="shared" ca="1" si="49"/>
        <v>0</v>
      </c>
      <c r="M255">
        <f t="shared" ca="1" si="50"/>
        <v>1</v>
      </c>
      <c r="N255">
        <f t="shared" ca="1" si="51"/>
        <v>0</v>
      </c>
    </row>
    <row r="256" spans="1:14" x14ac:dyDescent="0.35">
      <c r="A256" t="s">
        <v>273</v>
      </c>
      <c r="B256" t="str">
        <f t="shared" si="39"/>
        <v>Control</v>
      </c>
      <c r="C256">
        <f t="shared" ca="1" si="40"/>
        <v>26</v>
      </c>
      <c r="D256" t="str">
        <f t="shared" ca="1" si="41"/>
        <v>Female</v>
      </c>
      <c r="E256" t="str">
        <f t="shared" ca="1" si="42"/>
        <v>Tops</v>
      </c>
      <c r="F256">
        <f t="shared" ca="1" si="43"/>
        <v>5767</v>
      </c>
      <c r="G256">
        <f t="shared" ca="1" si="44"/>
        <v>10</v>
      </c>
      <c r="H256">
        <f t="shared" ca="1" si="45"/>
        <v>5190.3</v>
      </c>
      <c r="I256">
        <f t="shared" ca="1" si="46"/>
        <v>1</v>
      </c>
      <c r="J256">
        <f t="shared" ca="1" si="47"/>
        <v>1</v>
      </c>
      <c r="K256">
        <f t="shared" ca="1" si="48"/>
        <v>0</v>
      </c>
      <c r="L256">
        <f t="shared" ca="1" si="49"/>
        <v>0</v>
      </c>
      <c r="M256">
        <f t="shared" ca="1" si="50"/>
        <v>4</v>
      </c>
      <c r="N256">
        <f t="shared" ca="1" si="51"/>
        <v>0</v>
      </c>
    </row>
    <row r="257" spans="1:14" x14ac:dyDescent="0.35">
      <c r="A257" t="s">
        <v>274</v>
      </c>
      <c r="B257" t="str">
        <f t="shared" si="39"/>
        <v>Control</v>
      </c>
      <c r="C257">
        <f t="shared" ca="1" si="40"/>
        <v>20</v>
      </c>
      <c r="D257" t="str">
        <f t="shared" ca="1" si="41"/>
        <v>Female</v>
      </c>
      <c r="E257" t="str">
        <f t="shared" ca="1" si="42"/>
        <v>Shoes</v>
      </c>
      <c r="F257">
        <f t="shared" ca="1" si="43"/>
        <v>3389</v>
      </c>
      <c r="G257">
        <f t="shared" ca="1" si="44"/>
        <v>10</v>
      </c>
      <c r="H257">
        <f t="shared" ca="1" si="45"/>
        <v>3050.1</v>
      </c>
      <c r="I257">
        <f t="shared" ca="1" si="46"/>
        <v>1</v>
      </c>
      <c r="J257">
        <f t="shared" ca="1" si="47"/>
        <v>1</v>
      </c>
      <c r="K257">
        <f t="shared" ca="1" si="48"/>
        <v>1</v>
      </c>
      <c r="L257">
        <f t="shared" ca="1" si="49"/>
        <v>3050.1</v>
      </c>
      <c r="M257">
        <f t="shared" ca="1" si="50"/>
        <v>7</v>
      </c>
      <c r="N257">
        <f t="shared" ca="1" si="51"/>
        <v>0</v>
      </c>
    </row>
    <row r="258" spans="1:14" x14ac:dyDescent="0.35">
      <c r="A258" t="s">
        <v>275</v>
      </c>
      <c r="B258" t="str">
        <f t="shared" si="39"/>
        <v>Control</v>
      </c>
      <c r="C258">
        <f t="shared" ca="1" si="40"/>
        <v>40</v>
      </c>
      <c r="D258" t="str">
        <f t="shared" ca="1" si="41"/>
        <v>Female</v>
      </c>
      <c r="E258" t="str">
        <f t="shared" ca="1" si="42"/>
        <v>Accessories</v>
      </c>
      <c r="F258">
        <f t="shared" ca="1" si="43"/>
        <v>4004</v>
      </c>
      <c r="G258">
        <f t="shared" ca="1" si="44"/>
        <v>10</v>
      </c>
      <c r="H258">
        <f t="shared" ca="1" si="45"/>
        <v>3603.6</v>
      </c>
      <c r="I258">
        <f t="shared" ca="1" si="46"/>
        <v>1</v>
      </c>
      <c r="J258">
        <f t="shared" ca="1" si="47"/>
        <v>1</v>
      </c>
      <c r="K258">
        <f t="shared" ca="1" si="48"/>
        <v>0</v>
      </c>
      <c r="L258">
        <f t="shared" ca="1" si="49"/>
        <v>0</v>
      </c>
      <c r="M258">
        <f t="shared" ca="1" si="50"/>
        <v>3</v>
      </c>
      <c r="N258">
        <f t="shared" ca="1" si="51"/>
        <v>0</v>
      </c>
    </row>
    <row r="259" spans="1:14" x14ac:dyDescent="0.35">
      <c r="A259" t="s">
        <v>276</v>
      </c>
      <c r="B259" t="str">
        <f t="shared" si="39"/>
        <v>Control</v>
      </c>
      <c r="C259">
        <f t="shared" ca="1" si="40"/>
        <v>33</v>
      </c>
      <c r="D259" t="str">
        <f t="shared" ca="1" si="41"/>
        <v>Male</v>
      </c>
      <c r="E259" t="str">
        <f t="shared" ca="1" si="42"/>
        <v>Accessories</v>
      </c>
      <c r="F259">
        <f t="shared" ca="1" si="43"/>
        <v>756</v>
      </c>
      <c r="G259">
        <f t="shared" ca="1" si="44"/>
        <v>10</v>
      </c>
      <c r="H259">
        <f t="shared" ca="1" si="45"/>
        <v>680.4</v>
      </c>
      <c r="I259">
        <f t="shared" ca="1" si="46"/>
        <v>1</v>
      </c>
      <c r="J259">
        <f t="shared" ca="1" si="47"/>
        <v>1</v>
      </c>
      <c r="K259">
        <f t="shared" ca="1" si="48"/>
        <v>0</v>
      </c>
      <c r="L259">
        <f t="shared" ca="1" si="49"/>
        <v>0</v>
      </c>
      <c r="M259">
        <f t="shared" ca="1" si="50"/>
        <v>5</v>
      </c>
      <c r="N259">
        <f t="shared" ca="1" si="51"/>
        <v>0</v>
      </c>
    </row>
    <row r="260" spans="1:14" x14ac:dyDescent="0.35">
      <c r="A260" t="s">
        <v>277</v>
      </c>
      <c r="B260" t="str">
        <f t="shared" si="39"/>
        <v>Control</v>
      </c>
      <c r="C260">
        <f t="shared" ca="1" si="40"/>
        <v>34</v>
      </c>
      <c r="D260" t="str">
        <f t="shared" ca="1" si="41"/>
        <v>Other</v>
      </c>
      <c r="E260" t="str">
        <f t="shared" ca="1" si="42"/>
        <v>Sportswear</v>
      </c>
      <c r="F260">
        <f t="shared" ca="1" si="43"/>
        <v>3063</v>
      </c>
      <c r="G260">
        <f t="shared" ca="1" si="44"/>
        <v>10</v>
      </c>
      <c r="H260">
        <f t="shared" ca="1" si="45"/>
        <v>2756.7000000000003</v>
      </c>
      <c r="I260">
        <f t="shared" ca="1" si="46"/>
        <v>1</v>
      </c>
      <c r="J260">
        <f t="shared" ca="1" si="47"/>
        <v>0</v>
      </c>
      <c r="K260">
        <f t="shared" ca="1" si="48"/>
        <v>0</v>
      </c>
      <c r="L260">
        <f t="shared" ca="1" si="49"/>
        <v>0</v>
      </c>
      <c r="M260">
        <f t="shared" ca="1" si="50"/>
        <v>4</v>
      </c>
      <c r="N260">
        <f t="shared" ca="1" si="51"/>
        <v>0</v>
      </c>
    </row>
    <row r="261" spans="1:14" x14ac:dyDescent="0.35">
      <c r="A261" t="s">
        <v>278</v>
      </c>
      <c r="B261" t="str">
        <f t="shared" ref="B261:B324" si="52">IF(ROW()&lt;=1001,"Control","Test")</f>
        <v>Control</v>
      </c>
      <c r="C261">
        <f t="shared" ref="C261:C324" ca="1" si="53">RANDBETWEEN(18,45)</f>
        <v>29</v>
      </c>
      <c r="D261" t="str">
        <f t="shared" ref="D261:D324" ca="1" si="54">CHOOSE(RANDBETWEEN(1,20),"Female","Female","Female","Female","Female","Female","Female","Female","Female","Female","Male","Male","Male","Male","Male","Male","Male","Male","Other","Other")</f>
        <v>Male</v>
      </c>
      <c r="E261" t="str">
        <f t="shared" ref="E261:E324" ca="1" si="55">CHOOSE(RANDBETWEEN(1,8),"T-shirts","Dresses","Jeans","Shoes","Ethnic Wear","Tops","Sportswear","Accessories")</f>
        <v>Dresses</v>
      </c>
      <c r="F261">
        <f t="shared" ref="F261:F324" ca="1" si="56">RANDBETWEEN(300,8000)</f>
        <v>4891</v>
      </c>
      <c r="G261">
        <f t="shared" ref="G261:G324" ca="1" si="57">IF(B261="Control",10,CHOOSE(RANDBETWEEN(1,3),15,20,25))</f>
        <v>10</v>
      </c>
      <c r="H261">
        <f t="shared" ref="H261:H324" ca="1" si="58">F261*(1-G261/100)</f>
        <v>4401.9000000000005</v>
      </c>
      <c r="I261">
        <f t="shared" ref="I261:I324" ca="1" si="59">IF(RAND()&lt;0.85,1,0)</f>
        <v>1</v>
      </c>
      <c r="J261">
        <f t="shared" ref="J261:J324" ca="1" si="60">IF(I261=1,IF(RAND()&lt;0.55,1,0),0)</f>
        <v>1</v>
      </c>
      <c r="K261">
        <f t="shared" ref="K261:K324" ca="1" si="61">IF(J261=1,IF(B261="Test",IF(RAND()&lt;0.4,1,0),IF(RAND()&lt;0.34,1,0)),0)</f>
        <v>0</v>
      </c>
      <c r="L261">
        <f t="shared" ref="L261:L324" ca="1" si="62">IF(K261=1,H261,0)</f>
        <v>0</v>
      </c>
      <c r="M261">
        <f t="shared" ref="M261:M324" ca="1" si="63">RANDBETWEEN(1,7)</f>
        <v>1</v>
      </c>
      <c r="N261">
        <f t="shared" ref="N261:N324" ca="1" si="64">IF(K261=1,IF(RAND()&lt;0.15,1,0),0)</f>
        <v>0</v>
      </c>
    </row>
    <row r="262" spans="1:14" x14ac:dyDescent="0.35">
      <c r="A262" t="s">
        <v>279</v>
      </c>
      <c r="B262" t="str">
        <f t="shared" si="52"/>
        <v>Control</v>
      </c>
      <c r="C262">
        <f t="shared" ca="1" si="53"/>
        <v>36</v>
      </c>
      <c r="D262" t="str">
        <f t="shared" ca="1" si="54"/>
        <v>Male</v>
      </c>
      <c r="E262" t="str">
        <f t="shared" ca="1" si="55"/>
        <v>Shoes</v>
      </c>
      <c r="F262">
        <f t="shared" ca="1" si="56"/>
        <v>3481</v>
      </c>
      <c r="G262">
        <f t="shared" ca="1" si="57"/>
        <v>10</v>
      </c>
      <c r="H262">
        <f t="shared" ca="1" si="58"/>
        <v>3132.9</v>
      </c>
      <c r="I262">
        <f t="shared" ca="1" si="59"/>
        <v>1</v>
      </c>
      <c r="J262">
        <f t="shared" ca="1" si="60"/>
        <v>0</v>
      </c>
      <c r="K262">
        <f t="shared" ca="1" si="61"/>
        <v>0</v>
      </c>
      <c r="L262">
        <f t="shared" ca="1" si="62"/>
        <v>0</v>
      </c>
      <c r="M262">
        <f t="shared" ca="1" si="63"/>
        <v>5</v>
      </c>
      <c r="N262">
        <f t="shared" ca="1" si="64"/>
        <v>0</v>
      </c>
    </row>
    <row r="263" spans="1:14" x14ac:dyDescent="0.35">
      <c r="A263" t="s">
        <v>280</v>
      </c>
      <c r="B263" t="str">
        <f t="shared" si="52"/>
        <v>Control</v>
      </c>
      <c r="C263">
        <f t="shared" ca="1" si="53"/>
        <v>20</v>
      </c>
      <c r="D263" t="str">
        <f t="shared" ca="1" si="54"/>
        <v>Male</v>
      </c>
      <c r="E263" t="str">
        <f t="shared" ca="1" si="55"/>
        <v>Shoes</v>
      </c>
      <c r="F263">
        <f t="shared" ca="1" si="56"/>
        <v>2777</v>
      </c>
      <c r="G263">
        <f t="shared" ca="1" si="57"/>
        <v>10</v>
      </c>
      <c r="H263">
        <f t="shared" ca="1" si="58"/>
        <v>2499.3000000000002</v>
      </c>
      <c r="I263">
        <f t="shared" ca="1" si="59"/>
        <v>1</v>
      </c>
      <c r="J263">
        <f t="shared" ca="1" si="60"/>
        <v>1</v>
      </c>
      <c r="K263">
        <f t="shared" ca="1" si="61"/>
        <v>0</v>
      </c>
      <c r="L263">
        <f t="shared" ca="1" si="62"/>
        <v>0</v>
      </c>
      <c r="M263">
        <f t="shared" ca="1" si="63"/>
        <v>6</v>
      </c>
      <c r="N263">
        <f t="shared" ca="1" si="64"/>
        <v>0</v>
      </c>
    </row>
    <row r="264" spans="1:14" x14ac:dyDescent="0.35">
      <c r="A264" t="s">
        <v>281</v>
      </c>
      <c r="B264" t="str">
        <f t="shared" si="52"/>
        <v>Control</v>
      </c>
      <c r="C264">
        <f t="shared" ca="1" si="53"/>
        <v>21</v>
      </c>
      <c r="D264" t="str">
        <f t="shared" ca="1" si="54"/>
        <v>Male</v>
      </c>
      <c r="E264" t="str">
        <f t="shared" ca="1" si="55"/>
        <v>Ethnic Wear</v>
      </c>
      <c r="F264">
        <f t="shared" ca="1" si="56"/>
        <v>962</v>
      </c>
      <c r="G264">
        <f t="shared" ca="1" si="57"/>
        <v>10</v>
      </c>
      <c r="H264">
        <f t="shared" ca="1" si="58"/>
        <v>865.80000000000007</v>
      </c>
      <c r="I264">
        <f t="shared" ca="1" si="59"/>
        <v>1</v>
      </c>
      <c r="J264">
        <f t="shared" ca="1" si="60"/>
        <v>0</v>
      </c>
      <c r="K264">
        <f t="shared" ca="1" si="61"/>
        <v>0</v>
      </c>
      <c r="L264">
        <f t="shared" ca="1" si="62"/>
        <v>0</v>
      </c>
      <c r="M264">
        <f t="shared" ca="1" si="63"/>
        <v>3</v>
      </c>
      <c r="N264">
        <f t="shared" ca="1" si="64"/>
        <v>0</v>
      </c>
    </row>
    <row r="265" spans="1:14" x14ac:dyDescent="0.35">
      <c r="A265" t="s">
        <v>282</v>
      </c>
      <c r="B265" t="str">
        <f t="shared" si="52"/>
        <v>Control</v>
      </c>
      <c r="C265">
        <f t="shared" ca="1" si="53"/>
        <v>24</v>
      </c>
      <c r="D265" t="str">
        <f t="shared" ca="1" si="54"/>
        <v>Female</v>
      </c>
      <c r="E265" t="str">
        <f t="shared" ca="1" si="55"/>
        <v>Ethnic Wear</v>
      </c>
      <c r="F265">
        <f t="shared" ca="1" si="56"/>
        <v>3203</v>
      </c>
      <c r="G265">
        <f t="shared" ca="1" si="57"/>
        <v>10</v>
      </c>
      <c r="H265">
        <f t="shared" ca="1" si="58"/>
        <v>2882.7000000000003</v>
      </c>
      <c r="I265">
        <f t="shared" ca="1" si="59"/>
        <v>1</v>
      </c>
      <c r="J265">
        <f t="shared" ca="1" si="60"/>
        <v>0</v>
      </c>
      <c r="K265">
        <f t="shared" ca="1" si="61"/>
        <v>0</v>
      </c>
      <c r="L265">
        <f t="shared" ca="1" si="62"/>
        <v>0</v>
      </c>
      <c r="M265">
        <f t="shared" ca="1" si="63"/>
        <v>6</v>
      </c>
      <c r="N265">
        <f t="shared" ca="1" si="64"/>
        <v>0</v>
      </c>
    </row>
    <row r="266" spans="1:14" x14ac:dyDescent="0.35">
      <c r="A266" t="s">
        <v>283</v>
      </c>
      <c r="B266" t="str">
        <f t="shared" si="52"/>
        <v>Control</v>
      </c>
      <c r="C266">
        <f t="shared" ca="1" si="53"/>
        <v>20</v>
      </c>
      <c r="D266" t="str">
        <f t="shared" ca="1" si="54"/>
        <v>Female</v>
      </c>
      <c r="E266" t="str">
        <f t="shared" ca="1" si="55"/>
        <v>Ethnic Wear</v>
      </c>
      <c r="F266">
        <f t="shared" ca="1" si="56"/>
        <v>5446</v>
      </c>
      <c r="G266">
        <f t="shared" ca="1" si="57"/>
        <v>10</v>
      </c>
      <c r="H266">
        <f t="shared" ca="1" si="58"/>
        <v>4901.4000000000005</v>
      </c>
      <c r="I266">
        <f t="shared" ca="1" si="59"/>
        <v>1</v>
      </c>
      <c r="J266">
        <f t="shared" ca="1" si="60"/>
        <v>1</v>
      </c>
      <c r="K266">
        <f t="shared" ca="1" si="61"/>
        <v>1</v>
      </c>
      <c r="L266">
        <f t="shared" ca="1" si="62"/>
        <v>4901.4000000000005</v>
      </c>
      <c r="M266">
        <f t="shared" ca="1" si="63"/>
        <v>3</v>
      </c>
      <c r="N266">
        <f t="shared" ca="1" si="64"/>
        <v>0</v>
      </c>
    </row>
    <row r="267" spans="1:14" x14ac:dyDescent="0.35">
      <c r="A267" t="s">
        <v>284</v>
      </c>
      <c r="B267" t="str">
        <f t="shared" si="52"/>
        <v>Control</v>
      </c>
      <c r="C267">
        <f t="shared" ca="1" si="53"/>
        <v>29</v>
      </c>
      <c r="D267" t="str">
        <f t="shared" ca="1" si="54"/>
        <v>Female</v>
      </c>
      <c r="E267" t="str">
        <f t="shared" ca="1" si="55"/>
        <v>Ethnic Wear</v>
      </c>
      <c r="F267">
        <f t="shared" ca="1" si="56"/>
        <v>1499</v>
      </c>
      <c r="G267">
        <f t="shared" ca="1" si="57"/>
        <v>10</v>
      </c>
      <c r="H267">
        <f t="shared" ca="1" si="58"/>
        <v>1349.1000000000001</v>
      </c>
      <c r="I267">
        <f t="shared" ca="1" si="59"/>
        <v>1</v>
      </c>
      <c r="J267">
        <f t="shared" ca="1" si="60"/>
        <v>1</v>
      </c>
      <c r="K267">
        <f t="shared" ca="1" si="61"/>
        <v>1</v>
      </c>
      <c r="L267">
        <f t="shared" ca="1" si="62"/>
        <v>1349.1000000000001</v>
      </c>
      <c r="M267">
        <f t="shared" ca="1" si="63"/>
        <v>5</v>
      </c>
      <c r="N267">
        <f t="shared" ca="1" si="64"/>
        <v>0</v>
      </c>
    </row>
    <row r="268" spans="1:14" x14ac:dyDescent="0.35">
      <c r="A268" t="s">
        <v>285</v>
      </c>
      <c r="B268" t="str">
        <f t="shared" si="52"/>
        <v>Control</v>
      </c>
      <c r="C268">
        <f t="shared" ca="1" si="53"/>
        <v>32</v>
      </c>
      <c r="D268" t="str">
        <f t="shared" ca="1" si="54"/>
        <v>Other</v>
      </c>
      <c r="E268" t="str">
        <f t="shared" ca="1" si="55"/>
        <v>Jeans</v>
      </c>
      <c r="F268">
        <f t="shared" ca="1" si="56"/>
        <v>6659</v>
      </c>
      <c r="G268">
        <f t="shared" ca="1" si="57"/>
        <v>10</v>
      </c>
      <c r="H268">
        <f t="shared" ca="1" si="58"/>
        <v>5993.1</v>
      </c>
      <c r="I268">
        <f t="shared" ca="1" si="59"/>
        <v>1</v>
      </c>
      <c r="J268">
        <f t="shared" ca="1" si="60"/>
        <v>1</v>
      </c>
      <c r="K268">
        <f t="shared" ca="1" si="61"/>
        <v>0</v>
      </c>
      <c r="L268">
        <f t="shared" ca="1" si="62"/>
        <v>0</v>
      </c>
      <c r="M268">
        <f t="shared" ca="1" si="63"/>
        <v>1</v>
      </c>
      <c r="N268">
        <f t="shared" ca="1" si="64"/>
        <v>0</v>
      </c>
    </row>
    <row r="269" spans="1:14" x14ac:dyDescent="0.35">
      <c r="A269" t="s">
        <v>286</v>
      </c>
      <c r="B269" t="str">
        <f t="shared" si="52"/>
        <v>Control</v>
      </c>
      <c r="C269">
        <f t="shared" ca="1" si="53"/>
        <v>19</v>
      </c>
      <c r="D269" t="str">
        <f t="shared" ca="1" si="54"/>
        <v>Male</v>
      </c>
      <c r="E269" t="str">
        <f t="shared" ca="1" si="55"/>
        <v>Tops</v>
      </c>
      <c r="F269">
        <f t="shared" ca="1" si="56"/>
        <v>2663</v>
      </c>
      <c r="G269">
        <f t="shared" ca="1" si="57"/>
        <v>10</v>
      </c>
      <c r="H269">
        <f t="shared" ca="1" si="58"/>
        <v>2396.7000000000003</v>
      </c>
      <c r="I269">
        <f t="shared" ca="1" si="59"/>
        <v>1</v>
      </c>
      <c r="J269">
        <f t="shared" ca="1" si="60"/>
        <v>0</v>
      </c>
      <c r="K269">
        <f t="shared" ca="1" si="61"/>
        <v>0</v>
      </c>
      <c r="L269">
        <f t="shared" ca="1" si="62"/>
        <v>0</v>
      </c>
      <c r="M269">
        <f t="shared" ca="1" si="63"/>
        <v>2</v>
      </c>
      <c r="N269">
        <f t="shared" ca="1" si="64"/>
        <v>0</v>
      </c>
    </row>
    <row r="270" spans="1:14" x14ac:dyDescent="0.35">
      <c r="A270" t="s">
        <v>287</v>
      </c>
      <c r="B270" t="str">
        <f t="shared" si="52"/>
        <v>Control</v>
      </c>
      <c r="C270">
        <f t="shared" ca="1" si="53"/>
        <v>40</v>
      </c>
      <c r="D270" t="str">
        <f t="shared" ca="1" si="54"/>
        <v>Female</v>
      </c>
      <c r="E270" t="str">
        <f t="shared" ca="1" si="55"/>
        <v>Jeans</v>
      </c>
      <c r="F270">
        <f t="shared" ca="1" si="56"/>
        <v>4533</v>
      </c>
      <c r="G270">
        <f t="shared" ca="1" si="57"/>
        <v>10</v>
      </c>
      <c r="H270">
        <f t="shared" ca="1" si="58"/>
        <v>4079.7000000000003</v>
      </c>
      <c r="I270">
        <f t="shared" ca="1" si="59"/>
        <v>1</v>
      </c>
      <c r="J270">
        <f t="shared" ca="1" si="60"/>
        <v>1</v>
      </c>
      <c r="K270">
        <f t="shared" ca="1" si="61"/>
        <v>1</v>
      </c>
      <c r="L270">
        <f t="shared" ca="1" si="62"/>
        <v>4079.7000000000003</v>
      </c>
      <c r="M270">
        <f t="shared" ca="1" si="63"/>
        <v>6</v>
      </c>
      <c r="N270">
        <f t="shared" ca="1" si="64"/>
        <v>0</v>
      </c>
    </row>
    <row r="271" spans="1:14" x14ac:dyDescent="0.35">
      <c r="A271" t="s">
        <v>288</v>
      </c>
      <c r="B271" t="str">
        <f t="shared" si="52"/>
        <v>Control</v>
      </c>
      <c r="C271">
        <f t="shared" ca="1" si="53"/>
        <v>19</v>
      </c>
      <c r="D271" t="str">
        <f t="shared" ca="1" si="54"/>
        <v>Female</v>
      </c>
      <c r="E271" t="str">
        <f t="shared" ca="1" si="55"/>
        <v>Ethnic Wear</v>
      </c>
      <c r="F271">
        <f t="shared" ca="1" si="56"/>
        <v>3418</v>
      </c>
      <c r="G271">
        <f t="shared" ca="1" si="57"/>
        <v>10</v>
      </c>
      <c r="H271">
        <f t="shared" ca="1" si="58"/>
        <v>3076.2000000000003</v>
      </c>
      <c r="I271">
        <f t="shared" ca="1" si="59"/>
        <v>1</v>
      </c>
      <c r="J271">
        <f t="shared" ca="1" si="60"/>
        <v>1</v>
      </c>
      <c r="K271">
        <f t="shared" ca="1" si="61"/>
        <v>0</v>
      </c>
      <c r="L271">
        <f t="shared" ca="1" si="62"/>
        <v>0</v>
      </c>
      <c r="M271">
        <f t="shared" ca="1" si="63"/>
        <v>3</v>
      </c>
      <c r="N271">
        <f t="shared" ca="1" si="64"/>
        <v>0</v>
      </c>
    </row>
    <row r="272" spans="1:14" x14ac:dyDescent="0.35">
      <c r="A272" t="s">
        <v>289</v>
      </c>
      <c r="B272" t="str">
        <f t="shared" si="52"/>
        <v>Control</v>
      </c>
      <c r="C272">
        <f t="shared" ca="1" si="53"/>
        <v>40</v>
      </c>
      <c r="D272" t="str">
        <f t="shared" ca="1" si="54"/>
        <v>Female</v>
      </c>
      <c r="E272" t="str">
        <f t="shared" ca="1" si="55"/>
        <v>Ethnic Wear</v>
      </c>
      <c r="F272">
        <f t="shared" ca="1" si="56"/>
        <v>3470</v>
      </c>
      <c r="G272">
        <f t="shared" ca="1" si="57"/>
        <v>10</v>
      </c>
      <c r="H272">
        <f t="shared" ca="1" si="58"/>
        <v>3123</v>
      </c>
      <c r="I272">
        <f t="shared" ca="1" si="59"/>
        <v>0</v>
      </c>
      <c r="J272">
        <f t="shared" ca="1" si="60"/>
        <v>0</v>
      </c>
      <c r="K272">
        <f t="shared" ca="1" si="61"/>
        <v>0</v>
      </c>
      <c r="L272">
        <f t="shared" ca="1" si="62"/>
        <v>0</v>
      </c>
      <c r="M272">
        <f t="shared" ca="1" si="63"/>
        <v>1</v>
      </c>
      <c r="N272">
        <f t="shared" ca="1" si="64"/>
        <v>0</v>
      </c>
    </row>
    <row r="273" spans="1:14" x14ac:dyDescent="0.35">
      <c r="A273" t="s">
        <v>290</v>
      </c>
      <c r="B273" t="str">
        <f t="shared" si="52"/>
        <v>Control</v>
      </c>
      <c r="C273">
        <f t="shared" ca="1" si="53"/>
        <v>35</v>
      </c>
      <c r="D273" t="str">
        <f t="shared" ca="1" si="54"/>
        <v>Male</v>
      </c>
      <c r="E273" t="str">
        <f t="shared" ca="1" si="55"/>
        <v>Dresses</v>
      </c>
      <c r="F273">
        <f t="shared" ca="1" si="56"/>
        <v>4600</v>
      </c>
      <c r="G273">
        <f t="shared" ca="1" si="57"/>
        <v>10</v>
      </c>
      <c r="H273">
        <f t="shared" ca="1" si="58"/>
        <v>4140</v>
      </c>
      <c r="I273">
        <f t="shared" ca="1" si="59"/>
        <v>1</v>
      </c>
      <c r="J273">
        <f t="shared" ca="1" si="60"/>
        <v>0</v>
      </c>
      <c r="K273">
        <f t="shared" ca="1" si="61"/>
        <v>0</v>
      </c>
      <c r="L273">
        <f t="shared" ca="1" si="62"/>
        <v>0</v>
      </c>
      <c r="M273">
        <f t="shared" ca="1" si="63"/>
        <v>3</v>
      </c>
      <c r="N273">
        <f t="shared" ca="1" si="64"/>
        <v>0</v>
      </c>
    </row>
    <row r="274" spans="1:14" x14ac:dyDescent="0.35">
      <c r="A274" t="s">
        <v>291</v>
      </c>
      <c r="B274" t="str">
        <f t="shared" si="52"/>
        <v>Control</v>
      </c>
      <c r="C274">
        <f t="shared" ca="1" si="53"/>
        <v>28</v>
      </c>
      <c r="D274" t="str">
        <f t="shared" ca="1" si="54"/>
        <v>Other</v>
      </c>
      <c r="E274" t="str">
        <f t="shared" ca="1" si="55"/>
        <v>Accessories</v>
      </c>
      <c r="F274">
        <f t="shared" ca="1" si="56"/>
        <v>4897</v>
      </c>
      <c r="G274">
        <f t="shared" ca="1" si="57"/>
        <v>10</v>
      </c>
      <c r="H274">
        <f t="shared" ca="1" si="58"/>
        <v>4407.3</v>
      </c>
      <c r="I274">
        <f t="shared" ca="1" si="59"/>
        <v>1</v>
      </c>
      <c r="J274">
        <f t="shared" ca="1" si="60"/>
        <v>1</v>
      </c>
      <c r="K274">
        <f t="shared" ca="1" si="61"/>
        <v>1</v>
      </c>
      <c r="L274">
        <f t="shared" ca="1" si="62"/>
        <v>4407.3</v>
      </c>
      <c r="M274">
        <f t="shared" ca="1" si="63"/>
        <v>1</v>
      </c>
      <c r="N274">
        <f t="shared" ca="1" si="64"/>
        <v>0</v>
      </c>
    </row>
    <row r="275" spans="1:14" x14ac:dyDescent="0.35">
      <c r="A275" t="s">
        <v>292</v>
      </c>
      <c r="B275" t="str">
        <f t="shared" si="52"/>
        <v>Control</v>
      </c>
      <c r="C275">
        <f t="shared" ca="1" si="53"/>
        <v>21</v>
      </c>
      <c r="D275" t="str">
        <f t="shared" ca="1" si="54"/>
        <v>Other</v>
      </c>
      <c r="E275" t="str">
        <f t="shared" ca="1" si="55"/>
        <v>Sportswear</v>
      </c>
      <c r="F275">
        <f t="shared" ca="1" si="56"/>
        <v>2351</v>
      </c>
      <c r="G275">
        <f t="shared" ca="1" si="57"/>
        <v>10</v>
      </c>
      <c r="H275">
        <f t="shared" ca="1" si="58"/>
        <v>2115.9</v>
      </c>
      <c r="I275">
        <f t="shared" ca="1" si="59"/>
        <v>1</v>
      </c>
      <c r="J275">
        <f t="shared" ca="1" si="60"/>
        <v>0</v>
      </c>
      <c r="K275">
        <f t="shared" ca="1" si="61"/>
        <v>0</v>
      </c>
      <c r="L275">
        <f t="shared" ca="1" si="62"/>
        <v>0</v>
      </c>
      <c r="M275">
        <f t="shared" ca="1" si="63"/>
        <v>3</v>
      </c>
      <c r="N275">
        <f t="shared" ca="1" si="64"/>
        <v>0</v>
      </c>
    </row>
    <row r="276" spans="1:14" x14ac:dyDescent="0.35">
      <c r="A276" t="s">
        <v>293</v>
      </c>
      <c r="B276" t="str">
        <f t="shared" si="52"/>
        <v>Control</v>
      </c>
      <c r="C276">
        <f t="shared" ca="1" si="53"/>
        <v>38</v>
      </c>
      <c r="D276" t="str">
        <f t="shared" ca="1" si="54"/>
        <v>Female</v>
      </c>
      <c r="E276" t="str">
        <f t="shared" ca="1" si="55"/>
        <v>Ethnic Wear</v>
      </c>
      <c r="F276">
        <f t="shared" ca="1" si="56"/>
        <v>911</v>
      </c>
      <c r="G276">
        <f t="shared" ca="1" si="57"/>
        <v>10</v>
      </c>
      <c r="H276">
        <f t="shared" ca="1" si="58"/>
        <v>819.9</v>
      </c>
      <c r="I276">
        <f t="shared" ca="1" si="59"/>
        <v>1</v>
      </c>
      <c r="J276">
        <f t="shared" ca="1" si="60"/>
        <v>1</v>
      </c>
      <c r="K276">
        <f t="shared" ca="1" si="61"/>
        <v>0</v>
      </c>
      <c r="L276">
        <f t="shared" ca="1" si="62"/>
        <v>0</v>
      </c>
      <c r="M276">
        <f t="shared" ca="1" si="63"/>
        <v>6</v>
      </c>
      <c r="N276">
        <f t="shared" ca="1" si="64"/>
        <v>0</v>
      </c>
    </row>
    <row r="277" spans="1:14" x14ac:dyDescent="0.35">
      <c r="A277" t="s">
        <v>294</v>
      </c>
      <c r="B277" t="str">
        <f t="shared" si="52"/>
        <v>Control</v>
      </c>
      <c r="C277">
        <f t="shared" ca="1" si="53"/>
        <v>41</v>
      </c>
      <c r="D277" t="str">
        <f t="shared" ca="1" si="54"/>
        <v>Male</v>
      </c>
      <c r="E277" t="str">
        <f t="shared" ca="1" si="55"/>
        <v>Jeans</v>
      </c>
      <c r="F277">
        <f t="shared" ca="1" si="56"/>
        <v>3149</v>
      </c>
      <c r="G277">
        <f t="shared" ca="1" si="57"/>
        <v>10</v>
      </c>
      <c r="H277">
        <f t="shared" ca="1" si="58"/>
        <v>2834.1</v>
      </c>
      <c r="I277">
        <f t="shared" ca="1" si="59"/>
        <v>1</v>
      </c>
      <c r="J277">
        <f t="shared" ca="1" si="60"/>
        <v>1</v>
      </c>
      <c r="K277">
        <f t="shared" ca="1" si="61"/>
        <v>1</v>
      </c>
      <c r="L277">
        <f t="shared" ca="1" si="62"/>
        <v>2834.1</v>
      </c>
      <c r="M277">
        <f t="shared" ca="1" si="63"/>
        <v>1</v>
      </c>
      <c r="N277">
        <f t="shared" ca="1" si="64"/>
        <v>0</v>
      </c>
    </row>
    <row r="278" spans="1:14" x14ac:dyDescent="0.35">
      <c r="A278" t="s">
        <v>295</v>
      </c>
      <c r="B278" t="str">
        <f t="shared" si="52"/>
        <v>Control</v>
      </c>
      <c r="C278">
        <f t="shared" ca="1" si="53"/>
        <v>29</v>
      </c>
      <c r="D278" t="str">
        <f t="shared" ca="1" si="54"/>
        <v>Female</v>
      </c>
      <c r="E278" t="str">
        <f t="shared" ca="1" si="55"/>
        <v>Tops</v>
      </c>
      <c r="F278">
        <f t="shared" ca="1" si="56"/>
        <v>6320</v>
      </c>
      <c r="G278">
        <f t="shared" ca="1" si="57"/>
        <v>10</v>
      </c>
      <c r="H278">
        <f t="shared" ca="1" si="58"/>
        <v>5688</v>
      </c>
      <c r="I278">
        <f t="shared" ca="1" si="59"/>
        <v>1</v>
      </c>
      <c r="J278">
        <f t="shared" ca="1" si="60"/>
        <v>1</v>
      </c>
      <c r="K278">
        <f t="shared" ca="1" si="61"/>
        <v>1</v>
      </c>
      <c r="L278">
        <f t="shared" ca="1" si="62"/>
        <v>5688</v>
      </c>
      <c r="M278">
        <f t="shared" ca="1" si="63"/>
        <v>1</v>
      </c>
      <c r="N278">
        <f t="shared" ca="1" si="64"/>
        <v>0</v>
      </c>
    </row>
    <row r="279" spans="1:14" x14ac:dyDescent="0.35">
      <c r="A279" t="s">
        <v>296</v>
      </c>
      <c r="B279" t="str">
        <f t="shared" si="52"/>
        <v>Control</v>
      </c>
      <c r="C279">
        <f t="shared" ca="1" si="53"/>
        <v>28</v>
      </c>
      <c r="D279" t="str">
        <f t="shared" ca="1" si="54"/>
        <v>Other</v>
      </c>
      <c r="E279" t="str">
        <f t="shared" ca="1" si="55"/>
        <v>Jeans</v>
      </c>
      <c r="F279">
        <f t="shared" ca="1" si="56"/>
        <v>6199</v>
      </c>
      <c r="G279">
        <f t="shared" ca="1" si="57"/>
        <v>10</v>
      </c>
      <c r="H279">
        <f t="shared" ca="1" si="58"/>
        <v>5579.1</v>
      </c>
      <c r="I279">
        <f t="shared" ca="1" si="59"/>
        <v>1</v>
      </c>
      <c r="J279">
        <f t="shared" ca="1" si="60"/>
        <v>0</v>
      </c>
      <c r="K279">
        <f t="shared" ca="1" si="61"/>
        <v>0</v>
      </c>
      <c r="L279">
        <f t="shared" ca="1" si="62"/>
        <v>0</v>
      </c>
      <c r="M279">
        <f t="shared" ca="1" si="63"/>
        <v>2</v>
      </c>
      <c r="N279">
        <f t="shared" ca="1" si="64"/>
        <v>0</v>
      </c>
    </row>
    <row r="280" spans="1:14" x14ac:dyDescent="0.35">
      <c r="A280" t="s">
        <v>297</v>
      </c>
      <c r="B280" t="str">
        <f t="shared" si="52"/>
        <v>Control</v>
      </c>
      <c r="C280">
        <f t="shared" ca="1" si="53"/>
        <v>21</v>
      </c>
      <c r="D280" t="str">
        <f t="shared" ca="1" si="54"/>
        <v>Female</v>
      </c>
      <c r="E280" t="str">
        <f t="shared" ca="1" si="55"/>
        <v>Dresses</v>
      </c>
      <c r="F280">
        <f t="shared" ca="1" si="56"/>
        <v>5518</v>
      </c>
      <c r="G280">
        <f t="shared" ca="1" si="57"/>
        <v>10</v>
      </c>
      <c r="H280">
        <f t="shared" ca="1" si="58"/>
        <v>4966.2</v>
      </c>
      <c r="I280">
        <f t="shared" ca="1" si="59"/>
        <v>1</v>
      </c>
      <c r="J280">
        <f t="shared" ca="1" si="60"/>
        <v>1</v>
      </c>
      <c r="K280">
        <f t="shared" ca="1" si="61"/>
        <v>0</v>
      </c>
      <c r="L280">
        <f t="shared" ca="1" si="62"/>
        <v>0</v>
      </c>
      <c r="M280">
        <f t="shared" ca="1" si="63"/>
        <v>4</v>
      </c>
      <c r="N280">
        <f t="shared" ca="1" si="64"/>
        <v>0</v>
      </c>
    </row>
    <row r="281" spans="1:14" x14ac:dyDescent="0.35">
      <c r="A281" t="s">
        <v>298</v>
      </c>
      <c r="B281" t="str">
        <f t="shared" si="52"/>
        <v>Control</v>
      </c>
      <c r="C281">
        <f t="shared" ca="1" si="53"/>
        <v>29</v>
      </c>
      <c r="D281" t="str">
        <f t="shared" ca="1" si="54"/>
        <v>Female</v>
      </c>
      <c r="E281" t="str">
        <f t="shared" ca="1" si="55"/>
        <v>T-shirts</v>
      </c>
      <c r="F281">
        <f t="shared" ca="1" si="56"/>
        <v>6353</v>
      </c>
      <c r="G281">
        <f t="shared" ca="1" si="57"/>
        <v>10</v>
      </c>
      <c r="H281">
        <f t="shared" ca="1" si="58"/>
        <v>5717.7</v>
      </c>
      <c r="I281">
        <f t="shared" ca="1" si="59"/>
        <v>1</v>
      </c>
      <c r="J281">
        <f t="shared" ca="1" si="60"/>
        <v>1</v>
      </c>
      <c r="K281">
        <f t="shared" ca="1" si="61"/>
        <v>0</v>
      </c>
      <c r="L281">
        <f t="shared" ca="1" si="62"/>
        <v>0</v>
      </c>
      <c r="M281">
        <f t="shared" ca="1" si="63"/>
        <v>6</v>
      </c>
      <c r="N281">
        <f t="shared" ca="1" si="64"/>
        <v>0</v>
      </c>
    </row>
    <row r="282" spans="1:14" x14ac:dyDescent="0.35">
      <c r="A282" t="s">
        <v>299</v>
      </c>
      <c r="B282" t="str">
        <f t="shared" si="52"/>
        <v>Control</v>
      </c>
      <c r="C282">
        <f t="shared" ca="1" si="53"/>
        <v>33</v>
      </c>
      <c r="D282" t="str">
        <f t="shared" ca="1" si="54"/>
        <v>Female</v>
      </c>
      <c r="E282" t="str">
        <f t="shared" ca="1" si="55"/>
        <v>Ethnic Wear</v>
      </c>
      <c r="F282">
        <f t="shared" ca="1" si="56"/>
        <v>5813</v>
      </c>
      <c r="G282">
        <f t="shared" ca="1" si="57"/>
        <v>10</v>
      </c>
      <c r="H282">
        <f t="shared" ca="1" si="58"/>
        <v>5231.7</v>
      </c>
      <c r="I282">
        <f t="shared" ca="1" si="59"/>
        <v>1</v>
      </c>
      <c r="J282">
        <f t="shared" ca="1" si="60"/>
        <v>1</v>
      </c>
      <c r="K282">
        <f t="shared" ca="1" si="61"/>
        <v>0</v>
      </c>
      <c r="L282">
        <f t="shared" ca="1" si="62"/>
        <v>0</v>
      </c>
      <c r="M282">
        <f t="shared" ca="1" si="63"/>
        <v>2</v>
      </c>
      <c r="N282">
        <f t="shared" ca="1" si="64"/>
        <v>0</v>
      </c>
    </row>
    <row r="283" spans="1:14" x14ac:dyDescent="0.35">
      <c r="A283" t="s">
        <v>300</v>
      </c>
      <c r="B283" t="str">
        <f t="shared" si="52"/>
        <v>Control</v>
      </c>
      <c r="C283">
        <f t="shared" ca="1" si="53"/>
        <v>32</v>
      </c>
      <c r="D283" t="str">
        <f t="shared" ca="1" si="54"/>
        <v>Female</v>
      </c>
      <c r="E283" t="str">
        <f t="shared" ca="1" si="55"/>
        <v>T-shirts</v>
      </c>
      <c r="F283">
        <f t="shared" ca="1" si="56"/>
        <v>2387</v>
      </c>
      <c r="G283">
        <f t="shared" ca="1" si="57"/>
        <v>10</v>
      </c>
      <c r="H283">
        <f t="shared" ca="1" si="58"/>
        <v>2148.3000000000002</v>
      </c>
      <c r="I283">
        <f t="shared" ca="1" si="59"/>
        <v>1</v>
      </c>
      <c r="J283">
        <f t="shared" ca="1" si="60"/>
        <v>1</v>
      </c>
      <c r="K283">
        <f t="shared" ca="1" si="61"/>
        <v>1</v>
      </c>
      <c r="L283">
        <f t="shared" ca="1" si="62"/>
        <v>2148.3000000000002</v>
      </c>
      <c r="M283">
        <f t="shared" ca="1" si="63"/>
        <v>3</v>
      </c>
      <c r="N283">
        <f t="shared" ca="1" si="64"/>
        <v>0</v>
      </c>
    </row>
    <row r="284" spans="1:14" x14ac:dyDescent="0.35">
      <c r="A284" t="s">
        <v>301</v>
      </c>
      <c r="B284" t="str">
        <f t="shared" si="52"/>
        <v>Control</v>
      </c>
      <c r="C284">
        <f t="shared" ca="1" si="53"/>
        <v>45</v>
      </c>
      <c r="D284" t="str">
        <f t="shared" ca="1" si="54"/>
        <v>Male</v>
      </c>
      <c r="E284" t="str">
        <f t="shared" ca="1" si="55"/>
        <v>Accessories</v>
      </c>
      <c r="F284">
        <f t="shared" ca="1" si="56"/>
        <v>457</v>
      </c>
      <c r="G284">
        <f t="shared" ca="1" si="57"/>
        <v>10</v>
      </c>
      <c r="H284">
        <f t="shared" ca="1" si="58"/>
        <v>411.3</v>
      </c>
      <c r="I284">
        <f t="shared" ca="1" si="59"/>
        <v>1</v>
      </c>
      <c r="J284">
        <f t="shared" ca="1" si="60"/>
        <v>1</v>
      </c>
      <c r="K284">
        <f t="shared" ca="1" si="61"/>
        <v>0</v>
      </c>
      <c r="L284">
        <f t="shared" ca="1" si="62"/>
        <v>0</v>
      </c>
      <c r="M284">
        <f t="shared" ca="1" si="63"/>
        <v>7</v>
      </c>
      <c r="N284">
        <f t="shared" ca="1" si="64"/>
        <v>0</v>
      </c>
    </row>
    <row r="285" spans="1:14" x14ac:dyDescent="0.35">
      <c r="A285" t="s">
        <v>302</v>
      </c>
      <c r="B285" t="str">
        <f t="shared" si="52"/>
        <v>Control</v>
      </c>
      <c r="C285">
        <f t="shared" ca="1" si="53"/>
        <v>22</v>
      </c>
      <c r="D285" t="str">
        <f t="shared" ca="1" si="54"/>
        <v>Male</v>
      </c>
      <c r="E285" t="str">
        <f t="shared" ca="1" si="55"/>
        <v>Sportswear</v>
      </c>
      <c r="F285">
        <f t="shared" ca="1" si="56"/>
        <v>1471</v>
      </c>
      <c r="G285">
        <f t="shared" ca="1" si="57"/>
        <v>10</v>
      </c>
      <c r="H285">
        <f t="shared" ca="1" si="58"/>
        <v>1323.9</v>
      </c>
      <c r="I285">
        <f t="shared" ca="1" si="59"/>
        <v>1</v>
      </c>
      <c r="J285">
        <f t="shared" ca="1" si="60"/>
        <v>1</v>
      </c>
      <c r="K285">
        <f t="shared" ca="1" si="61"/>
        <v>1</v>
      </c>
      <c r="L285">
        <f t="shared" ca="1" si="62"/>
        <v>1323.9</v>
      </c>
      <c r="M285">
        <f t="shared" ca="1" si="63"/>
        <v>5</v>
      </c>
      <c r="N285">
        <f t="shared" ca="1" si="64"/>
        <v>0</v>
      </c>
    </row>
    <row r="286" spans="1:14" x14ac:dyDescent="0.35">
      <c r="A286" t="s">
        <v>303</v>
      </c>
      <c r="B286" t="str">
        <f t="shared" si="52"/>
        <v>Control</v>
      </c>
      <c r="C286">
        <f t="shared" ca="1" si="53"/>
        <v>22</v>
      </c>
      <c r="D286" t="str">
        <f t="shared" ca="1" si="54"/>
        <v>Female</v>
      </c>
      <c r="E286" t="str">
        <f t="shared" ca="1" si="55"/>
        <v>Ethnic Wear</v>
      </c>
      <c r="F286">
        <f t="shared" ca="1" si="56"/>
        <v>641</v>
      </c>
      <c r="G286">
        <f t="shared" ca="1" si="57"/>
        <v>10</v>
      </c>
      <c r="H286">
        <f t="shared" ca="1" si="58"/>
        <v>576.9</v>
      </c>
      <c r="I286">
        <f t="shared" ca="1" si="59"/>
        <v>1</v>
      </c>
      <c r="J286">
        <f t="shared" ca="1" si="60"/>
        <v>0</v>
      </c>
      <c r="K286">
        <f t="shared" ca="1" si="61"/>
        <v>0</v>
      </c>
      <c r="L286">
        <f t="shared" ca="1" si="62"/>
        <v>0</v>
      </c>
      <c r="M286">
        <f t="shared" ca="1" si="63"/>
        <v>7</v>
      </c>
      <c r="N286">
        <f t="shared" ca="1" si="64"/>
        <v>0</v>
      </c>
    </row>
    <row r="287" spans="1:14" x14ac:dyDescent="0.35">
      <c r="A287" t="s">
        <v>304</v>
      </c>
      <c r="B287" t="str">
        <f t="shared" si="52"/>
        <v>Control</v>
      </c>
      <c r="C287">
        <f t="shared" ca="1" si="53"/>
        <v>27</v>
      </c>
      <c r="D287" t="str">
        <f t="shared" ca="1" si="54"/>
        <v>Male</v>
      </c>
      <c r="E287" t="str">
        <f t="shared" ca="1" si="55"/>
        <v>T-shirts</v>
      </c>
      <c r="F287">
        <f t="shared" ca="1" si="56"/>
        <v>4030</v>
      </c>
      <c r="G287">
        <f t="shared" ca="1" si="57"/>
        <v>10</v>
      </c>
      <c r="H287">
        <f t="shared" ca="1" si="58"/>
        <v>3627</v>
      </c>
      <c r="I287">
        <f t="shared" ca="1" si="59"/>
        <v>1</v>
      </c>
      <c r="J287">
        <f t="shared" ca="1" si="60"/>
        <v>0</v>
      </c>
      <c r="K287">
        <f t="shared" ca="1" si="61"/>
        <v>0</v>
      </c>
      <c r="L287">
        <f t="shared" ca="1" si="62"/>
        <v>0</v>
      </c>
      <c r="M287">
        <f t="shared" ca="1" si="63"/>
        <v>3</v>
      </c>
      <c r="N287">
        <f t="shared" ca="1" si="64"/>
        <v>0</v>
      </c>
    </row>
    <row r="288" spans="1:14" x14ac:dyDescent="0.35">
      <c r="A288" t="s">
        <v>305</v>
      </c>
      <c r="B288" t="str">
        <f t="shared" si="52"/>
        <v>Control</v>
      </c>
      <c r="C288">
        <f t="shared" ca="1" si="53"/>
        <v>29</v>
      </c>
      <c r="D288" t="str">
        <f t="shared" ca="1" si="54"/>
        <v>Other</v>
      </c>
      <c r="E288" t="str">
        <f t="shared" ca="1" si="55"/>
        <v>Sportswear</v>
      </c>
      <c r="F288">
        <f t="shared" ca="1" si="56"/>
        <v>1860</v>
      </c>
      <c r="G288">
        <f t="shared" ca="1" si="57"/>
        <v>10</v>
      </c>
      <c r="H288">
        <f t="shared" ca="1" si="58"/>
        <v>1674</v>
      </c>
      <c r="I288">
        <f t="shared" ca="1" si="59"/>
        <v>0</v>
      </c>
      <c r="J288">
        <f t="shared" ca="1" si="60"/>
        <v>0</v>
      </c>
      <c r="K288">
        <f t="shared" ca="1" si="61"/>
        <v>0</v>
      </c>
      <c r="L288">
        <f t="shared" ca="1" si="62"/>
        <v>0</v>
      </c>
      <c r="M288">
        <f t="shared" ca="1" si="63"/>
        <v>3</v>
      </c>
      <c r="N288">
        <f t="shared" ca="1" si="64"/>
        <v>0</v>
      </c>
    </row>
    <row r="289" spans="1:14" x14ac:dyDescent="0.35">
      <c r="A289" t="s">
        <v>306</v>
      </c>
      <c r="B289" t="str">
        <f t="shared" si="52"/>
        <v>Control</v>
      </c>
      <c r="C289">
        <f t="shared" ca="1" si="53"/>
        <v>21</v>
      </c>
      <c r="D289" t="str">
        <f t="shared" ca="1" si="54"/>
        <v>Female</v>
      </c>
      <c r="E289" t="str">
        <f t="shared" ca="1" si="55"/>
        <v>Ethnic Wear</v>
      </c>
      <c r="F289">
        <f t="shared" ca="1" si="56"/>
        <v>2703</v>
      </c>
      <c r="G289">
        <f t="shared" ca="1" si="57"/>
        <v>10</v>
      </c>
      <c r="H289">
        <f t="shared" ca="1" si="58"/>
        <v>2432.7000000000003</v>
      </c>
      <c r="I289">
        <f t="shared" ca="1" si="59"/>
        <v>1</v>
      </c>
      <c r="J289">
        <f t="shared" ca="1" si="60"/>
        <v>0</v>
      </c>
      <c r="K289">
        <f t="shared" ca="1" si="61"/>
        <v>0</v>
      </c>
      <c r="L289">
        <f t="shared" ca="1" si="62"/>
        <v>0</v>
      </c>
      <c r="M289">
        <f t="shared" ca="1" si="63"/>
        <v>1</v>
      </c>
      <c r="N289">
        <f t="shared" ca="1" si="64"/>
        <v>0</v>
      </c>
    </row>
    <row r="290" spans="1:14" x14ac:dyDescent="0.35">
      <c r="A290" t="s">
        <v>307</v>
      </c>
      <c r="B290" t="str">
        <f t="shared" si="52"/>
        <v>Control</v>
      </c>
      <c r="C290">
        <f t="shared" ca="1" si="53"/>
        <v>41</v>
      </c>
      <c r="D290" t="str">
        <f t="shared" ca="1" si="54"/>
        <v>Female</v>
      </c>
      <c r="E290" t="str">
        <f t="shared" ca="1" si="55"/>
        <v>T-shirts</v>
      </c>
      <c r="F290">
        <f t="shared" ca="1" si="56"/>
        <v>1809</v>
      </c>
      <c r="G290">
        <f t="shared" ca="1" si="57"/>
        <v>10</v>
      </c>
      <c r="H290">
        <f t="shared" ca="1" si="58"/>
        <v>1628.1000000000001</v>
      </c>
      <c r="I290">
        <f t="shared" ca="1" si="59"/>
        <v>1</v>
      </c>
      <c r="J290">
        <f t="shared" ca="1" si="60"/>
        <v>1</v>
      </c>
      <c r="K290">
        <f t="shared" ca="1" si="61"/>
        <v>1</v>
      </c>
      <c r="L290">
        <f t="shared" ca="1" si="62"/>
        <v>1628.1000000000001</v>
      </c>
      <c r="M290">
        <f t="shared" ca="1" si="63"/>
        <v>4</v>
      </c>
      <c r="N290">
        <f t="shared" ca="1" si="64"/>
        <v>0</v>
      </c>
    </row>
    <row r="291" spans="1:14" x14ac:dyDescent="0.35">
      <c r="A291" t="s">
        <v>308</v>
      </c>
      <c r="B291" t="str">
        <f t="shared" si="52"/>
        <v>Control</v>
      </c>
      <c r="C291">
        <f t="shared" ca="1" si="53"/>
        <v>18</v>
      </c>
      <c r="D291" t="str">
        <f t="shared" ca="1" si="54"/>
        <v>Male</v>
      </c>
      <c r="E291" t="str">
        <f t="shared" ca="1" si="55"/>
        <v>Dresses</v>
      </c>
      <c r="F291">
        <f t="shared" ca="1" si="56"/>
        <v>2118</v>
      </c>
      <c r="G291">
        <f t="shared" ca="1" si="57"/>
        <v>10</v>
      </c>
      <c r="H291">
        <f t="shared" ca="1" si="58"/>
        <v>1906.2</v>
      </c>
      <c r="I291">
        <f t="shared" ca="1" si="59"/>
        <v>1</v>
      </c>
      <c r="J291">
        <f t="shared" ca="1" si="60"/>
        <v>1</v>
      </c>
      <c r="K291">
        <f t="shared" ca="1" si="61"/>
        <v>1</v>
      </c>
      <c r="L291">
        <f t="shared" ca="1" si="62"/>
        <v>1906.2</v>
      </c>
      <c r="M291">
        <f t="shared" ca="1" si="63"/>
        <v>4</v>
      </c>
      <c r="N291">
        <f t="shared" ca="1" si="64"/>
        <v>0</v>
      </c>
    </row>
    <row r="292" spans="1:14" x14ac:dyDescent="0.35">
      <c r="A292" t="s">
        <v>309</v>
      </c>
      <c r="B292" t="str">
        <f t="shared" si="52"/>
        <v>Control</v>
      </c>
      <c r="C292">
        <f t="shared" ca="1" si="53"/>
        <v>39</v>
      </c>
      <c r="D292" t="str">
        <f t="shared" ca="1" si="54"/>
        <v>Female</v>
      </c>
      <c r="E292" t="str">
        <f t="shared" ca="1" si="55"/>
        <v>Tops</v>
      </c>
      <c r="F292">
        <f t="shared" ca="1" si="56"/>
        <v>7208</v>
      </c>
      <c r="G292">
        <f t="shared" ca="1" si="57"/>
        <v>10</v>
      </c>
      <c r="H292">
        <f t="shared" ca="1" si="58"/>
        <v>6487.2</v>
      </c>
      <c r="I292">
        <f t="shared" ca="1" si="59"/>
        <v>1</v>
      </c>
      <c r="J292">
        <f t="shared" ca="1" si="60"/>
        <v>1</v>
      </c>
      <c r="K292">
        <f t="shared" ca="1" si="61"/>
        <v>0</v>
      </c>
      <c r="L292">
        <f t="shared" ca="1" si="62"/>
        <v>0</v>
      </c>
      <c r="M292">
        <f t="shared" ca="1" si="63"/>
        <v>1</v>
      </c>
      <c r="N292">
        <f t="shared" ca="1" si="64"/>
        <v>0</v>
      </c>
    </row>
    <row r="293" spans="1:14" x14ac:dyDescent="0.35">
      <c r="A293" t="s">
        <v>310</v>
      </c>
      <c r="B293" t="str">
        <f t="shared" si="52"/>
        <v>Control</v>
      </c>
      <c r="C293">
        <f t="shared" ca="1" si="53"/>
        <v>21</v>
      </c>
      <c r="D293" t="str">
        <f t="shared" ca="1" si="54"/>
        <v>Male</v>
      </c>
      <c r="E293" t="str">
        <f t="shared" ca="1" si="55"/>
        <v>Dresses</v>
      </c>
      <c r="F293">
        <f t="shared" ca="1" si="56"/>
        <v>1241</v>
      </c>
      <c r="G293">
        <f t="shared" ca="1" si="57"/>
        <v>10</v>
      </c>
      <c r="H293">
        <f t="shared" ca="1" si="58"/>
        <v>1116.9000000000001</v>
      </c>
      <c r="I293">
        <f t="shared" ca="1" si="59"/>
        <v>1</v>
      </c>
      <c r="J293">
        <f t="shared" ca="1" si="60"/>
        <v>1</v>
      </c>
      <c r="K293">
        <f t="shared" ca="1" si="61"/>
        <v>0</v>
      </c>
      <c r="L293">
        <f t="shared" ca="1" si="62"/>
        <v>0</v>
      </c>
      <c r="M293">
        <f t="shared" ca="1" si="63"/>
        <v>1</v>
      </c>
      <c r="N293">
        <f t="shared" ca="1" si="64"/>
        <v>0</v>
      </c>
    </row>
    <row r="294" spans="1:14" x14ac:dyDescent="0.35">
      <c r="A294" t="s">
        <v>311</v>
      </c>
      <c r="B294" t="str">
        <f t="shared" si="52"/>
        <v>Control</v>
      </c>
      <c r="C294">
        <f t="shared" ca="1" si="53"/>
        <v>37</v>
      </c>
      <c r="D294" t="str">
        <f t="shared" ca="1" si="54"/>
        <v>Male</v>
      </c>
      <c r="E294" t="str">
        <f t="shared" ca="1" si="55"/>
        <v>Sportswear</v>
      </c>
      <c r="F294">
        <f t="shared" ca="1" si="56"/>
        <v>703</v>
      </c>
      <c r="G294">
        <f t="shared" ca="1" si="57"/>
        <v>10</v>
      </c>
      <c r="H294">
        <f t="shared" ca="1" si="58"/>
        <v>632.70000000000005</v>
      </c>
      <c r="I294">
        <f t="shared" ca="1" si="59"/>
        <v>1</v>
      </c>
      <c r="J294">
        <f t="shared" ca="1" si="60"/>
        <v>1</v>
      </c>
      <c r="K294">
        <f t="shared" ca="1" si="61"/>
        <v>1</v>
      </c>
      <c r="L294">
        <f t="shared" ca="1" si="62"/>
        <v>632.70000000000005</v>
      </c>
      <c r="M294">
        <f t="shared" ca="1" si="63"/>
        <v>5</v>
      </c>
      <c r="N294">
        <f t="shared" ca="1" si="64"/>
        <v>0</v>
      </c>
    </row>
    <row r="295" spans="1:14" x14ac:dyDescent="0.35">
      <c r="A295" t="s">
        <v>312</v>
      </c>
      <c r="B295" t="str">
        <f t="shared" si="52"/>
        <v>Control</v>
      </c>
      <c r="C295">
        <f t="shared" ca="1" si="53"/>
        <v>36</v>
      </c>
      <c r="D295" t="str">
        <f t="shared" ca="1" si="54"/>
        <v>Female</v>
      </c>
      <c r="E295" t="str">
        <f t="shared" ca="1" si="55"/>
        <v>T-shirts</v>
      </c>
      <c r="F295">
        <f t="shared" ca="1" si="56"/>
        <v>6283</v>
      </c>
      <c r="G295">
        <f t="shared" ca="1" si="57"/>
        <v>10</v>
      </c>
      <c r="H295">
        <f t="shared" ca="1" si="58"/>
        <v>5654.7</v>
      </c>
      <c r="I295">
        <f t="shared" ca="1" si="59"/>
        <v>1</v>
      </c>
      <c r="J295">
        <f t="shared" ca="1" si="60"/>
        <v>0</v>
      </c>
      <c r="K295">
        <f t="shared" ca="1" si="61"/>
        <v>0</v>
      </c>
      <c r="L295">
        <f t="shared" ca="1" si="62"/>
        <v>0</v>
      </c>
      <c r="M295">
        <f t="shared" ca="1" si="63"/>
        <v>1</v>
      </c>
      <c r="N295">
        <f t="shared" ca="1" si="64"/>
        <v>0</v>
      </c>
    </row>
    <row r="296" spans="1:14" x14ac:dyDescent="0.35">
      <c r="A296" t="s">
        <v>313</v>
      </c>
      <c r="B296" t="str">
        <f t="shared" si="52"/>
        <v>Control</v>
      </c>
      <c r="C296">
        <f t="shared" ca="1" si="53"/>
        <v>24</v>
      </c>
      <c r="D296" t="str">
        <f t="shared" ca="1" si="54"/>
        <v>Female</v>
      </c>
      <c r="E296" t="str">
        <f t="shared" ca="1" si="55"/>
        <v>T-shirts</v>
      </c>
      <c r="F296">
        <f t="shared" ca="1" si="56"/>
        <v>6728</v>
      </c>
      <c r="G296">
        <f t="shared" ca="1" si="57"/>
        <v>10</v>
      </c>
      <c r="H296">
        <f t="shared" ca="1" si="58"/>
        <v>6055.2</v>
      </c>
      <c r="I296">
        <f t="shared" ca="1" si="59"/>
        <v>0</v>
      </c>
      <c r="J296">
        <f t="shared" ca="1" si="60"/>
        <v>0</v>
      </c>
      <c r="K296">
        <f t="shared" ca="1" si="61"/>
        <v>0</v>
      </c>
      <c r="L296">
        <f t="shared" ca="1" si="62"/>
        <v>0</v>
      </c>
      <c r="M296">
        <f t="shared" ca="1" si="63"/>
        <v>5</v>
      </c>
      <c r="N296">
        <f t="shared" ca="1" si="64"/>
        <v>0</v>
      </c>
    </row>
    <row r="297" spans="1:14" x14ac:dyDescent="0.35">
      <c r="A297" t="s">
        <v>314</v>
      </c>
      <c r="B297" t="str">
        <f t="shared" si="52"/>
        <v>Control</v>
      </c>
      <c r="C297">
        <f t="shared" ca="1" si="53"/>
        <v>41</v>
      </c>
      <c r="D297" t="str">
        <f t="shared" ca="1" si="54"/>
        <v>Male</v>
      </c>
      <c r="E297" t="str">
        <f t="shared" ca="1" si="55"/>
        <v>Accessories</v>
      </c>
      <c r="F297">
        <f t="shared" ca="1" si="56"/>
        <v>5125</v>
      </c>
      <c r="G297">
        <f t="shared" ca="1" si="57"/>
        <v>10</v>
      </c>
      <c r="H297">
        <f t="shared" ca="1" si="58"/>
        <v>4612.5</v>
      </c>
      <c r="I297">
        <f t="shared" ca="1" si="59"/>
        <v>1</v>
      </c>
      <c r="J297">
        <f t="shared" ca="1" si="60"/>
        <v>0</v>
      </c>
      <c r="K297">
        <f t="shared" ca="1" si="61"/>
        <v>0</v>
      </c>
      <c r="L297">
        <f t="shared" ca="1" si="62"/>
        <v>0</v>
      </c>
      <c r="M297">
        <f t="shared" ca="1" si="63"/>
        <v>3</v>
      </c>
      <c r="N297">
        <f t="shared" ca="1" si="64"/>
        <v>0</v>
      </c>
    </row>
    <row r="298" spans="1:14" x14ac:dyDescent="0.35">
      <c r="A298" t="s">
        <v>315</v>
      </c>
      <c r="B298" t="str">
        <f t="shared" si="52"/>
        <v>Control</v>
      </c>
      <c r="C298">
        <f t="shared" ca="1" si="53"/>
        <v>39</v>
      </c>
      <c r="D298" t="str">
        <f t="shared" ca="1" si="54"/>
        <v>Female</v>
      </c>
      <c r="E298" t="str">
        <f t="shared" ca="1" si="55"/>
        <v>Jeans</v>
      </c>
      <c r="F298">
        <f t="shared" ca="1" si="56"/>
        <v>7809</v>
      </c>
      <c r="G298">
        <f t="shared" ca="1" si="57"/>
        <v>10</v>
      </c>
      <c r="H298">
        <f t="shared" ca="1" si="58"/>
        <v>7028.1</v>
      </c>
      <c r="I298">
        <f t="shared" ca="1" si="59"/>
        <v>1</v>
      </c>
      <c r="J298">
        <f t="shared" ca="1" si="60"/>
        <v>0</v>
      </c>
      <c r="K298">
        <f t="shared" ca="1" si="61"/>
        <v>0</v>
      </c>
      <c r="L298">
        <f t="shared" ca="1" si="62"/>
        <v>0</v>
      </c>
      <c r="M298">
        <f t="shared" ca="1" si="63"/>
        <v>5</v>
      </c>
      <c r="N298">
        <f t="shared" ca="1" si="64"/>
        <v>0</v>
      </c>
    </row>
    <row r="299" spans="1:14" x14ac:dyDescent="0.35">
      <c r="A299" t="s">
        <v>316</v>
      </c>
      <c r="B299" t="str">
        <f t="shared" si="52"/>
        <v>Control</v>
      </c>
      <c r="C299">
        <f t="shared" ca="1" si="53"/>
        <v>38</v>
      </c>
      <c r="D299" t="str">
        <f t="shared" ca="1" si="54"/>
        <v>Male</v>
      </c>
      <c r="E299" t="str">
        <f t="shared" ca="1" si="55"/>
        <v>Accessories</v>
      </c>
      <c r="F299">
        <f t="shared" ca="1" si="56"/>
        <v>5249</v>
      </c>
      <c r="G299">
        <f t="shared" ca="1" si="57"/>
        <v>10</v>
      </c>
      <c r="H299">
        <f t="shared" ca="1" si="58"/>
        <v>4724.1000000000004</v>
      </c>
      <c r="I299">
        <f t="shared" ca="1" si="59"/>
        <v>1</v>
      </c>
      <c r="J299">
        <f t="shared" ca="1" si="60"/>
        <v>1</v>
      </c>
      <c r="K299">
        <f t="shared" ca="1" si="61"/>
        <v>1</v>
      </c>
      <c r="L299">
        <f t="shared" ca="1" si="62"/>
        <v>4724.1000000000004</v>
      </c>
      <c r="M299">
        <f t="shared" ca="1" si="63"/>
        <v>5</v>
      </c>
      <c r="N299">
        <f t="shared" ca="1" si="64"/>
        <v>0</v>
      </c>
    </row>
    <row r="300" spans="1:14" x14ac:dyDescent="0.35">
      <c r="A300" t="s">
        <v>317</v>
      </c>
      <c r="B300" t="str">
        <f t="shared" si="52"/>
        <v>Control</v>
      </c>
      <c r="C300">
        <f t="shared" ca="1" si="53"/>
        <v>38</v>
      </c>
      <c r="D300" t="str">
        <f t="shared" ca="1" si="54"/>
        <v>Female</v>
      </c>
      <c r="E300" t="str">
        <f t="shared" ca="1" si="55"/>
        <v>Shoes</v>
      </c>
      <c r="F300">
        <f t="shared" ca="1" si="56"/>
        <v>7227</v>
      </c>
      <c r="G300">
        <f t="shared" ca="1" si="57"/>
        <v>10</v>
      </c>
      <c r="H300">
        <f t="shared" ca="1" si="58"/>
        <v>6504.3</v>
      </c>
      <c r="I300">
        <f t="shared" ca="1" si="59"/>
        <v>1</v>
      </c>
      <c r="J300">
        <f t="shared" ca="1" si="60"/>
        <v>1</v>
      </c>
      <c r="K300">
        <f t="shared" ca="1" si="61"/>
        <v>1</v>
      </c>
      <c r="L300">
        <f t="shared" ca="1" si="62"/>
        <v>6504.3</v>
      </c>
      <c r="M300">
        <f t="shared" ca="1" si="63"/>
        <v>3</v>
      </c>
      <c r="N300">
        <f t="shared" ca="1" si="64"/>
        <v>0</v>
      </c>
    </row>
    <row r="301" spans="1:14" x14ac:dyDescent="0.35">
      <c r="A301" t="s">
        <v>318</v>
      </c>
      <c r="B301" t="str">
        <f t="shared" si="52"/>
        <v>Control</v>
      </c>
      <c r="C301">
        <f t="shared" ca="1" si="53"/>
        <v>35</v>
      </c>
      <c r="D301" t="str">
        <f t="shared" ca="1" si="54"/>
        <v>Female</v>
      </c>
      <c r="E301" t="str">
        <f t="shared" ca="1" si="55"/>
        <v>Dresses</v>
      </c>
      <c r="F301">
        <f t="shared" ca="1" si="56"/>
        <v>1176</v>
      </c>
      <c r="G301">
        <f t="shared" ca="1" si="57"/>
        <v>10</v>
      </c>
      <c r="H301">
        <f t="shared" ca="1" si="58"/>
        <v>1058.4000000000001</v>
      </c>
      <c r="I301">
        <f t="shared" ca="1" si="59"/>
        <v>1</v>
      </c>
      <c r="J301">
        <f t="shared" ca="1" si="60"/>
        <v>0</v>
      </c>
      <c r="K301">
        <f t="shared" ca="1" si="61"/>
        <v>0</v>
      </c>
      <c r="L301">
        <f t="shared" ca="1" si="62"/>
        <v>0</v>
      </c>
      <c r="M301">
        <f t="shared" ca="1" si="63"/>
        <v>5</v>
      </c>
      <c r="N301">
        <f t="shared" ca="1" si="64"/>
        <v>0</v>
      </c>
    </row>
    <row r="302" spans="1:14" x14ac:dyDescent="0.35">
      <c r="A302" t="s">
        <v>319</v>
      </c>
      <c r="B302" t="str">
        <f t="shared" si="52"/>
        <v>Control</v>
      </c>
      <c r="C302">
        <f t="shared" ca="1" si="53"/>
        <v>29</v>
      </c>
      <c r="D302" t="str">
        <f t="shared" ca="1" si="54"/>
        <v>Female</v>
      </c>
      <c r="E302" t="str">
        <f t="shared" ca="1" si="55"/>
        <v>T-shirts</v>
      </c>
      <c r="F302">
        <f t="shared" ca="1" si="56"/>
        <v>3532</v>
      </c>
      <c r="G302">
        <f t="shared" ca="1" si="57"/>
        <v>10</v>
      </c>
      <c r="H302">
        <f t="shared" ca="1" si="58"/>
        <v>3178.8</v>
      </c>
      <c r="I302">
        <f t="shared" ca="1" si="59"/>
        <v>1</v>
      </c>
      <c r="J302">
        <f t="shared" ca="1" si="60"/>
        <v>0</v>
      </c>
      <c r="K302">
        <f t="shared" ca="1" si="61"/>
        <v>0</v>
      </c>
      <c r="L302">
        <f t="shared" ca="1" si="62"/>
        <v>0</v>
      </c>
      <c r="M302">
        <f t="shared" ca="1" si="63"/>
        <v>4</v>
      </c>
      <c r="N302">
        <f t="shared" ca="1" si="64"/>
        <v>0</v>
      </c>
    </row>
    <row r="303" spans="1:14" x14ac:dyDescent="0.35">
      <c r="A303" t="s">
        <v>320</v>
      </c>
      <c r="B303" t="str">
        <f t="shared" si="52"/>
        <v>Control</v>
      </c>
      <c r="C303">
        <f t="shared" ca="1" si="53"/>
        <v>44</v>
      </c>
      <c r="D303" t="str">
        <f t="shared" ca="1" si="54"/>
        <v>Female</v>
      </c>
      <c r="E303" t="str">
        <f t="shared" ca="1" si="55"/>
        <v>Ethnic Wear</v>
      </c>
      <c r="F303">
        <f t="shared" ca="1" si="56"/>
        <v>1824</v>
      </c>
      <c r="G303">
        <f t="shared" ca="1" si="57"/>
        <v>10</v>
      </c>
      <c r="H303">
        <f t="shared" ca="1" si="58"/>
        <v>1641.6000000000001</v>
      </c>
      <c r="I303">
        <f t="shared" ca="1" si="59"/>
        <v>1</v>
      </c>
      <c r="J303">
        <f t="shared" ca="1" si="60"/>
        <v>1</v>
      </c>
      <c r="K303">
        <f t="shared" ca="1" si="61"/>
        <v>1</v>
      </c>
      <c r="L303">
        <f t="shared" ca="1" si="62"/>
        <v>1641.6000000000001</v>
      </c>
      <c r="M303">
        <f t="shared" ca="1" si="63"/>
        <v>6</v>
      </c>
      <c r="N303">
        <f t="shared" ca="1" si="64"/>
        <v>0</v>
      </c>
    </row>
    <row r="304" spans="1:14" x14ac:dyDescent="0.35">
      <c r="A304" t="s">
        <v>321</v>
      </c>
      <c r="B304" t="str">
        <f t="shared" si="52"/>
        <v>Control</v>
      </c>
      <c r="C304">
        <f t="shared" ca="1" si="53"/>
        <v>34</v>
      </c>
      <c r="D304" t="str">
        <f t="shared" ca="1" si="54"/>
        <v>Male</v>
      </c>
      <c r="E304" t="str">
        <f t="shared" ca="1" si="55"/>
        <v>Shoes</v>
      </c>
      <c r="F304">
        <f t="shared" ca="1" si="56"/>
        <v>7244</v>
      </c>
      <c r="G304">
        <f t="shared" ca="1" si="57"/>
        <v>10</v>
      </c>
      <c r="H304">
        <f t="shared" ca="1" si="58"/>
        <v>6519.6</v>
      </c>
      <c r="I304">
        <f t="shared" ca="1" si="59"/>
        <v>0</v>
      </c>
      <c r="J304">
        <f t="shared" ca="1" si="60"/>
        <v>0</v>
      </c>
      <c r="K304">
        <f t="shared" ca="1" si="61"/>
        <v>0</v>
      </c>
      <c r="L304">
        <f t="shared" ca="1" si="62"/>
        <v>0</v>
      </c>
      <c r="M304">
        <f t="shared" ca="1" si="63"/>
        <v>5</v>
      </c>
      <c r="N304">
        <f t="shared" ca="1" si="64"/>
        <v>0</v>
      </c>
    </row>
    <row r="305" spans="1:14" x14ac:dyDescent="0.35">
      <c r="A305" t="s">
        <v>322</v>
      </c>
      <c r="B305" t="str">
        <f t="shared" si="52"/>
        <v>Control</v>
      </c>
      <c r="C305">
        <f t="shared" ca="1" si="53"/>
        <v>40</v>
      </c>
      <c r="D305" t="str">
        <f t="shared" ca="1" si="54"/>
        <v>Other</v>
      </c>
      <c r="E305" t="str">
        <f t="shared" ca="1" si="55"/>
        <v>Sportswear</v>
      </c>
      <c r="F305">
        <f t="shared" ca="1" si="56"/>
        <v>3282</v>
      </c>
      <c r="G305">
        <f t="shared" ca="1" si="57"/>
        <v>10</v>
      </c>
      <c r="H305">
        <f t="shared" ca="1" si="58"/>
        <v>2953.8</v>
      </c>
      <c r="I305">
        <f t="shared" ca="1" si="59"/>
        <v>1</v>
      </c>
      <c r="J305">
        <f t="shared" ca="1" si="60"/>
        <v>0</v>
      </c>
      <c r="K305">
        <f t="shared" ca="1" si="61"/>
        <v>0</v>
      </c>
      <c r="L305">
        <f t="shared" ca="1" si="62"/>
        <v>0</v>
      </c>
      <c r="M305">
        <f t="shared" ca="1" si="63"/>
        <v>1</v>
      </c>
      <c r="N305">
        <f t="shared" ca="1" si="64"/>
        <v>0</v>
      </c>
    </row>
    <row r="306" spans="1:14" x14ac:dyDescent="0.35">
      <c r="A306" t="s">
        <v>323</v>
      </c>
      <c r="B306" t="str">
        <f t="shared" si="52"/>
        <v>Control</v>
      </c>
      <c r="C306">
        <f t="shared" ca="1" si="53"/>
        <v>32</v>
      </c>
      <c r="D306" t="str">
        <f t="shared" ca="1" si="54"/>
        <v>Female</v>
      </c>
      <c r="E306" t="str">
        <f t="shared" ca="1" si="55"/>
        <v>Ethnic Wear</v>
      </c>
      <c r="F306">
        <f t="shared" ca="1" si="56"/>
        <v>4760</v>
      </c>
      <c r="G306">
        <f t="shared" ca="1" si="57"/>
        <v>10</v>
      </c>
      <c r="H306">
        <f t="shared" ca="1" si="58"/>
        <v>4284</v>
      </c>
      <c r="I306">
        <f t="shared" ca="1" si="59"/>
        <v>1</v>
      </c>
      <c r="J306">
        <f t="shared" ca="1" si="60"/>
        <v>1</v>
      </c>
      <c r="K306">
        <f t="shared" ca="1" si="61"/>
        <v>1</v>
      </c>
      <c r="L306">
        <f t="shared" ca="1" si="62"/>
        <v>4284</v>
      </c>
      <c r="M306">
        <f t="shared" ca="1" si="63"/>
        <v>4</v>
      </c>
      <c r="N306">
        <f t="shared" ca="1" si="64"/>
        <v>0</v>
      </c>
    </row>
    <row r="307" spans="1:14" x14ac:dyDescent="0.35">
      <c r="A307" t="s">
        <v>324</v>
      </c>
      <c r="B307" t="str">
        <f t="shared" si="52"/>
        <v>Control</v>
      </c>
      <c r="C307">
        <f t="shared" ca="1" si="53"/>
        <v>30</v>
      </c>
      <c r="D307" t="str">
        <f t="shared" ca="1" si="54"/>
        <v>Female</v>
      </c>
      <c r="E307" t="str">
        <f t="shared" ca="1" si="55"/>
        <v>Ethnic Wear</v>
      </c>
      <c r="F307">
        <f t="shared" ca="1" si="56"/>
        <v>512</v>
      </c>
      <c r="G307">
        <f t="shared" ca="1" si="57"/>
        <v>10</v>
      </c>
      <c r="H307">
        <f t="shared" ca="1" si="58"/>
        <v>460.8</v>
      </c>
      <c r="I307">
        <f t="shared" ca="1" si="59"/>
        <v>1</v>
      </c>
      <c r="J307">
        <f t="shared" ca="1" si="60"/>
        <v>1</v>
      </c>
      <c r="K307">
        <f t="shared" ca="1" si="61"/>
        <v>1</v>
      </c>
      <c r="L307">
        <f t="shared" ca="1" si="62"/>
        <v>460.8</v>
      </c>
      <c r="M307">
        <f t="shared" ca="1" si="63"/>
        <v>4</v>
      </c>
      <c r="N307">
        <f t="shared" ca="1" si="64"/>
        <v>0</v>
      </c>
    </row>
    <row r="308" spans="1:14" x14ac:dyDescent="0.35">
      <c r="A308" t="s">
        <v>325</v>
      </c>
      <c r="B308" t="str">
        <f t="shared" si="52"/>
        <v>Control</v>
      </c>
      <c r="C308">
        <f t="shared" ca="1" si="53"/>
        <v>42</v>
      </c>
      <c r="D308" t="str">
        <f t="shared" ca="1" si="54"/>
        <v>Male</v>
      </c>
      <c r="E308" t="str">
        <f t="shared" ca="1" si="55"/>
        <v>Accessories</v>
      </c>
      <c r="F308">
        <f t="shared" ca="1" si="56"/>
        <v>1150</v>
      </c>
      <c r="G308">
        <f t="shared" ca="1" si="57"/>
        <v>10</v>
      </c>
      <c r="H308">
        <f t="shared" ca="1" si="58"/>
        <v>1035</v>
      </c>
      <c r="I308">
        <f t="shared" ca="1" si="59"/>
        <v>1</v>
      </c>
      <c r="J308">
        <f t="shared" ca="1" si="60"/>
        <v>0</v>
      </c>
      <c r="K308">
        <f t="shared" ca="1" si="61"/>
        <v>0</v>
      </c>
      <c r="L308">
        <f t="shared" ca="1" si="62"/>
        <v>0</v>
      </c>
      <c r="M308">
        <f t="shared" ca="1" si="63"/>
        <v>3</v>
      </c>
      <c r="N308">
        <f t="shared" ca="1" si="64"/>
        <v>0</v>
      </c>
    </row>
    <row r="309" spans="1:14" x14ac:dyDescent="0.35">
      <c r="A309" t="s">
        <v>326</v>
      </c>
      <c r="B309" t="str">
        <f t="shared" si="52"/>
        <v>Control</v>
      </c>
      <c r="C309">
        <f t="shared" ca="1" si="53"/>
        <v>31</v>
      </c>
      <c r="D309" t="str">
        <f t="shared" ca="1" si="54"/>
        <v>Male</v>
      </c>
      <c r="E309" t="str">
        <f t="shared" ca="1" si="55"/>
        <v>Sportswear</v>
      </c>
      <c r="F309">
        <f t="shared" ca="1" si="56"/>
        <v>2261</v>
      </c>
      <c r="G309">
        <f t="shared" ca="1" si="57"/>
        <v>10</v>
      </c>
      <c r="H309">
        <f t="shared" ca="1" si="58"/>
        <v>2034.9</v>
      </c>
      <c r="I309">
        <f t="shared" ca="1" si="59"/>
        <v>1</v>
      </c>
      <c r="J309">
        <f t="shared" ca="1" si="60"/>
        <v>0</v>
      </c>
      <c r="K309">
        <f t="shared" ca="1" si="61"/>
        <v>0</v>
      </c>
      <c r="L309">
        <f t="shared" ca="1" si="62"/>
        <v>0</v>
      </c>
      <c r="M309">
        <f t="shared" ca="1" si="63"/>
        <v>1</v>
      </c>
      <c r="N309">
        <f t="shared" ca="1" si="64"/>
        <v>0</v>
      </c>
    </row>
    <row r="310" spans="1:14" x14ac:dyDescent="0.35">
      <c r="A310" t="s">
        <v>327</v>
      </c>
      <c r="B310" t="str">
        <f t="shared" si="52"/>
        <v>Control</v>
      </c>
      <c r="C310">
        <f t="shared" ca="1" si="53"/>
        <v>32</v>
      </c>
      <c r="D310" t="str">
        <f t="shared" ca="1" si="54"/>
        <v>Other</v>
      </c>
      <c r="E310" t="str">
        <f t="shared" ca="1" si="55"/>
        <v>Dresses</v>
      </c>
      <c r="F310">
        <f t="shared" ca="1" si="56"/>
        <v>5389</v>
      </c>
      <c r="G310">
        <f t="shared" ca="1" si="57"/>
        <v>10</v>
      </c>
      <c r="H310">
        <f t="shared" ca="1" si="58"/>
        <v>4850.1000000000004</v>
      </c>
      <c r="I310">
        <f t="shared" ca="1" si="59"/>
        <v>1</v>
      </c>
      <c r="J310">
        <f t="shared" ca="1" si="60"/>
        <v>0</v>
      </c>
      <c r="K310">
        <f t="shared" ca="1" si="61"/>
        <v>0</v>
      </c>
      <c r="L310">
        <f t="shared" ca="1" si="62"/>
        <v>0</v>
      </c>
      <c r="M310">
        <f t="shared" ca="1" si="63"/>
        <v>5</v>
      </c>
      <c r="N310">
        <f t="shared" ca="1" si="64"/>
        <v>0</v>
      </c>
    </row>
    <row r="311" spans="1:14" x14ac:dyDescent="0.35">
      <c r="A311" t="s">
        <v>328</v>
      </c>
      <c r="B311" t="str">
        <f t="shared" si="52"/>
        <v>Control</v>
      </c>
      <c r="C311">
        <f t="shared" ca="1" si="53"/>
        <v>21</v>
      </c>
      <c r="D311" t="str">
        <f t="shared" ca="1" si="54"/>
        <v>Male</v>
      </c>
      <c r="E311" t="str">
        <f t="shared" ca="1" si="55"/>
        <v>Tops</v>
      </c>
      <c r="F311">
        <f t="shared" ca="1" si="56"/>
        <v>2742</v>
      </c>
      <c r="G311">
        <f t="shared" ca="1" si="57"/>
        <v>10</v>
      </c>
      <c r="H311">
        <f t="shared" ca="1" si="58"/>
        <v>2467.8000000000002</v>
      </c>
      <c r="I311">
        <f t="shared" ca="1" si="59"/>
        <v>1</v>
      </c>
      <c r="J311">
        <f t="shared" ca="1" si="60"/>
        <v>0</v>
      </c>
      <c r="K311">
        <f t="shared" ca="1" si="61"/>
        <v>0</v>
      </c>
      <c r="L311">
        <f t="shared" ca="1" si="62"/>
        <v>0</v>
      </c>
      <c r="M311">
        <f t="shared" ca="1" si="63"/>
        <v>7</v>
      </c>
      <c r="N311">
        <f t="shared" ca="1" si="64"/>
        <v>0</v>
      </c>
    </row>
    <row r="312" spans="1:14" x14ac:dyDescent="0.35">
      <c r="A312" t="s">
        <v>329</v>
      </c>
      <c r="B312" t="str">
        <f t="shared" si="52"/>
        <v>Control</v>
      </c>
      <c r="C312">
        <f t="shared" ca="1" si="53"/>
        <v>45</v>
      </c>
      <c r="D312" t="str">
        <f t="shared" ca="1" si="54"/>
        <v>Male</v>
      </c>
      <c r="E312" t="str">
        <f t="shared" ca="1" si="55"/>
        <v>Accessories</v>
      </c>
      <c r="F312">
        <f t="shared" ca="1" si="56"/>
        <v>5993</v>
      </c>
      <c r="G312">
        <f t="shared" ca="1" si="57"/>
        <v>10</v>
      </c>
      <c r="H312">
        <f t="shared" ca="1" si="58"/>
        <v>5393.7</v>
      </c>
      <c r="I312">
        <f t="shared" ca="1" si="59"/>
        <v>1</v>
      </c>
      <c r="J312">
        <f t="shared" ca="1" si="60"/>
        <v>0</v>
      </c>
      <c r="K312">
        <f t="shared" ca="1" si="61"/>
        <v>0</v>
      </c>
      <c r="L312">
        <f t="shared" ca="1" si="62"/>
        <v>0</v>
      </c>
      <c r="M312">
        <f t="shared" ca="1" si="63"/>
        <v>5</v>
      </c>
      <c r="N312">
        <f t="shared" ca="1" si="64"/>
        <v>0</v>
      </c>
    </row>
    <row r="313" spans="1:14" x14ac:dyDescent="0.35">
      <c r="A313" t="s">
        <v>330</v>
      </c>
      <c r="B313" t="str">
        <f t="shared" si="52"/>
        <v>Control</v>
      </c>
      <c r="C313">
        <f t="shared" ca="1" si="53"/>
        <v>33</v>
      </c>
      <c r="D313" t="str">
        <f t="shared" ca="1" si="54"/>
        <v>Male</v>
      </c>
      <c r="E313" t="str">
        <f t="shared" ca="1" si="55"/>
        <v>Shoes</v>
      </c>
      <c r="F313">
        <f t="shared" ca="1" si="56"/>
        <v>3323</v>
      </c>
      <c r="G313">
        <f t="shared" ca="1" si="57"/>
        <v>10</v>
      </c>
      <c r="H313">
        <f t="shared" ca="1" si="58"/>
        <v>2990.7000000000003</v>
      </c>
      <c r="I313">
        <f t="shared" ca="1" si="59"/>
        <v>1</v>
      </c>
      <c r="J313">
        <f t="shared" ca="1" si="60"/>
        <v>1</v>
      </c>
      <c r="K313">
        <f t="shared" ca="1" si="61"/>
        <v>0</v>
      </c>
      <c r="L313">
        <f t="shared" ca="1" si="62"/>
        <v>0</v>
      </c>
      <c r="M313">
        <f t="shared" ca="1" si="63"/>
        <v>6</v>
      </c>
      <c r="N313">
        <f t="shared" ca="1" si="64"/>
        <v>0</v>
      </c>
    </row>
    <row r="314" spans="1:14" x14ac:dyDescent="0.35">
      <c r="A314" t="s">
        <v>331</v>
      </c>
      <c r="B314" t="str">
        <f t="shared" si="52"/>
        <v>Control</v>
      </c>
      <c r="C314">
        <f t="shared" ca="1" si="53"/>
        <v>30</v>
      </c>
      <c r="D314" t="str">
        <f t="shared" ca="1" si="54"/>
        <v>Male</v>
      </c>
      <c r="E314" t="str">
        <f t="shared" ca="1" si="55"/>
        <v>Shoes</v>
      </c>
      <c r="F314">
        <f t="shared" ca="1" si="56"/>
        <v>6152</v>
      </c>
      <c r="G314">
        <f t="shared" ca="1" si="57"/>
        <v>10</v>
      </c>
      <c r="H314">
        <f t="shared" ca="1" si="58"/>
        <v>5536.8</v>
      </c>
      <c r="I314">
        <f t="shared" ca="1" si="59"/>
        <v>1</v>
      </c>
      <c r="J314">
        <f t="shared" ca="1" si="60"/>
        <v>0</v>
      </c>
      <c r="K314">
        <f t="shared" ca="1" si="61"/>
        <v>0</v>
      </c>
      <c r="L314">
        <f t="shared" ca="1" si="62"/>
        <v>0</v>
      </c>
      <c r="M314">
        <f t="shared" ca="1" si="63"/>
        <v>4</v>
      </c>
      <c r="N314">
        <f t="shared" ca="1" si="64"/>
        <v>0</v>
      </c>
    </row>
    <row r="315" spans="1:14" x14ac:dyDescent="0.35">
      <c r="A315" t="s">
        <v>332</v>
      </c>
      <c r="B315" t="str">
        <f t="shared" si="52"/>
        <v>Control</v>
      </c>
      <c r="C315">
        <f t="shared" ca="1" si="53"/>
        <v>24</v>
      </c>
      <c r="D315" t="str">
        <f t="shared" ca="1" si="54"/>
        <v>Male</v>
      </c>
      <c r="E315" t="str">
        <f t="shared" ca="1" si="55"/>
        <v>T-shirts</v>
      </c>
      <c r="F315">
        <f t="shared" ca="1" si="56"/>
        <v>2466</v>
      </c>
      <c r="G315">
        <f t="shared" ca="1" si="57"/>
        <v>10</v>
      </c>
      <c r="H315">
        <f t="shared" ca="1" si="58"/>
        <v>2219.4</v>
      </c>
      <c r="I315">
        <f t="shared" ca="1" si="59"/>
        <v>0</v>
      </c>
      <c r="J315">
        <f t="shared" ca="1" si="60"/>
        <v>0</v>
      </c>
      <c r="K315">
        <f t="shared" ca="1" si="61"/>
        <v>0</v>
      </c>
      <c r="L315">
        <f t="shared" ca="1" si="62"/>
        <v>0</v>
      </c>
      <c r="M315">
        <f t="shared" ca="1" si="63"/>
        <v>6</v>
      </c>
      <c r="N315">
        <f t="shared" ca="1" si="64"/>
        <v>0</v>
      </c>
    </row>
    <row r="316" spans="1:14" x14ac:dyDescent="0.35">
      <c r="A316" t="s">
        <v>333</v>
      </c>
      <c r="B316" t="str">
        <f t="shared" si="52"/>
        <v>Control</v>
      </c>
      <c r="C316">
        <f t="shared" ca="1" si="53"/>
        <v>33</v>
      </c>
      <c r="D316" t="str">
        <f t="shared" ca="1" si="54"/>
        <v>Male</v>
      </c>
      <c r="E316" t="str">
        <f t="shared" ca="1" si="55"/>
        <v>Ethnic Wear</v>
      </c>
      <c r="F316">
        <f t="shared" ca="1" si="56"/>
        <v>2408</v>
      </c>
      <c r="G316">
        <f t="shared" ca="1" si="57"/>
        <v>10</v>
      </c>
      <c r="H316">
        <f t="shared" ca="1" si="58"/>
        <v>2167.2000000000003</v>
      </c>
      <c r="I316">
        <f t="shared" ca="1" si="59"/>
        <v>1</v>
      </c>
      <c r="J316">
        <f t="shared" ca="1" si="60"/>
        <v>0</v>
      </c>
      <c r="K316">
        <f t="shared" ca="1" si="61"/>
        <v>0</v>
      </c>
      <c r="L316">
        <f t="shared" ca="1" si="62"/>
        <v>0</v>
      </c>
      <c r="M316">
        <f t="shared" ca="1" si="63"/>
        <v>5</v>
      </c>
      <c r="N316">
        <f t="shared" ca="1" si="64"/>
        <v>0</v>
      </c>
    </row>
    <row r="317" spans="1:14" x14ac:dyDescent="0.35">
      <c r="A317" t="s">
        <v>334</v>
      </c>
      <c r="B317" t="str">
        <f t="shared" si="52"/>
        <v>Control</v>
      </c>
      <c r="C317">
        <f t="shared" ca="1" si="53"/>
        <v>19</v>
      </c>
      <c r="D317" t="str">
        <f t="shared" ca="1" si="54"/>
        <v>Male</v>
      </c>
      <c r="E317" t="str">
        <f t="shared" ca="1" si="55"/>
        <v>T-shirts</v>
      </c>
      <c r="F317">
        <f t="shared" ca="1" si="56"/>
        <v>5508</v>
      </c>
      <c r="G317">
        <f t="shared" ca="1" si="57"/>
        <v>10</v>
      </c>
      <c r="H317">
        <f t="shared" ca="1" si="58"/>
        <v>4957.2</v>
      </c>
      <c r="I317">
        <f t="shared" ca="1" si="59"/>
        <v>0</v>
      </c>
      <c r="J317">
        <f t="shared" ca="1" si="60"/>
        <v>0</v>
      </c>
      <c r="K317">
        <f t="shared" ca="1" si="61"/>
        <v>0</v>
      </c>
      <c r="L317">
        <f t="shared" ca="1" si="62"/>
        <v>0</v>
      </c>
      <c r="M317">
        <f t="shared" ca="1" si="63"/>
        <v>1</v>
      </c>
      <c r="N317">
        <f t="shared" ca="1" si="64"/>
        <v>0</v>
      </c>
    </row>
    <row r="318" spans="1:14" x14ac:dyDescent="0.35">
      <c r="A318" t="s">
        <v>335</v>
      </c>
      <c r="B318" t="str">
        <f t="shared" si="52"/>
        <v>Control</v>
      </c>
      <c r="C318">
        <f t="shared" ca="1" si="53"/>
        <v>44</v>
      </c>
      <c r="D318" t="str">
        <f t="shared" ca="1" si="54"/>
        <v>Female</v>
      </c>
      <c r="E318" t="str">
        <f t="shared" ca="1" si="55"/>
        <v>Dresses</v>
      </c>
      <c r="F318">
        <f t="shared" ca="1" si="56"/>
        <v>688</v>
      </c>
      <c r="G318">
        <f t="shared" ca="1" si="57"/>
        <v>10</v>
      </c>
      <c r="H318">
        <f t="shared" ca="1" si="58"/>
        <v>619.20000000000005</v>
      </c>
      <c r="I318">
        <f t="shared" ca="1" si="59"/>
        <v>1</v>
      </c>
      <c r="J318">
        <f t="shared" ca="1" si="60"/>
        <v>0</v>
      </c>
      <c r="K318">
        <f t="shared" ca="1" si="61"/>
        <v>0</v>
      </c>
      <c r="L318">
        <f t="shared" ca="1" si="62"/>
        <v>0</v>
      </c>
      <c r="M318">
        <f t="shared" ca="1" si="63"/>
        <v>7</v>
      </c>
      <c r="N318">
        <f t="shared" ca="1" si="64"/>
        <v>0</v>
      </c>
    </row>
    <row r="319" spans="1:14" x14ac:dyDescent="0.35">
      <c r="A319" t="s">
        <v>336</v>
      </c>
      <c r="B319" t="str">
        <f t="shared" si="52"/>
        <v>Control</v>
      </c>
      <c r="C319">
        <f t="shared" ca="1" si="53"/>
        <v>33</v>
      </c>
      <c r="D319" t="str">
        <f t="shared" ca="1" si="54"/>
        <v>Male</v>
      </c>
      <c r="E319" t="str">
        <f t="shared" ca="1" si="55"/>
        <v>Sportswear</v>
      </c>
      <c r="F319">
        <f t="shared" ca="1" si="56"/>
        <v>5908</v>
      </c>
      <c r="G319">
        <f t="shared" ca="1" si="57"/>
        <v>10</v>
      </c>
      <c r="H319">
        <f t="shared" ca="1" si="58"/>
        <v>5317.2</v>
      </c>
      <c r="I319">
        <f t="shared" ca="1" si="59"/>
        <v>1</v>
      </c>
      <c r="J319">
        <f t="shared" ca="1" si="60"/>
        <v>0</v>
      </c>
      <c r="K319">
        <f t="shared" ca="1" si="61"/>
        <v>0</v>
      </c>
      <c r="L319">
        <f t="shared" ca="1" si="62"/>
        <v>0</v>
      </c>
      <c r="M319">
        <f t="shared" ca="1" si="63"/>
        <v>2</v>
      </c>
      <c r="N319">
        <f t="shared" ca="1" si="64"/>
        <v>0</v>
      </c>
    </row>
    <row r="320" spans="1:14" x14ac:dyDescent="0.35">
      <c r="A320" t="s">
        <v>337</v>
      </c>
      <c r="B320" t="str">
        <f t="shared" si="52"/>
        <v>Control</v>
      </c>
      <c r="C320">
        <f t="shared" ca="1" si="53"/>
        <v>29</v>
      </c>
      <c r="D320" t="str">
        <f t="shared" ca="1" si="54"/>
        <v>Male</v>
      </c>
      <c r="E320" t="str">
        <f t="shared" ca="1" si="55"/>
        <v>Jeans</v>
      </c>
      <c r="F320">
        <f t="shared" ca="1" si="56"/>
        <v>5147</v>
      </c>
      <c r="G320">
        <f t="shared" ca="1" si="57"/>
        <v>10</v>
      </c>
      <c r="H320">
        <f t="shared" ca="1" si="58"/>
        <v>4632.3</v>
      </c>
      <c r="I320">
        <f t="shared" ca="1" si="59"/>
        <v>1</v>
      </c>
      <c r="J320">
        <f t="shared" ca="1" si="60"/>
        <v>1</v>
      </c>
      <c r="K320">
        <f t="shared" ca="1" si="61"/>
        <v>0</v>
      </c>
      <c r="L320">
        <f t="shared" ca="1" si="62"/>
        <v>0</v>
      </c>
      <c r="M320">
        <f t="shared" ca="1" si="63"/>
        <v>1</v>
      </c>
      <c r="N320">
        <f t="shared" ca="1" si="64"/>
        <v>0</v>
      </c>
    </row>
    <row r="321" spans="1:14" x14ac:dyDescent="0.35">
      <c r="A321" t="s">
        <v>338</v>
      </c>
      <c r="B321" t="str">
        <f t="shared" si="52"/>
        <v>Control</v>
      </c>
      <c r="C321">
        <f t="shared" ca="1" si="53"/>
        <v>26</v>
      </c>
      <c r="D321" t="str">
        <f t="shared" ca="1" si="54"/>
        <v>Male</v>
      </c>
      <c r="E321" t="str">
        <f t="shared" ca="1" si="55"/>
        <v>Dresses</v>
      </c>
      <c r="F321">
        <f t="shared" ca="1" si="56"/>
        <v>4446</v>
      </c>
      <c r="G321">
        <f t="shared" ca="1" si="57"/>
        <v>10</v>
      </c>
      <c r="H321">
        <f t="shared" ca="1" si="58"/>
        <v>4001.4</v>
      </c>
      <c r="I321">
        <f t="shared" ca="1" si="59"/>
        <v>1</v>
      </c>
      <c r="J321">
        <f t="shared" ca="1" si="60"/>
        <v>1</v>
      </c>
      <c r="K321">
        <f t="shared" ca="1" si="61"/>
        <v>0</v>
      </c>
      <c r="L321">
        <f t="shared" ca="1" si="62"/>
        <v>0</v>
      </c>
      <c r="M321">
        <f t="shared" ca="1" si="63"/>
        <v>1</v>
      </c>
      <c r="N321">
        <f t="shared" ca="1" si="64"/>
        <v>0</v>
      </c>
    </row>
    <row r="322" spans="1:14" x14ac:dyDescent="0.35">
      <c r="A322" t="s">
        <v>339</v>
      </c>
      <c r="B322" t="str">
        <f t="shared" si="52"/>
        <v>Control</v>
      </c>
      <c r="C322">
        <f t="shared" ca="1" si="53"/>
        <v>28</v>
      </c>
      <c r="D322" t="str">
        <f t="shared" ca="1" si="54"/>
        <v>Male</v>
      </c>
      <c r="E322" t="str">
        <f t="shared" ca="1" si="55"/>
        <v>Jeans</v>
      </c>
      <c r="F322">
        <f t="shared" ca="1" si="56"/>
        <v>1347</v>
      </c>
      <c r="G322">
        <f t="shared" ca="1" si="57"/>
        <v>10</v>
      </c>
      <c r="H322">
        <f t="shared" ca="1" si="58"/>
        <v>1212.3</v>
      </c>
      <c r="I322">
        <f t="shared" ca="1" si="59"/>
        <v>1</v>
      </c>
      <c r="J322">
        <f t="shared" ca="1" si="60"/>
        <v>1</v>
      </c>
      <c r="K322">
        <f t="shared" ca="1" si="61"/>
        <v>0</v>
      </c>
      <c r="L322">
        <f t="shared" ca="1" si="62"/>
        <v>0</v>
      </c>
      <c r="M322">
        <f t="shared" ca="1" si="63"/>
        <v>4</v>
      </c>
      <c r="N322">
        <f t="shared" ca="1" si="64"/>
        <v>0</v>
      </c>
    </row>
    <row r="323" spans="1:14" x14ac:dyDescent="0.35">
      <c r="A323" t="s">
        <v>340</v>
      </c>
      <c r="B323" t="str">
        <f t="shared" si="52"/>
        <v>Control</v>
      </c>
      <c r="C323">
        <f t="shared" ca="1" si="53"/>
        <v>20</v>
      </c>
      <c r="D323" t="str">
        <f t="shared" ca="1" si="54"/>
        <v>Male</v>
      </c>
      <c r="E323" t="str">
        <f t="shared" ca="1" si="55"/>
        <v>Ethnic Wear</v>
      </c>
      <c r="F323">
        <f t="shared" ca="1" si="56"/>
        <v>4617</v>
      </c>
      <c r="G323">
        <f t="shared" ca="1" si="57"/>
        <v>10</v>
      </c>
      <c r="H323">
        <f t="shared" ca="1" si="58"/>
        <v>4155.3</v>
      </c>
      <c r="I323">
        <f t="shared" ca="1" si="59"/>
        <v>1</v>
      </c>
      <c r="J323">
        <f t="shared" ca="1" si="60"/>
        <v>1</v>
      </c>
      <c r="K323">
        <f t="shared" ca="1" si="61"/>
        <v>1</v>
      </c>
      <c r="L323">
        <f t="shared" ca="1" si="62"/>
        <v>4155.3</v>
      </c>
      <c r="M323">
        <f t="shared" ca="1" si="63"/>
        <v>5</v>
      </c>
      <c r="N323">
        <f t="shared" ca="1" si="64"/>
        <v>0</v>
      </c>
    </row>
    <row r="324" spans="1:14" x14ac:dyDescent="0.35">
      <c r="A324" t="s">
        <v>341</v>
      </c>
      <c r="B324" t="str">
        <f t="shared" si="52"/>
        <v>Control</v>
      </c>
      <c r="C324">
        <f t="shared" ca="1" si="53"/>
        <v>45</v>
      </c>
      <c r="D324" t="str">
        <f t="shared" ca="1" si="54"/>
        <v>Female</v>
      </c>
      <c r="E324" t="str">
        <f t="shared" ca="1" si="55"/>
        <v>Ethnic Wear</v>
      </c>
      <c r="F324">
        <f t="shared" ca="1" si="56"/>
        <v>4920</v>
      </c>
      <c r="G324">
        <f t="shared" ca="1" si="57"/>
        <v>10</v>
      </c>
      <c r="H324">
        <f t="shared" ca="1" si="58"/>
        <v>4428</v>
      </c>
      <c r="I324">
        <f t="shared" ca="1" si="59"/>
        <v>1</v>
      </c>
      <c r="J324">
        <f t="shared" ca="1" si="60"/>
        <v>0</v>
      </c>
      <c r="K324">
        <f t="shared" ca="1" si="61"/>
        <v>0</v>
      </c>
      <c r="L324">
        <f t="shared" ca="1" si="62"/>
        <v>0</v>
      </c>
      <c r="M324">
        <f t="shared" ca="1" si="63"/>
        <v>5</v>
      </c>
      <c r="N324">
        <f t="shared" ca="1" si="64"/>
        <v>0</v>
      </c>
    </row>
    <row r="325" spans="1:14" x14ac:dyDescent="0.35">
      <c r="A325" t="s">
        <v>342</v>
      </c>
      <c r="B325" t="str">
        <f t="shared" ref="B325:B388" si="65">IF(ROW()&lt;=1001,"Control","Test")</f>
        <v>Control</v>
      </c>
      <c r="C325">
        <f t="shared" ref="C325:C388" ca="1" si="66">RANDBETWEEN(18,45)</f>
        <v>34</v>
      </c>
      <c r="D325" t="str">
        <f t="shared" ref="D325:D388" ca="1" si="67">CHOOSE(RANDBETWEEN(1,20),"Female","Female","Female","Female","Female","Female","Female","Female","Female","Female","Male","Male","Male","Male","Male","Male","Male","Male","Other","Other")</f>
        <v>Other</v>
      </c>
      <c r="E325" t="str">
        <f t="shared" ref="E325:E388" ca="1" si="68">CHOOSE(RANDBETWEEN(1,8),"T-shirts","Dresses","Jeans","Shoes","Ethnic Wear","Tops","Sportswear","Accessories")</f>
        <v>Jeans</v>
      </c>
      <c r="F325">
        <f t="shared" ref="F325:F388" ca="1" si="69">RANDBETWEEN(300,8000)</f>
        <v>3324</v>
      </c>
      <c r="G325">
        <f t="shared" ref="G325:G388" ca="1" si="70">IF(B325="Control",10,CHOOSE(RANDBETWEEN(1,3),15,20,25))</f>
        <v>10</v>
      </c>
      <c r="H325">
        <f t="shared" ref="H325:H388" ca="1" si="71">F325*(1-G325/100)</f>
        <v>2991.6</v>
      </c>
      <c r="I325">
        <f t="shared" ref="I325:I388" ca="1" si="72">IF(RAND()&lt;0.85,1,0)</f>
        <v>1</v>
      </c>
      <c r="J325">
        <f t="shared" ref="J325:J388" ca="1" si="73">IF(I325=1,IF(RAND()&lt;0.55,1,0),0)</f>
        <v>1</v>
      </c>
      <c r="K325">
        <f t="shared" ref="K325:K388" ca="1" si="74">IF(J325=1,IF(B325="Test",IF(RAND()&lt;0.4,1,0),IF(RAND()&lt;0.34,1,0)),0)</f>
        <v>0</v>
      </c>
      <c r="L325">
        <f t="shared" ref="L325:L388" ca="1" si="75">IF(K325=1,H325,0)</f>
        <v>0</v>
      </c>
      <c r="M325">
        <f t="shared" ref="M325:M388" ca="1" si="76">RANDBETWEEN(1,7)</f>
        <v>4</v>
      </c>
      <c r="N325">
        <f t="shared" ref="N325:N388" ca="1" si="77">IF(K325=1,IF(RAND()&lt;0.15,1,0),0)</f>
        <v>0</v>
      </c>
    </row>
    <row r="326" spans="1:14" x14ac:dyDescent="0.35">
      <c r="A326" t="s">
        <v>343</v>
      </c>
      <c r="B326" t="str">
        <f t="shared" si="65"/>
        <v>Control</v>
      </c>
      <c r="C326">
        <f t="shared" ca="1" si="66"/>
        <v>43</v>
      </c>
      <c r="D326" t="str">
        <f t="shared" ca="1" si="67"/>
        <v>Female</v>
      </c>
      <c r="E326" t="str">
        <f t="shared" ca="1" si="68"/>
        <v>Shoes</v>
      </c>
      <c r="F326">
        <f t="shared" ca="1" si="69"/>
        <v>4205</v>
      </c>
      <c r="G326">
        <f t="shared" ca="1" si="70"/>
        <v>10</v>
      </c>
      <c r="H326">
        <f t="shared" ca="1" si="71"/>
        <v>3784.5</v>
      </c>
      <c r="I326">
        <f t="shared" ca="1" si="72"/>
        <v>1</v>
      </c>
      <c r="J326">
        <f t="shared" ca="1" si="73"/>
        <v>1</v>
      </c>
      <c r="K326">
        <f t="shared" ca="1" si="74"/>
        <v>0</v>
      </c>
      <c r="L326">
        <f t="shared" ca="1" si="75"/>
        <v>0</v>
      </c>
      <c r="M326">
        <f t="shared" ca="1" si="76"/>
        <v>1</v>
      </c>
      <c r="N326">
        <f t="shared" ca="1" si="77"/>
        <v>0</v>
      </c>
    </row>
    <row r="327" spans="1:14" x14ac:dyDescent="0.35">
      <c r="A327" t="s">
        <v>344</v>
      </c>
      <c r="B327" t="str">
        <f t="shared" si="65"/>
        <v>Control</v>
      </c>
      <c r="C327">
        <f t="shared" ca="1" si="66"/>
        <v>18</v>
      </c>
      <c r="D327" t="str">
        <f t="shared" ca="1" si="67"/>
        <v>Female</v>
      </c>
      <c r="E327" t="str">
        <f t="shared" ca="1" si="68"/>
        <v>Shoes</v>
      </c>
      <c r="F327">
        <f t="shared" ca="1" si="69"/>
        <v>7281</v>
      </c>
      <c r="G327">
        <f t="shared" ca="1" si="70"/>
        <v>10</v>
      </c>
      <c r="H327">
        <f t="shared" ca="1" si="71"/>
        <v>6552.9000000000005</v>
      </c>
      <c r="I327">
        <f t="shared" ca="1" si="72"/>
        <v>0</v>
      </c>
      <c r="J327">
        <f t="shared" ca="1" si="73"/>
        <v>0</v>
      </c>
      <c r="K327">
        <f t="shared" ca="1" si="74"/>
        <v>0</v>
      </c>
      <c r="L327">
        <f t="shared" ca="1" si="75"/>
        <v>0</v>
      </c>
      <c r="M327">
        <f t="shared" ca="1" si="76"/>
        <v>4</v>
      </c>
      <c r="N327">
        <f t="shared" ca="1" si="77"/>
        <v>0</v>
      </c>
    </row>
    <row r="328" spans="1:14" x14ac:dyDescent="0.35">
      <c r="A328" t="s">
        <v>345</v>
      </c>
      <c r="B328" t="str">
        <f t="shared" si="65"/>
        <v>Control</v>
      </c>
      <c r="C328">
        <f t="shared" ca="1" si="66"/>
        <v>28</v>
      </c>
      <c r="D328" t="str">
        <f t="shared" ca="1" si="67"/>
        <v>Female</v>
      </c>
      <c r="E328" t="str">
        <f t="shared" ca="1" si="68"/>
        <v>Shoes</v>
      </c>
      <c r="F328">
        <f t="shared" ca="1" si="69"/>
        <v>4961</v>
      </c>
      <c r="G328">
        <f t="shared" ca="1" si="70"/>
        <v>10</v>
      </c>
      <c r="H328">
        <f t="shared" ca="1" si="71"/>
        <v>4464.9000000000005</v>
      </c>
      <c r="I328">
        <f t="shared" ca="1" si="72"/>
        <v>1</v>
      </c>
      <c r="J328">
        <f t="shared" ca="1" si="73"/>
        <v>1</v>
      </c>
      <c r="K328">
        <f t="shared" ca="1" si="74"/>
        <v>0</v>
      </c>
      <c r="L328">
        <f t="shared" ca="1" si="75"/>
        <v>0</v>
      </c>
      <c r="M328">
        <f t="shared" ca="1" si="76"/>
        <v>5</v>
      </c>
      <c r="N328">
        <f t="shared" ca="1" si="77"/>
        <v>0</v>
      </c>
    </row>
    <row r="329" spans="1:14" x14ac:dyDescent="0.35">
      <c r="A329" t="s">
        <v>346</v>
      </c>
      <c r="B329" t="str">
        <f t="shared" si="65"/>
        <v>Control</v>
      </c>
      <c r="C329">
        <f t="shared" ca="1" si="66"/>
        <v>38</v>
      </c>
      <c r="D329" t="str">
        <f t="shared" ca="1" si="67"/>
        <v>Female</v>
      </c>
      <c r="E329" t="str">
        <f t="shared" ca="1" si="68"/>
        <v>Tops</v>
      </c>
      <c r="F329">
        <f t="shared" ca="1" si="69"/>
        <v>3407</v>
      </c>
      <c r="G329">
        <f t="shared" ca="1" si="70"/>
        <v>10</v>
      </c>
      <c r="H329">
        <f t="shared" ca="1" si="71"/>
        <v>3066.3</v>
      </c>
      <c r="I329">
        <f t="shared" ca="1" si="72"/>
        <v>1</v>
      </c>
      <c r="J329">
        <f t="shared" ca="1" si="73"/>
        <v>0</v>
      </c>
      <c r="K329">
        <f t="shared" ca="1" si="74"/>
        <v>0</v>
      </c>
      <c r="L329">
        <f t="shared" ca="1" si="75"/>
        <v>0</v>
      </c>
      <c r="M329">
        <f t="shared" ca="1" si="76"/>
        <v>5</v>
      </c>
      <c r="N329">
        <f t="shared" ca="1" si="77"/>
        <v>0</v>
      </c>
    </row>
    <row r="330" spans="1:14" x14ac:dyDescent="0.35">
      <c r="A330" t="s">
        <v>347</v>
      </c>
      <c r="B330" t="str">
        <f t="shared" si="65"/>
        <v>Control</v>
      </c>
      <c r="C330">
        <f t="shared" ca="1" si="66"/>
        <v>22</v>
      </c>
      <c r="D330" t="str">
        <f t="shared" ca="1" si="67"/>
        <v>Male</v>
      </c>
      <c r="E330" t="str">
        <f t="shared" ca="1" si="68"/>
        <v>Ethnic Wear</v>
      </c>
      <c r="F330">
        <f t="shared" ca="1" si="69"/>
        <v>4959</v>
      </c>
      <c r="G330">
        <f t="shared" ca="1" si="70"/>
        <v>10</v>
      </c>
      <c r="H330">
        <f t="shared" ca="1" si="71"/>
        <v>4463.1000000000004</v>
      </c>
      <c r="I330">
        <f t="shared" ca="1" si="72"/>
        <v>1</v>
      </c>
      <c r="J330">
        <f t="shared" ca="1" si="73"/>
        <v>0</v>
      </c>
      <c r="K330">
        <f t="shared" ca="1" si="74"/>
        <v>0</v>
      </c>
      <c r="L330">
        <f t="shared" ca="1" si="75"/>
        <v>0</v>
      </c>
      <c r="M330">
        <f t="shared" ca="1" si="76"/>
        <v>4</v>
      </c>
      <c r="N330">
        <f t="shared" ca="1" si="77"/>
        <v>0</v>
      </c>
    </row>
    <row r="331" spans="1:14" x14ac:dyDescent="0.35">
      <c r="A331" t="s">
        <v>348</v>
      </c>
      <c r="B331" t="str">
        <f t="shared" si="65"/>
        <v>Control</v>
      </c>
      <c r="C331">
        <f t="shared" ca="1" si="66"/>
        <v>45</v>
      </c>
      <c r="D331" t="str">
        <f t="shared" ca="1" si="67"/>
        <v>Male</v>
      </c>
      <c r="E331" t="str">
        <f t="shared" ca="1" si="68"/>
        <v>Jeans</v>
      </c>
      <c r="F331">
        <f t="shared" ca="1" si="69"/>
        <v>7560</v>
      </c>
      <c r="G331">
        <f t="shared" ca="1" si="70"/>
        <v>10</v>
      </c>
      <c r="H331">
        <f t="shared" ca="1" si="71"/>
        <v>6804</v>
      </c>
      <c r="I331">
        <f t="shared" ca="1" si="72"/>
        <v>1</v>
      </c>
      <c r="J331">
        <f t="shared" ca="1" si="73"/>
        <v>1</v>
      </c>
      <c r="K331">
        <f t="shared" ca="1" si="74"/>
        <v>0</v>
      </c>
      <c r="L331">
        <f t="shared" ca="1" si="75"/>
        <v>0</v>
      </c>
      <c r="M331">
        <f t="shared" ca="1" si="76"/>
        <v>4</v>
      </c>
      <c r="N331">
        <f t="shared" ca="1" si="77"/>
        <v>0</v>
      </c>
    </row>
    <row r="332" spans="1:14" x14ac:dyDescent="0.35">
      <c r="A332" t="s">
        <v>349</v>
      </c>
      <c r="B332" t="str">
        <f t="shared" si="65"/>
        <v>Control</v>
      </c>
      <c r="C332">
        <f t="shared" ca="1" si="66"/>
        <v>32</v>
      </c>
      <c r="D332" t="str">
        <f t="shared" ca="1" si="67"/>
        <v>Female</v>
      </c>
      <c r="E332" t="str">
        <f t="shared" ca="1" si="68"/>
        <v>Shoes</v>
      </c>
      <c r="F332">
        <f t="shared" ca="1" si="69"/>
        <v>1844</v>
      </c>
      <c r="G332">
        <f t="shared" ca="1" si="70"/>
        <v>10</v>
      </c>
      <c r="H332">
        <f t="shared" ca="1" si="71"/>
        <v>1659.6000000000001</v>
      </c>
      <c r="I332">
        <f t="shared" ca="1" si="72"/>
        <v>1</v>
      </c>
      <c r="J332">
        <f t="shared" ca="1" si="73"/>
        <v>1</v>
      </c>
      <c r="K332">
        <f t="shared" ca="1" si="74"/>
        <v>1</v>
      </c>
      <c r="L332">
        <f t="shared" ca="1" si="75"/>
        <v>1659.6000000000001</v>
      </c>
      <c r="M332">
        <f t="shared" ca="1" si="76"/>
        <v>6</v>
      </c>
      <c r="N332">
        <f t="shared" ca="1" si="77"/>
        <v>0</v>
      </c>
    </row>
    <row r="333" spans="1:14" x14ac:dyDescent="0.35">
      <c r="A333" t="s">
        <v>350</v>
      </c>
      <c r="B333" t="str">
        <f t="shared" si="65"/>
        <v>Control</v>
      </c>
      <c r="C333">
        <f t="shared" ca="1" si="66"/>
        <v>28</v>
      </c>
      <c r="D333" t="str">
        <f t="shared" ca="1" si="67"/>
        <v>Female</v>
      </c>
      <c r="E333" t="str">
        <f t="shared" ca="1" si="68"/>
        <v>Jeans</v>
      </c>
      <c r="F333">
        <f t="shared" ca="1" si="69"/>
        <v>2234</v>
      </c>
      <c r="G333">
        <f t="shared" ca="1" si="70"/>
        <v>10</v>
      </c>
      <c r="H333">
        <f t="shared" ca="1" si="71"/>
        <v>2010.6000000000001</v>
      </c>
      <c r="I333">
        <f t="shared" ca="1" si="72"/>
        <v>1</v>
      </c>
      <c r="J333">
        <f t="shared" ca="1" si="73"/>
        <v>1</v>
      </c>
      <c r="K333">
        <f t="shared" ca="1" si="74"/>
        <v>0</v>
      </c>
      <c r="L333">
        <f t="shared" ca="1" si="75"/>
        <v>0</v>
      </c>
      <c r="M333">
        <f t="shared" ca="1" si="76"/>
        <v>4</v>
      </c>
      <c r="N333">
        <f t="shared" ca="1" si="77"/>
        <v>0</v>
      </c>
    </row>
    <row r="334" spans="1:14" x14ac:dyDescent="0.35">
      <c r="A334" t="s">
        <v>351</v>
      </c>
      <c r="B334" t="str">
        <f t="shared" si="65"/>
        <v>Control</v>
      </c>
      <c r="C334">
        <f t="shared" ca="1" si="66"/>
        <v>39</v>
      </c>
      <c r="D334" t="str">
        <f t="shared" ca="1" si="67"/>
        <v>Male</v>
      </c>
      <c r="E334" t="str">
        <f t="shared" ca="1" si="68"/>
        <v>Tops</v>
      </c>
      <c r="F334">
        <f t="shared" ca="1" si="69"/>
        <v>3611</v>
      </c>
      <c r="G334">
        <f t="shared" ca="1" si="70"/>
        <v>10</v>
      </c>
      <c r="H334">
        <f t="shared" ca="1" si="71"/>
        <v>3249.9</v>
      </c>
      <c r="I334">
        <f t="shared" ca="1" si="72"/>
        <v>1</v>
      </c>
      <c r="J334">
        <f t="shared" ca="1" si="73"/>
        <v>0</v>
      </c>
      <c r="K334">
        <f t="shared" ca="1" si="74"/>
        <v>0</v>
      </c>
      <c r="L334">
        <f t="shared" ca="1" si="75"/>
        <v>0</v>
      </c>
      <c r="M334">
        <f t="shared" ca="1" si="76"/>
        <v>2</v>
      </c>
      <c r="N334">
        <f t="shared" ca="1" si="77"/>
        <v>0</v>
      </c>
    </row>
    <row r="335" spans="1:14" x14ac:dyDescent="0.35">
      <c r="A335" t="s">
        <v>352</v>
      </c>
      <c r="B335" t="str">
        <f t="shared" si="65"/>
        <v>Control</v>
      </c>
      <c r="C335">
        <f t="shared" ca="1" si="66"/>
        <v>25</v>
      </c>
      <c r="D335" t="str">
        <f t="shared" ca="1" si="67"/>
        <v>Female</v>
      </c>
      <c r="E335" t="str">
        <f t="shared" ca="1" si="68"/>
        <v>Ethnic Wear</v>
      </c>
      <c r="F335">
        <f t="shared" ca="1" si="69"/>
        <v>545</v>
      </c>
      <c r="G335">
        <f t="shared" ca="1" si="70"/>
        <v>10</v>
      </c>
      <c r="H335">
        <f t="shared" ca="1" si="71"/>
        <v>490.5</v>
      </c>
      <c r="I335">
        <f t="shared" ca="1" si="72"/>
        <v>0</v>
      </c>
      <c r="J335">
        <f t="shared" ca="1" si="73"/>
        <v>0</v>
      </c>
      <c r="K335">
        <f t="shared" ca="1" si="74"/>
        <v>0</v>
      </c>
      <c r="L335">
        <f t="shared" ca="1" si="75"/>
        <v>0</v>
      </c>
      <c r="M335">
        <f t="shared" ca="1" si="76"/>
        <v>5</v>
      </c>
      <c r="N335">
        <f t="shared" ca="1" si="77"/>
        <v>0</v>
      </c>
    </row>
    <row r="336" spans="1:14" x14ac:dyDescent="0.35">
      <c r="A336" t="s">
        <v>353</v>
      </c>
      <c r="B336" t="str">
        <f t="shared" si="65"/>
        <v>Control</v>
      </c>
      <c r="C336">
        <f t="shared" ca="1" si="66"/>
        <v>20</v>
      </c>
      <c r="D336" t="str">
        <f t="shared" ca="1" si="67"/>
        <v>Male</v>
      </c>
      <c r="E336" t="str">
        <f t="shared" ca="1" si="68"/>
        <v>Tops</v>
      </c>
      <c r="F336">
        <f t="shared" ca="1" si="69"/>
        <v>2615</v>
      </c>
      <c r="G336">
        <f t="shared" ca="1" si="70"/>
        <v>10</v>
      </c>
      <c r="H336">
        <f t="shared" ca="1" si="71"/>
        <v>2353.5</v>
      </c>
      <c r="I336">
        <f t="shared" ca="1" si="72"/>
        <v>1</v>
      </c>
      <c r="J336">
        <f t="shared" ca="1" si="73"/>
        <v>0</v>
      </c>
      <c r="K336">
        <f t="shared" ca="1" si="74"/>
        <v>0</v>
      </c>
      <c r="L336">
        <f t="shared" ca="1" si="75"/>
        <v>0</v>
      </c>
      <c r="M336">
        <f t="shared" ca="1" si="76"/>
        <v>1</v>
      </c>
      <c r="N336">
        <f t="shared" ca="1" si="77"/>
        <v>0</v>
      </c>
    </row>
    <row r="337" spans="1:14" x14ac:dyDescent="0.35">
      <c r="A337" t="s">
        <v>354</v>
      </c>
      <c r="B337" t="str">
        <f t="shared" si="65"/>
        <v>Control</v>
      </c>
      <c r="C337">
        <f t="shared" ca="1" si="66"/>
        <v>42</v>
      </c>
      <c r="D337" t="str">
        <f t="shared" ca="1" si="67"/>
        <v>Male</v>
      </c>
      <c r="E337" t="str">
        <f t="shared" ca="1" si="68"/>
        <v>Jeans</v>
      </c>
      <c r="F337">
        <f t="shared" ca="1" si="69"/>
        <v>1635</v>
      </c>
      <c r="G337">
        <f t="shared" ca="1" si="70"/>
        <v>10</v>
      </c>
      <c r="H337">
        <f t="shared" ca="1" si="71"/>
        <v>1471.5</v>
      </c>
      <c r="I337">
        <f t="shared" ca="1" si="72"/>
        <v>1</v>
      </c>
      <c r="J337">
        <f t="shared" ca="1" si="73"/>
        <v>1</v>
      </c>
      <c r="K337">
        <f t="shared" ca="1" si="74"/>
        <v>1</v>
      </c>
      <c r="L337">
        <f t="shared" ca="1" si="75"/>
        <v>1471.5</v>
      </c>
      <c r="M337">
        <f t="shared" ca="1" si="76"/>
        <v>5</v>
      </c>
      <c r="N337">
        <f t="shared" ca="1" si="77"/>
        <v>0</v>
      </c>
    </row>
    <row r="338" spans="1:14" x14ac:dyDescent="0.35">
      <c r="A338" t="s">
        <v>355</v>
      </c>
      <c r="B338" t="str">
        <f t="shared" si="65"/>
        <v>Control</v>
      </c>
      <c r="C338">
        <f t="shared" ca="1" si="66"/>
        <v>21</v>
      </c>
      <c r="D338" t="str">
        <f t="shared" ca="1" si="67"/>
        <v>Male</v>
      </c>
      <c r="E338" t="str">
        <f t="shared" ca="1" si="68"/>
        <v>Accessories</v>
      </c>
      <c r="F338">
        <f t="shared" ca="1" si="69"/>
        <v>5916</v>
      </c>
      <c r="G338">
        <f t="shared" ca="1" si="70"/>
        <v>10</v>
      </c>
      <c r="H338">
        <f t="shared" ca="1" si="71"/>
        <v>5324.4000000000005</v>
      </c>
      <c r="I338">
        <f t="shared" ca="1" si="72"/>
        <v>1</v>
      </c>
      <c r="J338">
        <f t="shared" ca="1" si="73"/>
        <v>0</v>
      </c>
      <c r="K338">
        <f t="shared" ca="1" si="74"/>
        <v>0</v>
      </c>
      <c r="L338">
        <f t="shared" ca="1" si="75"/>
        <v>0</v>
      </c>
      <c r="M338">
        <f t="shared" ca="1" si="76"/>
        <v>7</v>
      </c>
      <c r="N338">
        <f t="shared" ca="1" si="77"/>
        <v>0</v>
      </c>
    </row>
    <row r="339" spans="1:14" x14ac:dyDescent="0.35">
      <c r="A339" t="s">
        <v>356</v>
      </c>
      <c r="B339" t="str">
        <f t="shared" si="65"/>
        <v>Control</v>
      </c>
      <c r="C339">
        <f t="shared" ca="1" si="66"/>
        <v>18</v>
      </c>
      <c r="D339" t="str">
        <f t="shared" ca="1" si="67"/>
        <v>Female</v>
      </c>
      <c r="E339" t="str">
        <f t="shared" ca="1" si="68"/>
        <v>Shoes</v>
      </c>
      <c r="F339">
        <f t="shared" ca="1" si="69"/>
        <v>6255</v>
      </c>
      <c r="G339">
        <f t="shared" ca="1" si="70"/>
        <v>10</v>
      </c>
      <c r="H339">
        <f t="shared" ca="1" si="71"/>
        <v>5629.5</v>
      </c>
      <c r="I339">
        <f t="shared" ca="1" si="72"/>
        <v>0</v>
      </c>
      <c r="J339">
        <f t="shared" ca="1" si="73"/>
        <v>0</v>
      </c>
      <c r="K339">
        <f t="shared" ca="1" si="74"/>
        <v>0</v>
      </c>
      <c r="L339">
        <f t="shared" ca="1" si="75"/>
        <v>0</v>
      </c>
      <c r="M339">
        <f t="shared" ca="1" si="76"/>
        <v>4</v>
      </c>
      <c r="N339">
        <f t="shared" ca="1" si="77"/>
        <v>0</v>
      </c>
    </row>
    <row r="340" spans="1:14" x14ac:dyDescent="0.35">
      <c r="A340" t="s">
        <v>357</v>
      </c>
      <c r="B340" t="str">
        <f t="shared" si="65"/>
        <v>Control</v>
      </c>
      <c r="C340">
        <f t="shared" ca="1" si="66"/>
        <v>32</v>
      </c>
      <c r="D340" t="str">
        <f t="shared" ca="1" si="67"/>
        <v>Other</v>
      </c>
      <c r="E340" t="str">
        <f t="shared" ca="1" si="68"/>
        <v>Shoes</v>
      </c>
      <c r="F340">
        <f t="shared" ca="1" si="69"/>
        <v>3355</v>
      </c>
      <c r="G340">
        <f t="shared" ca="1" si="70"/>
        <v>10</v>
      </c>
      <c r="H340">
        <f t="shared" ca="1" si="71"/>
        <v>3019.5</v>
      </c>
      <c r="I340">
        <f t="shared" ca="1" si="72"/>
        <v>1</v>
      </c>
      <c r="J340">
        <f t="shared" ca="1" si="73"/>
        <v>0</v>
      </c>
      <c r="K340">
        <f t="shared" ca="1" si="74"/>
        <v>0</v>
      </c>
      <c r="L340">
        <f t="shared" ca="1" si="75"/>
        <v>0</v>
      </c>
      <c r="M340">
        <f t="shared" ca="1" si="76"/>
        <v>5</v>
      </c>
      <c r="N340">
        <f t="shared" ca="1" si="77"/>
        <v>0</v>
      </c>
    </row>
    <row r="341" spans="1:14" x14ac:dyDescent="0.35">
      <c r="A341" t="s">
        <v>358</v>
      </c>
      <c r="B341" t="str">
        <f t="shared" si="65"/>
        <v>Control</v>
      </c>
      <c r="C341">
        <f t="shared" ca="1" si="66"/>
        <v>37</v>
      </c>
      <c r="D341" t="str">
        <f t="shared" ca="1" si="67"/>
        <v>Other</v>
      </c>
      <c r="E341" t="str">
        <f t="shared" ca="1" si="68"/>
        <v>Shoes</v>
      </c>
      <c r="F341">
        <f t="shared" ca="1" si="69"/>
        <v>7813</v>
      </c>
      <c r="G341">
        <f t="shared" ca="1" si="70"/>
        <v>10</v>
      </c>
      <c r="H341">
        <f t="shared" ca="1" si="71"/>
        <v>7031.7</v>
      </c>
      <c r="I341">
        <f t="shared" ca="1" si="72"/>
        <v>1</v>
      </c>
      <c r="J341">
        <f t="shared" ca="1" si="73"/>
        <v>1</v>
      </c>
      <c r="K341">
        <f t="shared" ca="1" si="74"/>
        <v>1</v>
      </c>
      <c r="L341">
        <f t="shared" ca="1" si="75"/>
        <v>7031.7</v>
      </c>
      <c r="M341">
        <f t="shared" ca="1" si="76"/>
        <v>6</v>
      </c>
      <c r="N341">
        <f t="shared" ca="1" si="77"/>
        <v>0</v>
      </c>
    </row>
    <row r="342" spans="1:14" x14ac:dyDescent="0.35">
      <c r="A342" t="s">
        <v>359</v>
      </c>
      <c r="B342" t="str">
        <f t="shared" si="65"/>
        <v>Control</v>
      </c>
      <c r="C342">
        <f t="shared" ca="1" si="66"/>
        <v>42</v>
      </c>
      <c r="D342" t="str">
        <f t="shared" ca="1" si="67"/>
        <v>Male</v>
      </c>
      <c r="E342" t="str">
        <f t="shared" ca="1" si="68"/>
        <v>Accessories</v>
      </c>
      <c r="F342">
        <f t="shared" ca="1" si="69"/>
        <v>5724</v>
      </c>
      <c r="G342">
        <f t="shared" ca="1" si="70"/>
        <v>10</v>
      </c>
      <c r="H342">
        <f t="shared" ca="1" si="71"/>
        <v>5151.6000000000004</v>
      </c>
      <c r="I342">
        <f t="shared" ca="1" si="72"/>
        <v>1</v>
      </c>
      <c r="J342">
        <f t="shared" ca="1" si="73"/>
        <v>0</v>
      </c>
      <c r="K342">
        <f t="shared" ca="1" si="74"/>
        <v>0</v>
      </c>
      <c r="L342">
        <f t="shared" ca="1" si="75"/>
        <v>0</v>
      </c>
      <c r="M342">
        <f t="shared" ca="1" si="76"/>
        <v>2</v>
      </c>
      <c r="N342">
        <f t="shared" ca="1" si="77"/>
        <v>0</v>
      </c>
    </row>
    <row r="343" spans="1:14" x14ac:dyDescent="0.35">
      <c r="A343" t="s">
        <v>360</v>
      </c>
      <c r="B343" t="str">
        <f t="shared" si="65"/>
        <v>Control</v>
      </c>
      <c r="C343">
        <f t="shared" ca="1" si="66"/>
        <v>32</v>
      </c>
      <c r="D343" t="str">
        <f t="shared" ca="1" si="67"/>
        <v>Female</v>
      </c>
      <c r="E343" t="str">
        <f t="shared" ca="1" si="68"/>
        <v>Jeans</v>
      </c>
      <c r="F343">
        <f t="shared" ca="1" si="69"/>
        <v>1239</v>
      </c>
      <c r="G343">
        <f t="shared" ca="1" si="70"/>
        <v>10</v>
      </c>
      <c r="H343">
        <f t="shared" ca="1" si="71"/>
        <v>1115.1000000000001</v>
      </c>
      <c r="I343">
        <f t="shared" ca="1" si="72"/>
        <v>1</v>
      </c>
      <c r="J343">
        <f t="shared" ca="1" si="73"/>
        <v>1</v>
      </c>
      <c r="K343">
        <f t="shared" ca="1" si="74"/>
        <v>0</v>
      </c>
      <c r="L343">
        <f t="shared" ca="1" si="75"/>
        <v>0</v>
      </c>
      <c r="M343">
        <f t="shared" ca="1" si="76"/>
        <v>2</v>
      </c>
      <c r="N343">
        <f t="shared" ca="1" si="77"/>
        <v>0</v>
      </c>
    </row>
    <row r="344" spans="1:14" x14ac:dyDescent="0.35">
      <c r="A344" t="s">
        <v>361</v>
      </c>
      <c r="B344" t="str">
        <f t="shared" si="65"/>
        <v>Control</v>
      </c>
      <c r="C344">
        <f t="shared" ca="1" si="66"/>
        <v>25</v>
      </c>
      <c r="D344" t="str">
        <f t="shared" ca="1" si="67"/>
        <v>Female</v>
      </c>
      <c r="E344" t="str">
        <f t="shared" ca="1" si="68"/>
        <v>Accessories</v>
      </c>
      <c r="F344">
        <f t="shared" ca="1" si="69"/>
        <v>381</v>
      </c>
      <c r="G344">
        <f t="shared" ca="1" si="70"/>
        <v>10</v>
      </c>
      <c r="H344">
        <f t="shared" ca="1" si="71"/>
        <v>342.90000000000003</v>
      </c>
      <c r="I344">
        <f t="shared" ca="1" si="72"/>
        <v>1</v>
      </c>
      <c r="J344">
        <f t="shared" ca="1" si="73"/>
        <v>1</v>
      </c>
      <c r="K344">
        <f t="shared" ca="1" si="74"/>
        <v>0</v>
      </c>
      <c r="L344">
        <f t="shared" ca="1" si="75"/>
        <v>0</v>
      </c>
      <c r="M344">
        <f t="shared" ca="1" si="76"/>
        <v>6</v>
      </c>
      <c r="N344">
        <f t="shared" ca="1" si="77"/>
        <v>0</v>
      </c>
    </row>
    <row r="345" spans="1:14" x14ac:dyDescent="0.35">
      <c r="A345" t="s">
        <v>362</v>
      </c>
      <c r="B345" t="str">
        <f t="shared" si="65"/>
        <v>Control</v>
      </c>
      <c r="C345">
        <f t="shared" ca="1" si="66"/>
        <v>36</v>
      </c>
      <c r="D345" t="str">
        <f t="shared" ca="1" si="67"/>
        <v>Other</v>
      </c>
      <c r="E345" t="str">
        <f t="shared" ca="1" si="68"/>
        <v>Sportswear</v>
      </c>
      <c r="F345">
        <f t="shared" ca="1" si="69"/>
        <v>1242</v>
      </c>
      <c r="G345">
        <f t="shared" ca="1" si="70"/>
        <v>10</v>
      </c>
      <c r="H345">
        <f t="shared" ca="1" si="71"/>
        <v>1117.8</v>
      </c>
      <c r="I345">
        <f t="shared" ca="1" si="72"/>
        <v>1</v>
      </c>
      <c r="J345">
        <f t="shared" ca="1" si="73"/>
        <v>0</v>
      </c>
      <c r="K345">
        <f t="shared" ca="1" si="74"/>
        <v>0</v>
      </c>
      <c r="L345">
        <f t="shared" ca="1" si="75"/>
        <v>0</v>
      </c>
      <c r="M345">
        <f t="shared" ca="1" si="76"/>
        <v>4</v>
      </c>
      <c r="N345">
        <f t="shared" ca="1" si="77"/>
        <v>0</v>
      </c>
    </row>
    <row r="346" spans="1:14" x14ac:dyDescent="0.35">
      <c r="A346" t="s">
        <v>363</v>
      </c>
      <c r="B346" t="str">
        <f t="shared" si="65"/>
        <v>Control</v>
      </c>
      <c r="C346">
        <f t="shared" ca="1" si="66"/>
        <v>42</v>
      </c>
      <c r="D346" t="str">
        <f t="shared" ca="1" si="67"/>
        <v>Female</v>
      </c>
      <c r="E346" t="str">
        <f t="shared" ca="1" si="68"/>
        <v>Accessories</v>
      </c>
      <c r="F346">
        <f t="shared" ca="1" si="69"/>
        <v>3734</v>
      </c>
      <c r="G346">
        <f t="shared" ca="1" si="70"/>
        <v>10</v>
      </c>
      <c r="H346">
        <f t="shared" ca="1" si="71"/>
        <v>3360.6</v>
      </c>
      <c r="I346">
        <f t="shared" ca="1" si="72"/>
        <v>1</v>
      </c>
      <c r="J346">
        <f t="shared" ca="1" si="73"/>
        <v>1</v>
      </c>
      <c r="K346">
        <f t="shared" ca="1" si="74"/>
        <v>0</v>
      </c>
      <c r="L346">
        <f t="shared" ca="1" si="75"/>
        <v>0</v>
      </c>
      <c r="M346">
        <f t="shared" ca="1" si="76"/>
        <v>6</v>
      </c>
      <c r="N346">
        <f t="shared" ca="1" si="77"/>
        <v>0</v>
      </c>
    </row>
    <row r="347" spans="1:14" x14ac:dyDescent="0.35">
      <c r="A347" t="s">
        <v>364</v>
      </c>
      <c r="B347" t="str">
        <f t="shared" si="65"/>
        <v>Control</v>
      </c>
      <c r="C347">
        <f t="shared" ca="1" si="66"/>
        <v>41</v>
      </c>
      <c r="D347" t="str">
        <f t="shared" ca="1" si="67"/>
        <v>Female</v>
      </c>
      <c r="E347" t="str">
        <f t="shared" ca="1" si="68"/>
        <v>T-shirts</v>
      </c>
      <c r="F347">
        <f t="shared" ca="1" si="69"/>
        <v>5444</v>
      </c>
      <c r="G347">
        <f t="shared" ca="1" si="70"/>
        <v>10</v>
      </c>
      <c r="H347">
        <f t="shared" ca="1" si="71"/>
        <v>4899.6000000000004</v>
      </c>
      <c r="I347">
        <f t="shared" ca="1" si="72"/>
        <v>1</v>
      </c>
      <c r="J347">
        <f t="shared" ca="1" si="73"/>
        <v>1</v>
      </c>
      <c r="K347">
        <f t="shared" ca="1" si="74"/>
        <v>0</v>
      </c>
      <c r="L347">
        <f t="shared" ca="1" si="75"/>
        <v>0</v>
      </c>
      <c r="M347">
        <f t="shared" ca="1" si="76"/>
        <v>3</v>
      </c>
      <c r="N347">
        <f t="shared" ca="1" si="77"/>
        <v>0</v>
      </c>
    </row>
    <row r="348" spans="1:14" x14ac:dyDescent="0.35">
      <c r="A348" t="s">
        <v>365</v>
      </c>
      <c r="B348" t="str">
        <f t="shared" si="65"/>
        <v>Control</v>
      </c>
      <c r="C348">
        <f t="shared" ca="1" si="66"/>
        <v>18</v>
      </c>
      <c r="D348" t="str">
        <f t="shared" ca="1" si="67"/>
        <v>Female</v>
      </c>
      <c r="E348" t="str">
        <f t="shared" ca="1" si="68"/>
        <v>Tops</v>
      </c>
      <c r="F348">
        <f t="shared" ca="1" si="69"/>
        <v>2256</v>
      </c>
      <c r="G348">
        <f t="shared" ca="1" si="70"/>
        <v>10</v>
      </c>
      <c r="H348">
        <f t="shared" ca="1" si="71"/>
        <v>2030.4</v>
      </c>
      <c r="I348">
        <f t="shared" ca="1" si="72"/>
        <v>1</v>
      </c>
      <c r="J348">
        <f t="shared" ca="1" si="73"/>
        <v>1</v>
      </c>
      <c r="K348">
        <f t="shared" ca="1" si="74"/>
        <v>0</v>
      </c>
      <c r="L348">
        <f t="shared" ca="1" si="75"/>
        <v>0</v>
      </c>
      <c r="M348">
        <f t="shared" ca="1" si="76"/>
        <v>5</v>
      </c>
      <c r="N348">
        <f t="shared" ca="1" si="77"/>
        <v>0</v>
      </c>
    </row>
    <row r="349" spans="1:14" x14ac:dyDescent="0.35">
      <c r="A349" t="s">
        <v>366</v>
      </c>
      <c r="B349" t="str">
        <f t="shared" si="65"/>
        <v>Control</v>
      </c>
      <c r="C349">
        <f t="shared" ca="1" si="66"/>
        <v>22</v>
      </c>
      <c r="D349" t="str">
        <f t="shared" ca="1" si="67"/>
        <v>Male</v>
      </c>
      <c r="E349" t="str">
        <f t="shared" ca="1" si="68"/>
        <v>Dresses</v>
      </c>
      <c r="F349">
        <f t="shared" ca="1" si="69"/>
        <v>6268</v>
      </c>
      <c r="G349">
        <f t="shared" ca="1" si="70"/>
        <v>10</v>
      </c>
      <c r="H349">
        <f t="shared" ca="1" si="71"/>
        <v>5641.2</v>
      </c>
      <c r="I349">
        <f t="shared" ca="1" si="72"/>
        <v>1</v>
      </c>
      <c r="J349">
        <f t="shared" ca="1" si="73"/>
        <v>1</v>
      </c>
      <c r="K349">
        <f t="shared" ca="1" si="74"/>
        <v>0</v>
      </c>
      <c r="L349">
        <f t="shared" ca="1" si="75"/>
        <v>0</v>
      </c>
      <c r="M349">
        <f t="shared" ca="1" si="76"/>
        <v>6</v>
      </c>
      <c r="N349">
        <f t="shared" ca="1" si="77"/>
        <v>0</v>
      </c>
    </row>
    <row r="350" spans="1:14" x14ac:dyDescent="0.35">
      <c r="A350" t="s">
        <v>367</v>
      </c>
      <c r="B350" t="str">
        <f t="shared" si="65"/>
        <v>Control</v>
      </c>
      <c r="C350">
        <f t="shared" ca="1" si="66"/>
        <v>40</v>
      </c>
      <c r="D350" t="str">
        <f t="shared" ca="1" si="67"/>
        <v>Female</v>
      </c>
      <c r="E350" t="str">
        <f t="shared" ca="1" si="68"/>
        <v>Accessories</v>
      </c>
      <c r="F350">
        <f t="shared" ca="1" si="69"/>
        <v>5298</v>
      </c>
      <c r="G350">
        <f t="shared" ca="1" si="70"/>
        <v>10</v>
      </c>
      <c r="H350">
        <f t="shared" ca="1" si="71"/>
        <v>4768.2</v>
      </c>
      <c r="I350">
        <f t="shared" ca="1" si="72"/>
        <v>1</v>
      </c>
      <c r="J350">
        <f t="shared" ca="1" si="73"/>
        <v>1</v>
      </c>
      <c r="K350">
        <f t="shared" ca="1" si="74"/>
        <v>0</v>
      </c>
      <c r="L350">
        <f t="shared" ca="1" si="75"/>
        <v>0</v>
      </c>
      <c r="M350">
        <f t="shared" ca="1" si="76"/>
        <v>2</v>
      </c>
      <c r="N350">
        <f t="shared" ca="1" si="77"/>
        <v>0</v>
      </c>
    </row>
    <row r="351" spans="1:14" x14ac:dyDescent="0.35">
      <c r="A351" t="s">
        <v>368</v>
      </c>
      <c r="B351" t="str">
        <f t="shared" si="65"/>
        <v>Control</v>
      </c>
      <c r="C351">
        <f t="shared" ca="1" si="66"/>
        <v>22</v>
      </c>
      <c r="D351" t="str">
        <f t="shared" ca="1" si="67"/>
        <v>Male</v>
      </c>
      <c r="E351" t="str">
        <f t="shared" ca="1" si="68"/>
        <v>Ethnic Wear</v>
      </c>
      <c r="F351">
        <f t="shared" ca="1" si="69"/>
        <v>5846</v>
      </c>
      <c r="G351">
        <f t="shared" ca="1" si="70"/>
        <v>10</v>
      </c>
      <c r="H351">
        <f t="shared" ca="1" si="71"/>
        <v>5261.4000000000005</v>
      </c>
      <c r="I351">
        <f t="shared" ca="1" si="72"/>
        <v>1</v>
      </c>
      <c r="J351">
        <f t="shared" ca="1" si="73"/>
        <v>0</v>
      </c>
      <c r="K351">
        <f t="shared" ca="1" si="74"/>
        <v>0</v>
      </c>
      <c r="L351">
        <f t="shared" ca="1" si="75"/>
        <v>0</v>
      </c>
      <c r="M351">
        <f t="shared" ca="1" si="76"/>
        <v>5</v>
      </c>
      <c r="N351">
        <f t="shared" ca="1" si="77"/>
        <v>0</v>
      </c>
    </row>
    <row r="352" spans="1:14" x14ac:dyDescent="0.35">
      <c r="A352" t="s">
        <v>369</v>
      </c>
      <c r="B352" t="str">
        <f t="shared" si="65"/>
        <v>Control</v>
      </c>
      <c r="C352">
        <f t="shared" ca="1" si="66"/>
        <v>38</v>
      </c>
      <c r="D352" t="str">
        <f t="shared" ca="1" si="67"/>
        <v>Other</v>
      </c>
      <c r="E352" t="str">
        <f t="shared" ca="1" si="68"/>
        <v>Ethnic Wear</v>
      </c>
      <c r="F352">
        <f t="shared" ca="1" si="69"/>
        <v>2548</v>
      </c>
      <c r="G352">
        <f t="shared" ca="1" si="70"/>
        <v>10</v>
      </c>
      <c r="H352">
        <f t="shared" ca="1" si="71"/>
        <v>2293.2000000000003</v>
      </c>
      <c r="I352">
        <f t="shared" ca="1" si="72"/>
        <v>1</v>
      </c>
      <c r="J352">
        <f t="shared" ca="1" si="73"/>
        <v>1</v>
      </c>
      <c r="K352">
        <f t="shared" ca="1" si="74"/>
        <v>0</v>
      </c>
      <c r="L352">
        <f t="shared" ca="1" si="75"/>
        <v>0</v>
      </c>
      <c r="M352">
        <f t="shared" ca="1" si="76"/>
        <v>4</v>
      </c>
      <c r="N352">
        <f t="shared" ca="1" si="77"/>
        <v>0</v>
      </c>
    </row>
    <row r="353" spans="1:14" x14ac:dyDescent="0.35">
      <c r="A353" t="s">
        <v>370</v>
      </c>
      <c r="B353" t="str">
        <f t="shared" si="65"/>
        <v>Control</v>
      </c>
      <c r="C353">
        <f t="shared" ca="1" si="66"/>
        <v>21</v>
      </c>
      <c r="D353" t="str">
        <f t="shared" ca="1" si="67"/>
        <v>Male</v>
      </c>
      <c r="E353" t="str">
        <f t="shared" ca="1" si="68"/>
        <v>Dresses</v>
      </c>
      <c r="F353">
        <f t="shared" ca="1" si="69"/>
        <v>2012</v>
      </c>
      <c r="G353">
        <f t="shared" ca="1" si="70"/>
        <v>10</v>
      </c>
      <c r="H353">
        <f t="shared" ca="1" si="71"/>
        <v>1810.8</v>
      </c>
      <c r="I353">
        <f t="shared" ca="1" si="72"/>
        <v>0</v>
      </c>
      <c r="J353">
        <f t="shared" ca="1" si="73"/>
        <v>0</v>
      </c>
      <c r="K353">
        <f t="shared" ca="1" si="74"/>
        <v>0</v>
      </c>
      <c r="L353">
        <f t="shared" ca="1" si="75"/>
        <v>0</v>
      </c>
      <c r="M353">
        <f t="shared" ca="1" si="76"/>
        <v>4</v>
      </c>
      <c r="N353">
        <f t="shared" ca="1" si="77"/>
        <v>0</v>
      </c>
    </row>
    <row r="354" spans="1:14" x14ac:dyDescent="0.35">
      <c r="A354" t="s">
        <v>371</v>
      </c>
      <c r="B354" t="str">
        <f t="shared" si="65"/>
        <v>Control</v>
      </c>
      <c r="C354">
        <f t="shared" ca="1" si="66"/>
        <v>41</v>
      </c>
      <c r="D354" t="str">
        <f t="shared" ca="1" si="67"/>
        <v>Female</v>
      </c>
      <c r="E354" t="str">
        <f t="shared" ca="1" si="68"/>
        <v>Tops</v>
      </c>
      <c r="F354">
        <f t="shared" ca="1" si="69"/>
        <v>6479</v>
      </c>
      <c r="G354">
        <f t="shared" ca="1" si="70"/>
        <v>10</v>
      </c>
      <c r="H354">
        <f t="shared" ca="1" si="71"/>
        <v>5831.1</v>
      </c>
      <c r="I354">
        <f t="shared" ca="1" si="72"/>
        <v>1</v>
      </c>
      <c r="J354">
        <f t="shared" ca="1" si="73"/>
        <v>0</v>
      </c>
      <c r="K354">
        <f t="shared" ca="1" si="74"/>
        <v>0</v>
      </c>
      <c r="L354">
        <f t="shared" ca="1" si="75"/>
        <v>0</v>
      </c>
      <c r="M354">
        <f t="shared" ca="1" si="76"/>
        <v>7</v>
      </c>
      <c r="N354">
        <f t="shared" ca="1" si="77"/>
        <v>0</v>
      </c>
    </row>
    <row r="355" spans="1:14" x14ac:dyDescent="0.35">
      <c r="A355" t="s">
        <v>372</v>
      </c>
      <c r="B355" t="str">
        <f t="shared" si="65"/>
        <v>Control</v>
      </c>
      <c r="C355">
        <f t="shared" ca="1" si="66"/>
        <v>42</v>
      </c>
      <c r="D355" t="str">
        <f t="shared" ca="1" si="67"/>
        <v>Other</v>
      </c>
      <c r="E355" t="str">
        <f t="shared" ca="1" si="68"/>
        <v>Jeans</v>
      </c>
      <c r="F355">
        <f t="shared" ca="1" si="69"/>
        <v>559</v>
      </c>
      <c r="G355">
        <f t="shared" ca="1" si="70"/>
        <v>10</v>
      </c>
      <c r="H355">
        <f t="shared" ca="1" si="71"/>
        <v>503.1</v>
      </c>
      <c r="I355">
        <f t="shared" ca="1" si="72"/>
        <v>1</v>
      </c>
      <c r="J355">
        <f t="shared" ca="1" si="73"/>
        <v>0</v>
      </c>
      <c r="K355">
        <f t="shared" ca="1" si="74"/>
        <v>0</v>
      </c>
      <c r="L355">
        <f t="shared" ca="1" si="75"/>
        <v>0</v>
      </c>
      <c r="M355">
        <f t="shared" ca="1" si="76"/>
        <v>3</v>
      </c>
      <c r="N355">
        <f t="shared" ca="1" si="77"/>
        <v>0</v>
      </c>
    </row>
    <row r="356" spans="1:14" x14ac:dyDescent="0.35">
      <c r="A356" t="s">
        <v>373</v>
      </c>
      <c r="B356" t="str">
        <f t="shared" si="65"/>
        <v>Control</v>
      </c>
      <c r="C356">
        <f t="shared" ca="1" si="66"/>
        <v>37</v>
      </c>
      <c r="D356" t="str">
        <f t="shared" ca="1" si="67"/>
        <v>Other</v>
      </c>
      <c r="E356" t="str">
        <f t="shared" ca="1" si="68"/>
        <v>Accessories</v>
      </c>
      <c r="F356">
        <f t="shared" ca="1" si="69"/>
        <v>4287</v>
      </c>
      <c r="G356">
        <f t="shared" ca="1" si="70"/>
        <v>10</v>
      </c>
      <c r="H356">
        <f t="shared" ca="1" si="71"/>
        <v>3858.3</v>
      </c>
      <c r="I356">
        <f t="shared" ca="1" si="72"/>
        <v>1</v>
      </c>
      <c r="J356">
        <f t="shared" ca="1" si="73"/>
        <v>1</v>
      </c>
      <c r="K356">
        <f t="shared" ca="1" si="74"/>
        <v>1</v>
      </c>
      <c r="L356">
        <f t="shared" ca="1" si="75"/>
        <v>3858.3</v>
      </c>
      <c r="M356">
        <f t="shared" ca="1" si="76"/>
        <v>2</v>
      </c>
      <c r="N356">
        <f t="shared" ca="1" si="77"/>
        <v>0</v>
      </c>
    </row>
    <row r="357" spans="1:14" x14ac:dyDescent="0.35">
      <c r="A357" t="s">
        <v>374</v>
      </c>
      <c r="B357" t="str">
        <f t="shared" si="65"/>
        <v>Control</v>
      </c>
      <c r="C357">
        <f t="shared" ca="1" si="66"/>
        <v>28</v>
      </c>
      <c r="D357" t="str">
        <f t="shared" ca="1" si="67"/>
        <v>Other</v>
      </c>
      <c r="E357" t="str">
        <f t="shared" ca="1" si="68"/>
        <v>Tops</v>
      </c>
      <c r="F357">
        <f t="shared" ca="1" si="69"/>
        <v>1961</v>
      </c>
      <c r="G357">
        <f t="shared" ca="1" si="70"/>
        <v>10</v>
      </c>
      <c r="H357">
        <f t="shared" ca="1" si="71"/>
        <v>1764.9</v>
      </c>
      <c r="I357">
        <f t="shared" ca="1" si="72"/>
        <v>1</v>
      </c>
      <c r="J357">
        <f t="shared" ca="1" si="73"/>
        <v>1</v>
      </c>
      <c r="K357">
        <f t="shared" ca="1" si="74"/>
        <v>0</v>
      </c>
      <c r="L357">
        <f t="shared" ca="1" si="75"/>
        <v>0</v>
      </c>
      <c r="M357">
        <f t="shared" ca="1" si="76"/>
        <v>4</v>
      </c>
      <c r="N357">
        <f t="shared" ca="1" si="77"/>
        <v>0</v>
      </c>
    </row>
    <row r="358" spans="1:14" x14ac:dyDescent="0.35">
      <c r="A358" t="s">
        <v>375</v>
      </c>
      <c r="B358" t="str">
        <f t="shared" si="65"/>
        <v>Control</v>
      </c>
      <c r="C358">
        <f t="shared" ca="1" si="66"/>
        <v>33</v>
      </c>
      <c r="D358" t="str">
        <f t="shared" ca="1" si="67"/>
        <v>Male</v>
      </c>
      <c r="E358" t="str">
        <f t="shared" ca="1" si="68"/>
        <v>T-shirts</v>
      </c>
      <c r="F358">
        <f t="shared" ca="1" si="69"/>
        <v>364</v>
      </c>
      <c r="G358">
        <f t="shared" ca="1" si="70"/>
        <v>10</v>
      </c>
      <c r="H358">
        <f t="shared" ca="1" si="71"/>
        <v>327.60000000000002</v>
      </c>
      <c r="I358">
        <f t="shared" ca="1" si="72"/>
        <v>1</v>
      </c>
      <c r="J358">
        <f t="shared" ca="1" si="73"/>
        <v>1</v>
      </c>
      <c r="K358">
        <f t="shared" ca="1" si="74"/>
        <v>0</v>
      </c>
      <c r="L358">
        <f t="shared" ca="1" si="75"/>
        <v>0</v>
      </c>
      <c r="M358">
        <f t="shared" ca="1" si="76"/>
        <v>4</v>
      </c>
      <c r="N358">
        <f t="shared" ca="1" si="77"/>
        <v>0</v>
      </c>
    </row>
    <row r="359" spans="1:14" x14ac:dyDescent="0.35">
      <c r="A359" t="s">
        <v>376</v>
      </c>
      <c r="B359" t="str">
        <f t="shared" si="65"/>
        <v>Control</v>
      </c>
      <c r="C359">
        <f t="shared" ca="1" si="66"/>
        <v>26</v>
      </c>
      <c r="D359" t="str">
        <f t="shared" ca="1" si="67"/>
        <v>Female</v>
      </c>
      <c r="E359" t="str">
        <f t="shared" ca="1" si="68"/>
        <v>Accessories</v>
      </c>
      <c r="F359">
        <f t="shared" ca="1" si="69"/>
        <v>6068</v>
      </c>
      <c r="G359">
        <f t="shared" ca="1" si="70"/>
        <v>10</v>
      </c>
      <c r="H359">
        <f t="shared" ca="1" si="71"/>
        <v>5461.2</v>
      </c>
      <c r="I359">
        <f t="shared" ca="1" si="72"/>
        <v>0</v>
      </c>
      <c r="J359">
        <f t="shared" ca="1" si="73"/>
        <v>0</v>
      </c>
      <c r="K359">
        <f t="shared" ca="1" si="74"/>
        <v>0</v>
      </c>
      <c r="L359">
        <f t="shared" ca="1" si="75"/>
        <v>0</v>
      </c>
      <c r="M359">
        <f t="shared" ca="1" si="76"/>
        <v>2</v>
      </c>
      <c r="N359">
        <f t="shared" ca="1" si="77"/>
        <v>0</v>
      </c>
    </row>
    <row r="360" spans="1:14" x14ac:dyDescent="0.35">
      <c r="A360" t="s">
        <v>377</v>
      </c>
      <c r="B360" t="str">
        <f t="shared" si="65"/>
        <v>Control</v>
      </c>
      <c r="C360">
        <f t="shared" ca="1" si="66"/>
        <v>45</v>
      </c>
      <c r="D360" t="str">
        <f t="shared" ca="1" si="67"/>
        <v>Male</v>
      </c>
      <c r="E360" t="str">
        <f t="shared" ca="1" si="68"/>
        <v>Sportswear</v>
      </c>
      <c r="F360">
        <f t="shared" ca="1" si="69"/>
        <v>6915</v>
      </c>
      <c r="G360">
        <f t="shared" ca="1" si="70"/>
        <v>10</v>
      </c>
      <c r="H360">
        <f t="shared" ca="1" si="71"/>
        <v>6223.5</v>
      </c>
      <c r="I360">
        <f t="shared" ca="1" si="72"/>
        <v>1</v>
      </c>
      <c r="J360">
        <f t="shared" ca="1" si="73"/>
        <v>1</v>
      </c>
      <c r="K360">
        <f t="shared" ca="1" si="74"/>
        <v>0</v>
      </c>
      <c r="L360">
        <f t="shared" ca="1" si="75"/>
        <v>0</v>
      </c>
      <c r="M360">
        <f t="shared" ca="1" si="76"/>
        <v>3</v>
      </c>
      <c r="N360">
        <f t="shared" ca="1" si="77"/>
        <v>0</v>
      </c>
    </row>
    <row r="361" spans="1:14" x14ac:dyDescent="0.35">
      <c r="A361" t="s">
        <v>378</v>
      </c>
      <c r="B361" t="str">
        <f t="shared" si="65"/>
        <v>Control</v>
      </c>
      <c r="C361">
        <f t="shared" ca="1" si="66"/>
        <v>38</v>
      </c>
      <c r="D361" t="str">
        <f t="shared" ca="1" si="67"/>
        <v>Male</v>
      </c>
      <c r="E361" t="str">
        <f t="shared" ca="1" si="68"/>
        <v>Accessories</v>
      </c>
      <c r="F361">
        <f t="shared" ca="1" si="69"/>
        <v>2096</v>
      </c>
      <c r="G361">
        <f t="shared" ca="1" si="70"/>
        <v>10</v>
      </c>
      <c r="H361">
        <f t="shared" ca="1" si="71"/>
        <v>1886.4</v>
      </c>
      <c r="I361">
        <f t="shared" ca="1" si="72"/>
        <v>1</v>
      </c>
      <c r="J361">
        <f t="shared" ca="1" si="73"/>
        <v>0</v>
      </c>
      <c r="K361">
        <f t="shared" ca="1" si="74"/>
        <v>0</v>
      </c>
      <c r="L361">
        <f t="shared" ca="1" si="75"/>
        <v>0</v>
      </c>
      <c r="M361">
        <f t="shared" ca="1" si="76"/>
        <v>2</v>
      </c>
      <c r="N361">
        <f t="shared" ca="1" si="77"/>
        <v>0</v>
      </c>
    </row>
    <row r="362" spans="1:14" x14ac:dyDescent="0.35">
      <c r="A362" t="s">
        <v>379</v>
      </c>
      <c r="B362" t="str">
        <f t="shared" si="65"/>
        <v>Control</v>
      </c>
      <c r="C362">
        <f t="shared" ca="1" si="66"/>
        <v>25</v>
      </c>
      <c r="D362" t="str">
        <f t="shared" ca="1" si="67"/>
        <v>Female</v>
      </c>
      <c r="E362" t="str">
        <f t="shared" ca="1" si="68"/>
        <v>Tops</v>
      </c>
      <c r="F362">
        <f t="shared" ca="1" si="69"/>
        <v>7165</v>
      </c>
      <c r="G362">
        <f t="shared" ca="1" si="70"/>
        <v>10</v>
      </c>
      <c r="H362">
        <f t="shared" ca="1" si="71"/>
        <v>6448.5</v>
      </c>
      <c r="I362">
        <f t="shared" ca="1" si="72"/>
        <v>1</v>
      </c>
      <c r="J362">
        <f t="shared" ca="1" si="73"/>
        <v>1</v>
      </c>
      <c r="K362">
        <f t="shared" ca="1" si="74"/>
        <v>1</v>
      </c>
      <c r="L362">
        <f t="shared" ca="1" si="75"/>
        <v>6448.5</v>
      </c>
      <c r="M362">
        <f t="shared" ca="1" si="76"/>
        <v>4</v>
      </c>
      <c r="N362">
        <f t="shared" ca="1" si="77"/>
        <v>0</v>
      </c>
    </row>
    <row r="363" spans="1:14" x14ac:dyDescent="0.35">
      <c r="A363" t="s">
        <v>380</v>
      </c>
      <c r="B363" t="str">
        <f t="shared" si="65"/>
        <v>Control</v>
      </c>
      <c r="C363">
        <f t="shared" ca="1" si="66"/>
        <v>24</v>
      </c>
      <c r="D363" t="str">
        <f t="shared" ca="1" si="67"/>
        <v>Other</v>
      </c>
      <c r="E363" t="str">
        <f t="shared" ca="1" si="68"/>
        <v>Ethnic Wear</v>
      </c>
      <c r="F363">
        <f t="shared" ca="1" si="69"/>
        <v>2277</v>
      </c>
      <c r="G363">
        <f t="shared" ca="1" si="70"/>
        <v>10</v>
      </c>
      <c r="H363">
        <f t="shared" ca="1" si="71"/>
        <v>2049.3000000000002</v>
      </c>
      <c r="I363">
        <f t="shared" ca="1" si="72"/>
        <v>0</v>
      </c>
      <c r="J363">
        <f t="shared" ca="1" si="73"/>
        <v>0</v>
      </c>
      <c r="K363">
        <f t="shared" ca="1" si="74"/>
        <v>0</v>
      </c>
      <c r="L363">
        <f t="shared" ca="1" si="75"/>
        <v>0</v>
      </c>
      <c r="M363">
        <f t="shared" ca="1" si="76"/>
        <v>7</v>
      </c>
      <c r="N363">
        <f t="shared" ca="1" si="77"/>
        <v>0</v>
      </c>
    </row>
    <row r="364" spans="1:14" x14ac:dyDescent="0.35">
      <c r="A364" t="s">
        <v>381</v>
      </c>
      <c r="B364" t="str">
        <f t="shared" si="65"/>
        <v>Control</v>
      </c>
      <c r="C364">
        <f t="shared" ca="1" si="66"/>
        <v>27</v>
      </c>
      <c r="D364" t="str">
        <f t="shared" ca="1" si="67"/>
        <v>Female</v>
      </c>
      <c r="E364" t="str">
        <f t="shared" ca="1" si="68"/>
        <v>Jeans</v>
      </c>
      <c r="F364">
        <f t="shared" ca="1" si="69"/>
        <v>3230</v>
      </c>
      <c r="G364">
        <f t="shared" ca="1" si="70"/>
        <v>10</v>
      </c>
      <c r="H364">
        <f t="shared" ca="1" si="71"/>
        <v>2907</v>
      </c>
      <c r="I364">
        <f t="shared" ca="1" si="72"/>
        <v>0</v>
      </c>
      <c r="J364">
        <f t="shared" ca="1" si="73"/>
        <v>0</v>
      </c>
      <c r="K364">
        <f t="shared" ca="1" si="74"/>
        <v>0</v>
      </c>
      <c r="L364">
        <f t="shared" ca="1" si="75"/>
        <v>0</v>
      </c>
      <c r="M364">
        <f t="shared" ca="1" si="76"/>
        <v>6</v>
      </c>
      <c r="N364">
        <f t="shared" ca="1" si="77"/>
        <v>0</v>
      </c>
    </row>
    <row r="365" spans="1:14" x14ac:dyDescent="0.35">
      <c r="A365" t="s">
        <v>382</v>
      </c>
      <c r="B365" t="str">
        <f t="shared" si="65"/>
        <v>Control</v>
      </c>
      <c r="C365">
        <f t="shared" ca="1" si="66"/>
        <v>37</v>
      </c>
      <c r="D365" t="str">
        <f t="shared" ca="1" si="67"/>
        <v>Female</v>
      </c>
      <c r="E365" t="str">
        <f t="shared" ca="1" si="68"/>
        <v>Ethnic Wear</v>
      </c>
      <c r="F365">
        <f t="shared" ca="1" si="69"/>
        <v>2795</v>
      </c>
      <c r="G365">
        <f t="shared" ca="1" si="70"/>
        <v>10</v>
      </c>
      <c r="H365">
        <f t="shared" ca="1" si="71"/>
        <v>2515.5</v>
      </c>
      <c r="I365">
        <f t="shared" ca="1" si="72"/>
        <v>1</v>
      </c>
      <c r="J365">
        <f t="shared" ca="1" si="73"/>
        <v>1</v>
      </c>
      <c r="K365">
        <f t="shared" ca="1" si="74"/>
        <v>0</v>
      </c>
      <c r="L365">
        <f t="shared" ca="1" si="75"/>
        <v>0</v>
      </c>
      <c r="M365">
        <f t="shared" ca="1" si="76"/>
        <v>2</v>
      </c>
      <c r="N365">
        <f t="shared" ca="1" si="77"/>
        <v>0</v>
      </c>
    </row>
    <row r="366" spans="1:14" x14ac:dyDescent="0.35">
      <c r="A366" t="s">
        <v>383</v>
      </c>
      <c r="B366" t="str">
        <f t="shared" si="65"/>
        <v>Control</v>
      </c>
      <c r="C366">
        <f t="shared" ca="1" si="66"/>
        <v>21</v>
      </c>
      <c r="D366" t="str">
        <f t="shared" ca="1" si="67"/>
        <v>Female</v>
      </c>
      <c r="E366" t="str">
        <f t="shared" ca="1" si="68"/>
        <v>Shoes</v>
      </c>
      <c r="F366">
        <f t="shared" ca="1" si="69"/>
        <v>5028</v>
      </c>
      <c r="G366">
        <f t="shared" ca="1" si="70"/>
        <v>10</v>
      </c>
      <c r="H366">
        <f t="shared" ca="1" si="71"/>
        <v>4525.2</v>
      </c>
      <c r="I366">
        <f t="shared" ca="1" si="72"/>
        <v>1</v>
      </c>
      <c r="J366">
        <f t="shared" ca="1" si="73"/>
        <v>1</v>
      </c>
      <c r="K366">
        <f t="shared" ca="1" si="74"/>
        <v>0</v>
      </c>
      <c r="L366">
        <f t="shared" ca="1" si="75"/>
        <v>0</v>
      </c>
      <c r="M366">
        <f t="shared" ca="1" si="76"/>
        <v>1</v>
      </c>
      <c r="N366">
        <f t="shared" ca="1" si="77"/>
        <v>0</v>
      </c>
    </row>
    <row r="367" spans="1:14" x14ac:dyDescent="0.35">
      <c r="A367" t="s">
        <v>384</v>
      </c>
      <c r="B367" t="str">
        <f t="shared" si="65"/>
        <v>Control</v>
      </c>
      <c r="C367">
        <f t="shared" ca="1" si="66"/>
        <v>32</v>
      </c>
      <c r="D367" t="str">
        <f t="shared" ca="1" si="67"/>
        <v>Male</v>
      </c>
      <c r="E367" t="str">
        <f t="shared" ca="1" si="68"/>
        <v>Dresses</v>
      </c>
      <c r="F367">
        <f t="shared" ca="1" si="69"/>
        <v>5831</v>
      </c>
      <c r="G367">
        <f t="shared" ca="1" si="70"/>
        <v>10</v>
      </c>
      <c r="H367">
        <f t="shared" ca="1" si="71"/>
        <v>5247.9000000000005</v>
      </c>
      <c r="I367">
        <f t="shared" ca="1" si="72"/>
        <v>1</v>
      </c>
      <c r="J367">
        <f t="shared" ca="1" si="73"/>
        <v>1</v>
      </c>
      <c r="K367">
        <f t="shared" ca="1" si="74"/>
        <v>1</v>
      </c>
      <c r="L367">
        <f t="shared" ca="1" si="75"/>
        <v>5247.9000000000005</v>
      </c>
      <c r="M367">
        <f t="shared" ca="1" si="76"/>
        <v>4</v>
      </c>
      <c r="N367">
        <f t="shared" ca="1" si="77"/>
        <v>0</v>
      </c>
    </row>
    <row r="368" spans="1:14" x14ac:dyDescent="0.35">
      <c r="A368" t="s">
        <v>385</v>
      </c>
      <c r="B368" t="str">
        <f t="shared" si="65"/>
        <v>Control</v>
      </c>
      <c r="C368">
        <f t="shared" ca="1" si="66"/>
        <v>30</v>
      </c>
      <c r="D368" t="str">
        <f t="shared" ca="1" si="67"/>
        <v>Male</v>
      </c>
      <c r="E368" t="str">
        <f t="shared" ca="1" si="68"/>
        <v>Jeans</v>
      </c>
      <c r="F368">
        <f t="shared" ca="1" si="69"/>
        <v>7010</v>
      </c>
      <c r="G368">
        <f t="shared" ca="1" si="70"/>
        <v>10</v>
      </c>
      <c r="H368">
        <f t="shared" ca="1" si="71"/>
        <v>6309</v>
      </c>
      <c r="I368">
        <f t="shared" ca="1" si="72"/>
        <v>1</v>
      </c>
      <c r="J368">
        <f t="shared" ca="1" si="73"/>
        <v>0</v>
      </c>
      <c r="K368">
        <f t="shared" ca="1" si="74"/>
        <v>0</v>
      </c>
      <c r="L368">
        <f t="shared" ca="1" si="75"/>
        <v>0</v>
      </c>
      <c r="M368">
        <f t="shared" ca="1" si="76"/>
        <v>4</v>
      </c>
      <c r="N368">
        <f t="shared" ca="1" si="77"/>
        <v>0</v>
      </c>
    </row>
    <row r="369" spans="1:14" x14ac:dyDescent="0.35">
      <c r="A369" t="s">
        <v>386</v>
      </c>
      <c r="B369" t="str">
        <f t="shared" si="65"/>
        <v>Control</v>
      </c>
      <c r="C369">
        <f t="shared" ca="1" si="66"/>
        <v>30</v>
      </c>
      <c r="D369" t="str">
        <f t="shared" ca="1" si="67"/>
        <v>Male</v>
      </c>
      <c r="E369" t="str">
        <f t="shared" ca="1" si="68"/>
        <v>Ethnic Wear</v>
      </c>
      <c r="F369">
        <f t="shared" ca="1" si="69"/>
        <v>834</v>
      </c>
      <c r="G369">
        <f t="shared" ca="1" si="70"/>
        <v>10</v>
      </c>
      <c r="H369">
        <f t="shared" ca="1" si="71"/>
        <v>750.6</v>
      </c>
      <c r="I369">
        <f t="shared" ca="1" si="72"/>
        <v>1</v>
      </c>
      <c r="J369">
        <f t="shared" ca="1" si="73"/>
        <v>0</v>
      </c>
      <c r="K369">
        <f t="shared" ca="1" si="74"/>
        <v>0</v>
      </c>
      <c r="L369">
        <f t="shared" ca="1" si="75"/>
        <v>0</v>
      </c>
      <c r="M369">
        <f t="shared" ca="1" si="76"/>
        <v>4</v>
      </c>
      <c r="N369">
        <f t="shared" ca="1" si="77"/>
        <v>0</v>
      </c>
    </row>
    <row r="370" spans="1:14" x14ac:dyDescent="0.35">
      <c r="A370" t="s">
        <v>387</v>
      </c>
      <c r="B370" t="str">
        <f t="shared" si="65"/>
        <v>Control</v>
      </c>
      <c r="C370">
        <f t="shared" ca="1" si="66"/>
        <v>23</v>
      </c>
      <c r="D370" t="str">
        <f t="shared" ca="1" si="67"/>
        <v>Female</v>
      </c>
      <c r="E370" t="str">
        <f t="shared" ca="1" si="68"/>
        <v>Shoes</v>
      </c>
      <c r="F370">
        <f t="shared" ca="1" si="69"/>
        <v>1513</v>
      </c>
      <c r="G370">
        <f t="shared" ca="1" si="70"/>
        <v>10</v>
      </c>
      <c r="H370">
        <f t="shared" ca="1" si="71"/>
        <v>1361.7</v>
      </c>
      <c r="I370">
        <f t="shared" ca="1" si="72"/>
        <v>1</v>
      </c>
      <c r="J370">
        <f t="shared" ca="1" si="73"/>
        <v>1</v>
      </c>
      <c r="K370">
        <f t="shared" ca="1" si="74"/>
        <v>1</v>
      </c>
      <c r="L370">
        <f t="shared" ca="1" si="75"/>
        <v>1361.7</v>
      </c>
      <c r="M370">
        <f t="shared" ca="1" si="76"/>
        <v>6</v>
      </c>
      <c r="N370">
        <f t="shared" ca="1" si="77"/>
        <v>0</v>
      </c>
    </row>
    <row r="371" spans="1:14" x14ac:dyDescent="0.35">
      <c r="A371" t="s">
        <v>388</v>
      </c>
      <c r="B371" t="str">
        <f t="shared" si="65"/>
        <v>Control</v>
      </c>
      <c r="C371">
        <f t="shared" ca="1" si="66"/>
        <v>44</v>
      </c>
      <c r="D371" t="str">
        <f t="shared" ca="1" si="67"/>
        <v>Female</v>
      </c>
      <c r="E371" t="str">
        <f t="shared" ca="1" si="68"/>
        <v>T-shirts</v>
      </c>
      <c r="F371">
        <f t="shared" ca="1" si="69"/>
        <v>5256</v>
      </c>
      <c r="G371">
        <f t="shared" ca="1" si="70"/>
        <v>10</v>
      </c>
      <c r="H371">
        <f t="shared" ca="1" si="71"/>
        <v>4730.4000000000005</v>
      </c>
      <c r="I371">
        <f t="shared" ca="1" si="72"/>
        <v>1</v>
      </c>
      <c r="J371">
        <f t="shared" ca="1" si="73"/>
        <v>0</v>
      </c>
      <c r="K371">
        <f t="shared" ca="1" si="74"/>
        <v>0</v>
      </c>
      <c r="L371">
        <f t="shared" ca="1" si="75"/>
        <v>0</v>
      </c>
      <c r="M371">
        <f t="shared" ca="1" si="76"/>
        <v>7</v>
      </c>
      <c r="N371">
        <f t="shared" ca="1" si="77"/>
        <v>0</v>
      </c>
    </row>
    <row r="372" spans="1:14" x14ac:dyDescent="0.35">
      <c r="A372" t="s">
        <v>389</v>
      </c>
      <c r="B372" t="str">
        <f t="shared" si="65"/>
        <v>Control</v>
      </c>
      <c r="C372">
        <f t="shared" ca="1" si="66"/>
        <v>19</v>
      </c>
      <c r="D372" t="str">
        <f t="shared" ca="1" si="67"/>
        <v>Male</v>
      </c>
      <c r="E372" t="str">
        <f t="shared" ca="1" si="68"/>
        <v>Jeans</v>
      </c>
      <c r="F372">
        <f t="shared" ca="1" si="69"/>
        <v>3358</v>
      </c>
      <c r="G372">
        <f t="shared" ca="1" si="70"/>
        <v>10</v>
      </c>
      <c r="H372">
        <f t="shared" ca="1" si="71"/>
        <v>3022.2000000000003</v>
      </c>
      <c r="I372">
        <f t="shared" ca="1" si="72"/>
        <v>1</v>
      </c>
      <c r="J372">
        <f t="shared" ca="1" si="73"/>
        <v>1</v>
      </c>
      <c r="K372">
        <f t="shared" ca="1" si="74"/>
        <v>0</v>
      </c>
      <c r="L372">
        <f t="shared" ca="1" si="75"/>
        <v>0</v>
      </c>
      <c r="M372">
        <f t="shared" ca="1" si="76"/>
        <v>3</v>
      </c>
      <c r="N372">
        <f t="shared" ca="1" si="77"/>
        <v>0</v>
      </c>
    </row>
    <row r="373" spans="1:14" x14ac:dyDescent="0.35">
      <c r="A373" t="s">
        <v>390</v>
      </c>
      <c r="B373" t="str">
        <f t="shared" si="65"/>
        <v>Control</v>
      </c>
      <c r="C373">
        <f t="shared" ca="1" si="66"/>
        <v>34</v>
      </c>
      <c r="D373" t="str">
        <f t="shared" ca="1" si="67"/>
        <v>Male</v>
      </c>
      <c r="E373" t="str">
        <f t="shared" ca="1" si="68"/>
        <v>Shoes</v>
      </c>
      <c r="F373">
        <f t="shared" ca="1" si="69"/>
        <v>1839</v>
      </c>
      <c r="G373">
        <f t="shared" ca="1" si="70"/>
        <v>10</v>
      </c>
      <c r="H373">
        <f t="shared" ca="1" si="71"/>
        <v>1655.1000000000001</v>
      </c>
      <c r="I373">
        <f t="shared" ca="1" si="72"/>
        <v>1</v>
      </c>
      <c r="J373">
        <f t="shared" ca="1" si="73"/>
        <v>1</v>
      </c>
      <c r="K373">
        <f t="shared" ca="1" si="74"/>
        <v>0</v>
      </c>
      <c r="L373">
        <f t="shared" ca="1" si="75"/>
        <v>0</v>
      </c>
      <c r="M373">
        <f t="shared" ca="1" si="76"/>
        <v>1</v>
      </c>
      <c r="N373">
        <f t="shared" ca="1" si="77"/>
        <v>0</v>
      </c>
    </row>
    <row r="374" spans="1:14" x14ac:dyDescent="0.35">
      <c r="A374" t="s">
        <v>391</v>
      </c>
      <c r="B374" t="str">
        <f t="shared" si="65"/>
        <v>Control</v>
      </c>
      <c r="C374">
        <f t="shared" ca="1" si="66"/>
        <v>20</v>
      </c>
      <c r="D374" t="str">
        <f t="shared" ca="1" si="67"/>
        <v>Female</v>
      </c>
      <c r="E374" t="str">
        <f t="shared" ca="1" si="68"/>
        <v>Shoes</v>
      </c>
      <c r="F374">
        <f t="shared" ca="1" si="69"/>
        <v>1765</v>
      </c>
      <c r="G374">
        <f t="shared" ca="1" si="70"/>
        <v>10</v>
      </c>
      <c r="H374">
        <f t="shared" ca="1" si="71"/>
        <v>1588.5</v>
      </c>
      <c r="I374">
        <f t="shared" ca="1" si="72"/>
        <v>1</v>
      </c>
      <c r="J374">
        <f t="shared" ca="1" si="73"/>
        <v>0</v>
      </c>
      <c r="K374">
        <f t="shared" ca="1" si="74"/>
        <v>0</v>
      </c>
      <c r="L374">
        <f t="shared" ca="1" si="75"/>
        <v>0</v>
      </c>
      <c r="M374">
        <f t="shared" ca="1" si="76"/>
        <v>3</v>
      </c>
      <c r="N374">
        <f t="shared" ca="1" si="77"/>
        <v>0</v>
      </c>
    </row>
    <row r="375" spans="1:14" x14ac:dyDescent="0.35">
      <c r="A375" t="s">
        <v>392</v>
      </c>
      <c r="B375" t="str">
        <f t="shared" si="65"/>
        <v>Control</v>
      </c>
      <c r="C375">
        <f t="shared" ca="1" si="66"/>
        <v>28</v>
      </c>
      <c r="D375" t="str">
        <f t="shared" ca="1" si="67"/>
        <v>Female</v>
      </c>
      <c r="E375" t="str">
        <f t="shared" ca="1" si="68"/>
        <v>Accessories</v>
      </c>
      <c r="F375">
        <f t="shared" ca="1" si="69"/>
        <v>2642</v>
      </c>
      <c r="G375">
        <f t="shared" ca="1" si="70"/>
        <v>10</v>
      </c>
      <c r="H375">
        <f t="shared" ca="1" si="71"/>
        <v>2377.8000000000002</v>
      </c>
      <c r="I375">
        <f t="shared" ca="1" si="72"/>
        <v>0</v>
      </c>
      <c r="J375">
        <f t="shared" ca="1" si="73"/>
        <v>0</v>
      </c>
      <c r="K375">
        <f t="shared" ca="1" si="74"/>
        <v>0</v>
      </c>
      <c r="L375">
        <f t="shared" ca="1" si="75"/>
        <v>0</v>
      </c>
      <c r="M375">
        <f t="shared" ca="1" si="76"/>
        <v>5</v>
      </c>
      <c r="N375">
        <f t="shared" ca="1" si="77"/>
        <v>0</v>
      </c>
    </row>
    <row r="376" spans="1:14" x14ac:dyDescent="0.35">
      <c r="A376" t="s">
        <v>393</v>
      </c>
      <c r="B376" t="str">
        <f t="shared" si="65"/>
        <v>Control</v>
      </c>
      <c r="C376">
        <f t="shared" ca="1" si="66"/>
        <v>34</v>
      </c>
      <c r="D376" t="str">
        <f t="shared" ca="1" si="67"/>
        <v>Male</v>
      </c>
      <c r="E376" t="str">
        <f t="shared" ca="1" si="68"/>
        <v>Tops</v>
      </c>
      <c r="F376">
        <f t="shared" ca="1" si="69"/>
        <v>6953</v>
      </c>
      <c r="G376">
        <f t="shared" ca="1" si="70"/>
        <v>10</v>
      </c>
      <c r="H376">
        <f t="shared" ca="1" si="71"/>
        <v>6257.7</v>
      </c>
      <c r="I376">
        <f t="shared" ca="1" si="72"/>
        <v>1</v>
      </c>
      <c r="J376">
        <f t="shared" ca="1" si="73"/>
        <v>0</v>
      </c>
      <c r="K376">
        <f t="shared" ca="1" si="74"/>
        <v>0</v>
      </c>
      <c r="L376">
        <f t="shared" ca="1" si="75"/>
        <v>0</v>
      </c>
      <c r="M376">
        <f t="shared" ca="1" si="76"/>
        <v>5</v>
      </c>
      <c r="N376">
        <f t="shared" ca="1" si="77"/>
        <v>0</v>
      </c>
    </row>
    <row r="377" spans="1:14" x14ac:dyDescent="0.35">
      <c r="A377" t="s">
        <v>394</v>
      </c>
      <c r="B377" t="str">
        <f t="shared" si="65"/>
        <v>Control</v>
      </c>
      <c r="C377">
        <f t="shared" ca="1" si="66"/>
        <v>39</v>
      </c>
      <c r="D377" t="str">
        <f t="shared" ca="1" si="67"/>
        <v>Other</v>
      </c>
      <c r="E377" t="str">
        <f t="shared" ca="1" si="68"/>
        <v>Jeans</v>
      </c>
      <c r="F377">
        <f t="shared" ca="1" si="69"/>
        <v>3273</v>
      </c>
      <c r="G377">
        <f t="shared" ca="1" si="70"/>
        <v>10</v>
      </c>
      <c r="H377">
        <f t="shared" ca="1" si="71"/>
        <v>2945.7000000000003</v>
      </c>
      <c r="I377">
        <f t="shared" ca="1" si="72"/>
        <v>1</v>
      </c>
      <c r="J377">
        <f t="shared" ca="1" si="73"/>
        <v>0</v>
      </c>
      <c r="K377">
        <f t="shared" ca="1" si="74"/>
        <v>0</v>
      </c>
      <c r="L377">
        <f t="shared" ca="1" si="75"/>
        <v>0</v>
      </c>
      <c r="M377">
        <f t="shared" ca="1" si="76"/>
        <v>5</v>
      </c>
      <c r="N377">
        <f t="shared" ca="1" si="77"/>
        <v>0</v>
      </c>
    </row>
    <row r="378" spans="1:14" x14ac:dyDescent="0.35">
      <c r="A378" t="s">
        <v>395</v>
      </c>
      <c r="B378" t="str">
        <f t="shared" si="65"/>
        <v>Control</v>
      </c>
      <c r="C378">
        <f t="shared" ca="1" si="66"/>
        <v>39</v>
      </c>
      <c r="D378" t="str">
        <f t="shared" ca="1" si="67"/>
        <v>Male</v>
      </c>
      <c r="E378" t="str">
        <f t="shared" ca="1" si="68"/>
        <v>Ethnic Wear</v>
      </c>
      <c r="F378">
        <f t="shared" ca="1" si="69"/>
        <v>3034</v>
      </c>
      <c r="G378">
        <f t="shared" ca="1" si="70"/>
        <v>10</v>
      </c>
      <c r="H378">
        <f t="shared" ca="1" si="71"/>
        <v>2730.6</v>
      </c>
      <c r="I378">
        <f t="shared" ca="1" si="72"/>
        <v>1</v>
      </c>
      <c r="J378">
        <f t="shared" ca="1" si="73"/>
        <v>0</v>
      </c>
      <c r="K378">
        <f t="shared" ca="1" si="74"/>
        <v>0</v>
      </c>
      <c r="L378">
        <f t="shared" ca="1" si="75"/>
        <v>0</v>
      </c>
      <c r="M378">
        <f t="shared" ca="1" si="76"/>
        <v>1</v>
      </c>
      <c r="N378">
        <f t="shared" ca="1" si="77"/>
        <v>0</v>
      </c>
    </row>
    <row r="379" spans="1:14" x14ac:dyDescent="0.35">
      <c r="A379" t="s">
        <v>396</v>
      </c>
      <c r="B379" t="str">
        <f t="shared" si="65"/>
        <v>Control</v>
      </c>
      <c r="C379">
        <f t="shared" ca="1" si="66"/>
        <v>43</v>
      </c>
      <c r="D379" t="str">
        <f t="shared" ca="1" si="67"/>
        <v>Other</v>
      </c>
      <c r="E379" t="str">
        <f t="shared" ca="1" si="68"/>
        <v>Jeans</v>
      </c>
      <c r="F379">
        <f t="shared" ca="1" si="69"/>
        <v>3088</v>
      </c>
      <c r="G379">
        <f t="shared" ca="1" si="70"/>
        <v>10</v>
      </c>
      <c r="H379">
        <f t="shared" ca="1" si="71"/>
        <v>2779.2000000000003</v>
      </c>
      <c r="I379">
        <f t="shared" ca="1" si="72"/>
        <v>1</v>
      </c>
      <c r="J379">
        <f t="shared" ca="1" si="73"/>
        <v>0</v>
      </c>
      <c r="K379">
        <f t="shared" ca="1" si="74"/>
        <v>0</v>
      </c>
      <c r="L379">
        <f t="shared" ca="1" si="75"/>
        <v>0</v>
      </c>
      <c r="M379">
        <f t="shared" ca="1" si="76"/>
        <v>1</v>
      </c>
      <c r="N379">
        <f t="shared" ca="1" si="77"/>
        <v>0</v>
      </c>
    </row>
    <row r="380" spans="1:14" x14ac:dyDescent="0.35">
      <c r="A380" t="s">
        <v>397</v>
      </c>
      <c r="B380" t="str">
        <f t="shared" si="65"/>
        <v>Control</v>
      </c>
      <c r="C380">
        <f t="shared" ca="1" si="66"/>
        <v>41</v>
      </c>
      <c r="D380" t="str">
        <f t="shared" ca="1" si="67"/>
        <v>Male</v>
      </c>
      <c r="E380" t="str">
        <f t="shared" ca="1" si="68"/>
        <v>Accessories</v>
      </c>
      <c r="F380">
        <f t="shared" ca="1" si="69"/>
        <v>637</v>
      </c>
      <c r="G380">
        <f t="shared" ca="1" si="70"/>
        <v>10</v>
      </c>
      <c r="H380">
        <f t="shared" ca="1" si="71"/>
        <v>573.30000000000007</v>
      </c>
      <c r="I380">
        <f t="shared" ca="1" si="72"/>
        <v>1</v>
      </c>
      <c r="J380">
        <f t="shared" ca="1" si="73"/>
        <v>1</v>
      </c>
      <c r="K380">
        <f t="shared" ca="1" si="74"/>
        <v>0</v>
      </c>
      <c r="L380">
        <f t="shared" ca="1" si="75"/>
        <v>0</v>
      </c>
      <c r="M380">
        <f t="shared" ca="1" si="76"/>
        <v>2</v>
      </c>
      <c r="N380">
        <f t="shared" ca="1" si="77"/>
        <v>0</v>
      </c>
    </row>
    <row r="381" spans="1:14" x14ac:dyDescent="0.35">
      <c r="A381" t="s">
        <v>398</v>
      </c>
      <c r="B381" t="str">
        <f t="shared" si="65"/>
        <v>Control</v>
      </c>
      <c r="C381">
        <f t="shared" ca="1" si="66"/>
        <v>44</v>
      </c>
      <c r="D381" t="str">
        <f t="shared" ca="1" si="67"/>
        <v>Female</v>
      </c>
      <c r="E381" t="str">
        <f t="shared" ca="1" si="68"/>
        <v>Dresses</v>
      </c>
      <c r="F381">
        <f t="shared" ca="1" si="69"/>
        <v>4082</v>
      </c>
      <c r="G381">
        <f t="shared" ca="1" si="70"/>
        <v>10</v>
      </c>
      <c r="H381">
        <f t="shared" ca="1" si="71"/>
        <v>3673.8</v>
      </c>
      <c r="I381">
        <f t="shared" ca="1" si="72"/>
        <v>1</v>
      </c>
      <c r="J381">
        <f t="shared" ca="1" si="73"/>
        <v>1</v>
      </c>
      <c r="K381">
        <f t="shared" ca="1" si="74"/>
        <v>1</v>
      </c>
      <c r="L381">
        <f t="shared" ca="1" si="75"/>
        <v>3673.8</v>
      </c>
      <c r="M381">
        <f t="shared" ca="1" si="76"/>
        <v>3</v>
      </c>
      <c r="N381">
        <f t="shared" ca="1" si="77"/>
        <v>0</v>
      </c>
    </row>
    <row r="382" spans="1:14" x14ac:dyDescent="0.35">
      <c r="A382" t="s">
        <v>399</v>
      </c>
      <c r="B382" t="str">
        <f t="shared" si="65"/>
        <v>Control</v>
      </c>
      <c r="C382">
        <f t="shared" ca="1" si="66"/>
        <v>23</v>
      </c>
      <c r="D382" t="str">
        <f t="shared" ca="1" si="67"/>
        <v>Female</v>
      </c>
      <c r="E382" t="str">
        <f t="shared" ca="1" si="68"/>
        <v>Tops</v>
      </c>
      <c r="F382">
        <f t="shared" ca="1" si="69"/>
        <v>6027</v>
      </c>
      <c r="G382">
        <f t="shared" ca="1" si="70"/>
        <v>10</v>
      </c>
      <c r="H382">
        <f t="shared" ca="1" si="71"/>
        <v>5424.3</v>
      </c>
      <c r="I382">
        <f t="shared" ca="1" si="72"/>
        <v>0</v>
      </c>
      <c r="J382">
        <f t="shared" ca="1" si="73"/>
        <v>0</v>
      </c>
      <c r="K382">
        <f t="shared" ca="1" si="74"/>
        <v>0</v>
      </c>
      <c r="L382">
        <f t="shared" ca="1" si="75"/>
        <v>0</v>
      </c>
      <c r="M382">
        <f t="shared" ca="1" si="76"/>
        <v>3</v>
      </c>
      <c r="N382">
        <f t="shared" ca="1" si="77"/>
        <v>0</v>
      </c>
    </row>
    <row r="383" spans="1:14" x14ac:dyDescent="0.35">
      <c r="A383" t="s">
        <v>400</v>
      </c>
      <c r="B383" t="str">
        <f t="shared" si="65"/>
        <v>Control</v>
      </c>
      <c r="C383">
        <f t="shared" ca="1" si="66"/>
        <v>43</v>
      </c>
      <c r="D383" t="str">
        <f t="shared" ca="1" si="67"/>
        <v>Female</v>
      </c>
      <c r="E383" t="str">
        <f t="shared" ca="1" si="68"/>
        <v>Sportswear</v>
      </c>
      <c r="F383">
        <f t="shared" ca="1" si="69"/>
        <v>6880</v>
      </c>
      <c r="G383">
        <f t="shared" ca="1" si="70"/>
        <v>10</v>
      </c>
      <c r="H383">
        <f t="shared" ca="1" si="71"/>
        <v>6192</v>
      </c>
      <c r="I383">
        <f t="shared" ca="1" si="72"/>
        <v>0</v>
      </c>
      <c r="J383">
        <f t="shared" ca="1" si="73"/>
        <v>0</v>
      </c>
      <c r="K383">
        <f t="shared" ca="1" si="74"/>
        <v>0</v>
      </c>
      <c r="L383">
        <f t="shared" ca="1" si="75"/>
        <v>0</v>
      </c>
      <c r="M383">
        <f t="shared" ca="1" si="76"/>
        <v>3</v>
      </c>
      <c r="N383">
        <f t="shared" ca="1" si="77"/>
        <v>0</v>
      </c>
    </row>
    <row r="384" spans="1:14" x14ac:dyDescent="0.35">
      <c r="A384" t="s">
        <v>401</v>
      </c>
      <c r="B384" t="str">
        <f t="shared" si="65"/>
        <v>Control</v>
      </c>
      <c r="C384">
        <f t="shared" ca="1" si="66"/>
        <v>29</v>
      </c>
      <c r="D384" t="str">
        <f t="shared" ca="1" si="67"/>
        <v>Male</v>
      </c>
      <c r="E384" t="str">
        <f t="shared" ca="1" si="68"/>
        <v>Jeans</v>
      </c>
      <c r="F384">
        <f t="shared" ca="1" si="69"/>
        <v>1918</v>
      </c>
      <c r="G384">
        <f t="shared" ca="1" si="70"/>
        <v>10</v>
      </c>
      <c r="H384">
        <f t="shared" ca="1" si="71"/>
        <v>1726.2</v>
      </c>
      <c r="I384">
        <f t="shared" ca="1" si="72"/>
        <v>1</v>
      </c>
      <c r="J384">
        <f t="shared" ca="1" si="73"/>
        <v>1</v>
      </c>
      <c r="K384">
        <f t="shared" ca="1" si="74"/>
        <v>1</v>
      </c>
      <c r="L384">
        <f t="shared" ca="1" si="75"/>
        <v>1726.2</v>
      </c>
      <c r="M384">
        <f t="shared" ca="1" si="76"/>
        <v>4</v>
      </c>
      <c r="N384">
        <f t="shared" ca="1" si="77"/>
        <v>0</v>
      </c>
    </row>
    <row r="385" spans="1:14" x14ac:dyDescent="0.35">
      <c r="A385" t="s">
        <v>402</v>
      </c>
      <c r="B385" t="str">
        <f t="shared" si="65"/>
        <v>Control</v>
      </c>
      <c r="C385">
        <f t="shared" ca="1" si="66"/>
        <v>43</v>
      </c>
      <c r="D385" t="str">
        <f t="shared" ca="1" si="67"/>
        <v>Female</v>
      </c>
      <c r="E385" t="str">
        <f t="shared" ca="1" si="68"/>
        <v>Dresses</v>
      </c>
      <c r="F385">
        <f t="shared" ca="1" si="69"/>
        <v>6099</v>
      </c>
      <c r="G385">
        <f t="shared" ca="1" si="70"/>
        <v>10</v>
      </c>
      <c r="H385">
        <f t="shared" ca="1" si="71"/>
        <v>5489.1</v>
      </c>
      <c r="I385">
        <f t="shared" ca="1" si="72"/>
        <v>1</v>
      </c>
      <c r="J385">
        <f t="shared" ca="1" si="73"/>
        <v>0</v>
      </c>
      <c r="K385">
        <f t="shared" ca="1" si="74"/>
        <v>0</v>
      </c>
      <c r="L385">
        <f t="shared" ca="1" si="75"/>
        <v>0</v>
      </c>
      <c r="M385">
        <f t="shared" ca="1" si="76"/>
        <v>7</v>
      </c>
      <c r="N385">
        <f t="shared" ca="1" si="77"/>
        <v>0</v>
      </c>
    </row>
    <row r="386" spans="1:14" x14ac:dyDescent="0.35">
      <c r="A386" t="s">
        <v>403</v>
      </c>
      <c r="B386" t="str">
        <f t="shared" si="65"/>
        <v>Control</v>
      </c>
      <c r="C386">
        <f t="shared" ca="1" si="66"/>
        <v>35</v>
      </c>
      <c r="D386" t="str">
        <f t="shared" ca="1" si="67"/>
        <v>Female</v>
      </c>
      <c r="E386" t="str">
        <f t="shared" ca="1" si="68"/>
        <v>Shoes</v>
      </c>
      <c r="F386">
        <f t="shared" ca="1" si="69"/>
        <v>4822</v>
      </c>
      <c r="G386">
        <f t="shared" ca="1" si="70"/>
        <v>10</v>
      </c>
      <c r="H386">
        <f t="shared" ca="1" si="71"/>
        <v>4339.8</v>
      </c>
      <c r="I386">
        <f t="shared" ca="1" si="72"/>
        <v>0</v>
      </c>
      <c r="J386">
        <f t="shared" ca="1" si="73"/>
        <v>0</v>
      </c>
      <c r="K386">
        <f t="shared" ca="1" si="74"/>
        <v>0</v>
      </c>
      <c r="L386">
        <f t="shared" ca="1" si="75"/>
        <v>0</v>
      </c>
      <c r="M386">
        <f t="shared" ca="1" si="76"/>
        <v>4</v>
      </c>
      <c r="N386">
        <f t="shared" ca="1" si="77"/>
        <v>0</v>
      </c>
    </row>
    <row r="387" spans="1:14" x14ac:dyDescent="0.35">
      <c r="A387" t="s">
        <v>404</v>
      </c>
      <c r="B387" t="str">
        <f t="shared" si="65"/>
        <v>Control</v>
      </c>
      <c r="C387">
        <f t="shared" ca="1" si="66"/>
        <v>36</v>
      </c>
      <c r="D387" t="str">
        <f t="shared" ca="1" si="67"/>
        <v>Other</v>
      </c>
      <c r="E387" t="str">
        <f t="shared" ca="1" si="68"/>
        <v>Sportswear</v>
      </c>
      <c r="F387">
        <f t="shared" ca="1" si="69"/>
        <v>2833</v>
      </c>
      <c r="G387">
        <f t="shared" ca="1" si="70"/>
        <v>10</v>
      </c>
      <c r="H387">
        <f t="shared" ca="1" si="71"/>
        <v>2549.7000000000003</v>
      </c>
      <c r="I387">
        <f t="shared" ca="1" si="72"/>
        <v>1</v>
      </c>
      <c r="J387">
        <f t="shared" ca="1" si="73"/>
        <v>1</v>
      </c>
      <c r="K387">
        <f t="shared" ca="1" si="74"/>
        <v>1</v>
      </c>
      <c r="L387">
        <f t="shared" ca="1" si="75"/>
        <v>2549.7000000000003</v>
      </c>
      <c r="M387">
        <f t="shared" ca="1" si="76"/>
        <v>4</v>
      </c>
      <c r="N387">
        <f t="shared" ca="1" si="77"/>
        <v>0</v>
      </c>
    </row>
    <row r="388" spans="1:14" x14ac:dyDescent="0.35">
      <c r="A388" t="s">
        <v>405</v>
      </c>
      <c r="B388" t="str">
        <f t="shared" si="65"/>
        <v>Control</v>
      </c>
      <c r="C388">
        <f t="shared" ca="1" si="66"/>
        <v>30</v>
      </c>
      <c r="D388" t="str">
        <f t="shared" ca="1" si="67"/>
        <v>Female</v>
      </c>
      <c r="E388" t="str">
        <f t="shared" ca="1" si="68"/>
        <v>Ethnic Wear</v>
      </c>
      <c r="F388">
        <f t="shared" ca="1" si="69"/>
        <v>390</v>
      </c>
      <c r="G388">
        <f t="shared" ca="1" si="70"/>
        <v>10</v>
      </c>
      <c r="H388">
        <f t="shared" ca="1" si="71"/>
        <v>351</v>
      </c>
      <c r="I388">
        <f t="shared" ca="1" si="72"/>
        <v>1</v>
      </c>
      <c r="J388">
        <f t="shared" ca="1" si="73"/>
        <v>1</v>
      </c>
      <c r="K388">
        <f t="shared" ca="1" si="74"/>
        <v>1</v>
      </c>
      <c r="L388">
        <f t="shared" ca="1" si="75"/>
        <v>351</v>
      </c>
      <c r="M388">
        <f t="shared" ca="1" si="76"/>
        <v>1</v>
      </c>
      <c r="N388">
        <f t="shared" ca="1" si="77"/>
        <v>0</v>
      </c>
    </row>
    <row r="389" spans="1:14" x14ac:dyDescent="0.35">
      <c r="A389" t="s">
        <v>406</v>
      </c>
      <c r="B389" t="str">
        <f t="shared" ref="B389:B452" si="78">IF(ROW()&lt;=1001,"Control","Test")</f>
        <v>Control</v>
      </c>
      <c r="C389">
        <f t="shared" ref="C389:C452" ca="1" si="79">RANDBETWEEN(18,45)</f>
        <v>45</v>
      </c>
      <c r="D389" t="str">
        <f t="shared" ref="D389:D452" ca="1" si="80">CHOOSE(RANDBETWEEN(1,20),"Female","Female","Female","Female","Female","Female","Female","Female","Female","Female","Male","Male","Male","Male","Male","Male","Male","Male","Other","Other")</f>
        <v>Other</v>
      </c>
      <c r="E389" t="str">
        <f t="shared" ref="E389:E452" ca="1" si="81">CHOOSE(RANDBETWEEN(1,8),"T-shirts","Dresses","Jeans","Shoes","Ethnic Wear","Tops","Sportswear","Accessories")</f>
        <v>Accessories</v>
      </c>
      <c r="F389">
        <f t="shared" ref="F389:F452" ca="1" si="82">RANDBETWEEN(300,8000)</f>
        <v>1197</v>
      </c>
      <c r="G389">
        <f t="shared" ref="G389:G452" ca="1" si="83">IF(B389="Control",10,CHOOSE(RANDBETWEEN(1,3),15,20,25))</f>
        <v>10</v>
      </c>
      <c r="H389">
        <f t="shared" ref="H389:H452" ca="1" si="84">F389*(1-G389/100)</f>
        <v>1077.3</v>
      </c>
      <c r="I389">
        <f t="shared" ref="I389:I452" ca="1" si="85">IF(RAND()&lt;0.85,1,0)</f>
        <v>1</v>
      </c>
      <c r="J389">
        <f t="shared" ref="J389:J452" ca="1" si="86">IF(I389=1,IF(RAND()&lt;0.55,1,0),0)</f>
        <v>0</v>
      </c>
      <c r="K389">
        <f t="shared" ref="K389:K452" ca="1" si="87">IF(J389=1,IF(B389="Test",IF(RAND()&lt;0.4,1,0),IF(RAND()&lt;0.34,1,0)),0)</f>
        <v>0</v>
      </c>
      <c r="L389">
        <f t="shared" ref="L389:L452" ca="1" si="88">IF(K389=1,H389,0)</f>
        <v>0</v>
      </c>
      <c r="M389">
        <f t="shared" ref="M389:M452" ca="1" si="89">RANDBETWEEN(1,7)</f>
        <v>7</v>
      </c>
      <c r="N389">
        <f t="shared" ref="N389:N452" ca="1" si="90">IF(K389=1,IF(RAND()&lt;0.15,1,0),0)</f>
        <v>0</v>
      </c>
    </row>
    <row r="390" spans="1:14" x14ac:dyDescent="0.35">
      <c r="A390" t="s">
        <v>407</v>
      </c>
      <c r="B390" t="str">
        <f t="shared" si="78"/>
        <v>Control</v>
      </c>
      <c r="C390">
        <f t="shared" ca="1" si="79"/>
        <v>28</v>
      </c>
      <c r="D390" t="str">
        <f t="shared" ca="1" si="80"/>
        <v>Female</v>
      </c>
      <c r="E390" t="str">
        <f t="shared" ca="1" si="81"/>
        <v>Ethnic Wear</v>
      </c>
      <c r="F390">
        <f t="shared" ca="1" si="82"/>
        <v>4183</v>
      </c>
      <c r="G390">
        <f t="shared" ca="1" si="83"/>
        <v>10</v>
      </c>
      <c r="H390">
        <f t="shared" ca="1" si="84"/>
        <v>3764.7000000000003</v>
      </c>
      <c r="I390">
        <f t="shared" ca="1" si="85"/>
        <v>1</v>
      </c>
      <c r="J390">
        <f t="shared" ca="1" si="86"/>
        <v>1</v>
      </c>
      <c r="K390">
        <f t="shared" ca="1" si="87"/>
        <v>0</v>
      </c>
      <c r="L390">
        <f t="shared" ca="1" si="88"/>
        <v>0</v>
      </c>
      <c r="M390">
        <f t="shared" ca="1" si="89"/>
        <v>2</v>
      </c>
      <c r="N390">
        <f t="shared" ca="1" si="90"/>
        <v>0</v>
      </c>
    </row>
    <row r="391" spans="1:14" x14ac:dyDescent="0.35">
      <c r="A391" t="s">
        <v>408</v>
      </c>
      <c r="B391" t="str">
        <f t="shared" si="78"/>
        <v>Control</v>
      </c>
      <c r="C391">
        <f t="shared" ca="1" si="79"/>
        <v>42</v>
      </c>
      <c r="D391" t="str">
        <f t="shared" ca="1" si="80"/>
        <v>Male</v>
      </c>
      <c r="E391" t="str">
        <f t="shared" ca="1" si="81"/>
        <v>Sportswear</v>
      </c>
      <c r="F391">
        <f t="shared" ca="1" si="82"/>
        <v>3619</v>
      </c>
      <c r="G391">
        <f t="shared" ca="1" si="83"/>
        <v>10</v>
      </c>
      <c r="H391">
        <f t="shared" ca="1" si="84"/>
        <v>3257.1</v>
      </c>
      <c r="I391">
        <f t="shared" ca="1" si="85"/>
        <v>1</v>
      </c>
      <c r="J391">
        <f t="shared" ca="1" si="86"/>
        <v>0</v>
      </c>
      <c r="K391">
        <f t="shared" ca="1" si="87"/>
        <v>0</v>
      </c>
      <c r="L391">
        <f t="shared" ca="1" si="88"/>
        <v>0</v>
      </c>
      <c r="M391">
        <f t="shared" ca="1" si="89"/>
        <v>3</v>
      </c>
      <c r="N391">
        <f t="shared" ca="1" si="90"/>
        <v>0</v>
      </c>
    </row>
    <row r="392" spans="1:14" x14ac:dyDescent="0.35">
      <c r="A392" t="s">
        <v>409</v>
      </c>
      <c r="B392" t="str">
        <f t="shared" si="78"/>
        <v>Control</v>
      </c>
      <c r="C392">
        <f t="shared" ca="1" si="79"/>
        <v>37</v>
      </c>
      <c r="D392" t="str">
        <f t="shared" ca="1" si="80"/>
        <v>Male</v>
      </c>
      <c r="E392" t="str">
        <f t="shared" ca="1" si="81"/>
        <v>Ethnic Wear</v>
      </c>
      <c r="F392">
        <f t="shared" ca="1" si="82"/>
        <v>2796</v>
      </c>
      <c r="G392">
        <f t="shared" ca="1" si="83"/>
        <v>10</v>
      </c>
      <c r="H392">
        <f t="shared" ca="1" si="84"/>
        <v>2516.4</v>
      </c>
      <c r="I392">
        <f t="shared" ca="1" si="85"/>
        <v>1</v>
      </c>
      <c r="J392">
        <f t="shared" ca="1" si="86"/>
        <v>0</v>
      </c>
      <c r="K392">
        <f t="shared" ca="1" si="87"/>
        <v>0</v>
      </c>
      <c r="L392">
        <f t="shared" ca="1" si="88"/>
        <v>0</v>
      </c>
      <c r="M392">
        <f t="shared" ca="1" si="89"/>
        <v>2</v>
      </c>
      <c r="N392">
        <f t="shared" ca="1" si="90"/>
        <v>0</v>
      </c>
    </row>
    <row r="393" spans="1:14" x14ac:dyDescent="0.35">
      <c r="A393" t="s">
        <v>410</v>
      </c>
      <c r="B393" t="str">
        <f t="shared" si="78"/>
        <v>Control</v>
      </c>
      <c r="C393">
        <f t="shared" ca="1" si="79"/>
        <v>43</v>
      </c>
      <c r="D393" t="str">
        <f t="shared" ca="1" si="80"/>
        <v>Female</v>
      </c>
      <c r="E393" t="str">
        <f t="shared" ca="1" si="81"/>
        <v>Accessories</v>
      </c>
      <c r="F393">
        <f t="shared" ca="1" si="82"/>
        <v>3992</v>
      </c>
      <c r="G393">
        <f t="shared" ca="1" si="83"/>
        <v>10</v>
      </c>
      <c r="H393">
        <f t="shared" ca="1" si="84"/>
        <v>3592.8</v>
      </c>
      <c r="I393">
        <f t="shared" ca="1" si="85"/>
        <v>0</v>
      </c>
      <c r="J393">
        <f t="shared" ca="1" si="86"/>
        <v>0</v>
      </c>
      <c r="K393">
        <f t="shared" ca="1" si="87"/>
        <v>0</v>
      </c>
      <c r="L393">
        <f t="shared" ca="1" si="88"/>
        <v>0</v>
      </c>
      <c r="M393">
        <f t="shared" ca="1" si="89"/>
        <v>2</v>
      </c>
      <c r="N393">
        <f t="shared" ca="1" si="90"/>
        <v>0</v>
      </c>
    </row>
    <row r="394" spans="1:14" x14ac:dyDescent="0.35">
      <c r="A394" t="s">
        <v>411</v>
      </c>
      <c r="B394" t="str">
        <f t="shared" si="78"/>
        <v>Control</v>
      </c>
      <c r="C394">
        <f t="shared" ca="1" si="79"/>
        <v>22</v>
      </c>
      <c r="D394" t="str">
        <f t="shared" ca="1" si="80"/>
        <v>Other</v>
      </c>
      <c r="E394" t="str">
        <f t="shared" ca="1" si="81"/>
        <v>Dresses</v>
      </c>
      <c r="F394">
        <f t="shared" ca="1" si="82"/>
        <v>3660</v>
      </c>
      <c r="G394">
        <f t="shared" ca="1" si="83"/>
        <v>10</v>
      </c>
      <c r="H394">
        <f t="shared" ca="1" si="84"/>
        <v>3294</v>
      </c>
      <c r="I394">
        <f t="shared" ca="1" si="85"/>
        <v>0</v>
      </c>
      <c r="J394">
        <f t="shared" ca="1" si="86"/>
        <v>0</v>
      </c>
      <c r="K394">
        <f t="shared" ca="1" si="87"/>
        <v>0</v>
      </c>
      <c r="L394">
        <f t="shared" ca="1" si="88"/>
        <v>0</v>
      </c>
      <c r="M394">
        <f t="shared" ca="1" si="89"/>
        <v>5</v>
      </c>
      <c r="N394">
        <f t="shared" ca="1" si="90"/>
        <v>0</v>
      </c>
    </row>
    <row r="395" spans="1:14" x14ac:dyDescent="0.35">
      <c r="A395" t="s">
        <v>412</v>
      </c>
      <c r="B395" t="str">
        <f t="shared" si="78"/>
        <v>Control</v>
      </c>
      <c r="C395">
        <f t="shared" ca="1" si="79"/>
        <v>45</v>
      </c>
      <c r="D395" t="str">
        <f t="shared" ca="1" si="80"/>
        <v>Female</v>
      </c>
      <c r="E395" t="str">
        <f t="shared" ca="1" si="81"/>
        <v>Sportswear</v>
      </c>
      <c r="F395">
        <f t="shared" ca="1" si="82"/>
        <v>1891</v>
      </c>
      <c r="G395">
        <f t="shared" ca="1" si="83"/>
        <v>10</v>
      </c>
      <c r="H395">
        <f t="shared" ca="1" si="84"/>
        <v>1701.9</v>
      </c>
      <c r="I395">
        <f t="shared" ca="1" si="85"/>
        <v>0</v>
      </c>
      <c r="J395">
        <f t="shared" ca="1" si="86"/>
        <v>0</v>
      </c>
      <c r="K395">
        <f t="shared" ca="1" si="87"/>
        <v>0</v>
      </c>
      <c r="L395">
        <f t="shared" ca="1" si="88"/>
        <v>0</v>
      </c>
      <c r="M395">
        <f t="shared" ca="1" si="89"/>
        <v>2</v>
      </c>
      <c r="N395">
        <f t="shared" ca="1" si="90"/>
        <v>0</v>
      </c>
    </row>
    <row r="396" spans="1:14" x14ac:dyDescent="0.35">
      <c r="A396" t="s">
        <v>413</v>
      </c>
      <c r="B396" t="str">
        <f t="shared" si="78"/>
        <v>Control</v>
      </c>
      <c r="C396">
        <f t="shared" ca="1" si="79"/>
        <v>23</v>
      </c>
      <c r="D396" t="str">
        <f t="shared" ca="1" si="80"/>
        <v>Male</v>
      </c>
      <c r="E396" t="str">
        <f t="shared" ca="1" si="81"/>
        <v>Sportswear</v>
      </c>
      <c r="F396">
        <f t="shared" ca="1" si="82"/>
        <v>2879</v>
      </c>
      <c r="G396">
        <f t="shared" ca="1" si="83"/>
        <v>10</v>
      </c>
      <c r="H396">
        <f t="shared" ca="1" si="84"/>
        <v>2591.1</v>
      </c>
      <c r="I396">
        <f t="shared" ca="1" si="85"/>
        <v>1</v>
      </c>
      <c r="J396">
        <f t="shared" ca="1" si="86"/>
        <v>1</v>
      </c>
      <c r="K396">
        <f t="shared" ca="1" si="87"/>
        <v>1</v>
      </c>
      <c r="L396">
        <f t="shared" ca="1" si="88"/>
        <v>2591.1</v>
      </c>
      <c r="M396">
        <f t="shared" ca="1" si="89"/>
        <v>7</v>
      </c>
      <c r="N396">
        <f t="shared" ca="1" si="90"/>
        <v>0</v>
      </c>
    </row>
    <row r="397" spans="1:14" x14ac:dyDescent="0.35">
      <c r="A397" t="s">
        <v>414</v>
      </c>
      <c r="B397" t="str">
        <f t="shared" si="78"/>
        <v>Control</v>
      </c>
      <c r="C397">
        <f t="shared" ca="1" si="79"/>
        <v>28</v>
      </c>
      <c r="D397" t="str">
        <f t="shared" ca="1" si="80"/>
        <v>Female</v>
      </c>
      <c r="E397" t="str">
        <f t="shared" ca="1" si="81"/>
        <v>Accessories</v>
      </c>
      <c r="F397">
        <f t="shared" ca="1" si="82"/>
        <v>6754</v>
      </c>
      <c r="G397">
        <f t="shared" ca="1" si="83"/>
        <v>10</v>
      </c>
      <c r="H397">
        <f t="shared" ca="1" si="84"/>
        <v>6078.6</v>
      </c>
      <c r="I397">
        <f t="shared" ca="1" si="85"/>
        <v>1</v>
      </c>
      <c r="J397">
        <f t="shared" ca="1" si="86"/>
        <v>0</v>
      </c>
      <c r="K397">
        <f t="shared" ca="1" si="87"/>
        <v>0</v>
      </c>
      <c r="L397">
        <f t="shared" ca="1" si="88"/>
        <v>0</v>
      </c>
      <c r="M397">
        <f t="shared" ca="1" si="89"/>
        <v>7</v>
      </c>
      <c r="N397">
        <f t="shared" ca="1" si="90"/>
        <v>0</v>
      </c>
    </row>
    <row r="398" spans="1:14" x14ac:dyDescent="0.35">
      <c r="A398" t="s">
        <v>415</v>
      </c>
      <c r="B398" t="str">
        <f t="shared" si="78"/>
        <v>Control</v>
      </c>
      <c r="C398">
        <f t="shared" ca="1" si="79"/>
        <v>28</v>
      </c>
      <c r="D398" t="str">
        <f t="shared" ca="1" si="80"/>
        <v>Male</v>
      </c>
      <c r="E398" t="str">
        <f t="shared" ca="1" si="81"/>
        <v>Jeans</v>
      </c>
      <c r="F398">
        <f t="shared" ca="1" si="82"/>
        <v>1186</v>
      </c>
      <c r="G398">
        <f t="shared" ca="1" si="83"/>
        <v>10</v>
      </c>
      <c r="H398">
        <f t="shared" ca="1" si="84"/>
        <v>1067.4000000000001</v>
      </c>
      <c r="I398">
        <f t="shared" ca="1" si="85"/>
        <v>1</v>
      </c>
      <c r="J398">
        <f t="shared" ca="1" si="86"/>
        <v>0</v>
      </c>
      <c r="K398">
        <f t="shared" ca="1" si="87"/>
        <v>0</v>
      </c>
      <c r="L398">
        <f t="shared" ca="1" si="88"/>
        <v>0</v>
      </c>
      <c r="M398">
        <f t="shared" ca="1" si="89"/>
        <v>2</v>
      </c>
      <c r="N398">
        <f t="shared" ca="1" si="90"/>
        <v>0</v>
      </c>
    </row>
    <row r="399" spans="1:14" x14ac:dyDescent="0.35">
      <c r="A399" t="s">
        <v>416</v>
      </c>
      <c r="B399" t="str">
        <f t="shared" si="78"/>
        <v>Control</v>
      </c>
      <c r="C399">
        <f t="shared" ca="1" si="79"/>
        <v>34</v>
      </c>
      <c r="D399" t="str">
        <f t="shared" ca="1" si="80"/>
        <v>Female</v>
      </c>
      <c r="E399" t="str">
        <f t="shared" ca="1" si="81"/>
        <v>Tops</v>
      </c>
      <c r="F399">
        <f t="shared" ca="1" si="82"/>
        <v>5282</v>
      </c>
      <c r="G399">
        <f t="shared" ca="1" si="83"/>
        <v>10</v>
      </c>
      <c r="H399">
        <f t="shared" ca="1" si="84"/>
        <v>4753.8</v>
      </c>
      <c r="I399">
        <f t="shared" ca="1" si="85"/>
        <v>0</v>
      </c>
      <c r="J399">
        <f t="shared" ca="1" si="86"/>
        <v>0</v>
      </c>
      <c r="K399">
        <f t="shared" ca="1" si="87"/>
        <v>0</v>
      </c>
      <c r="L399">
        <f t="shared" ca="1" si="88"/>
        <v>0</v>
      </c>
      <c r="M399">
        <f t="shared" ca="1" si="89"/>
        <v>2</v>
      </c>
      <c r="N399">
        <f t="shared" ca="1" si="90"/>
        <v>0</v>
      </c>
    </row>
    <row r="400" spans="1:14" x14ac:dyDescent="0.35">
      <c r="A400" t="s">
        <v>417</v>
      </c>
      <c r="B400" t="str">
        <f t="shared" si="78"/>
        <v>Control</v>
      </c>
      <c r="C400">
        <f t="shared" ca="1" si="79"/>
        <v>18</v>
      </c>
      <c r="D400" t="str">
        <f t="shared" ca="1" si="80"/>
        <v>Female</v>
      </c>
      <c r="E400" t="str">
        <f t="shared" ca="1" si="81"/>
        <v>Tops</v>
      </c>
      <c r="F400">
        <f t="shared" ca="1" si="82"/>
        <v>2052</v>
      </c>
      <c r="G400">
        <f t="shared" ca="1" si="83"/>
        <v>10</v>
      </c>
      <c r="H400">
        <f t="shared" ca="1" si="84"/>
        <v>1846.8</v>
      </c>
      <c r="I400">
        <f t="shared" ca="1" si="85"/>
        <v>1</v>
      </c>
      <c r="J400">
        <f t="shared" ca="1" si="86"/>
        <v>0</v>
      </c>
      <c r="K400">
        <f t="shared" ca="1" si="87"/>
        <v>0</v>
      </c>
      <c r="L400">
        <f t="shared" ca="1" si="88"/>
        <v>0</v>
      </c>
      <c r="M400">
        <f t="shared" ca="1" si="89"/>
        <v>2</v>
      </c>
      <c r="N400">
        <f t="shared" ca="1" si="90"/>
        <v>0</v>
      </c>
    </row>
    <row r="401" spans="1:14" x14ac:dyDescent="0.35">
      <c r="A401" t="s">
        <v>418</v>
      </c>
      <c r="B401" t="str">
        <f t="shared" si="78"/>
        <v>Control</v>
      </c>
      <c r="C401">
        <f t="shared" ca="1" si="79"/>
        <v>28</v>
      </c>
      <c r="D401" t="str">
        <f t="shared" ca="1" si="80"/>
        <v>Male</v>
      </c>
      <c r="E401" t="str">
        <f t="shared" ca="1" si="81"/>
        <v>Tops</v>
      </c>
      <c r="F401">
        <f t="shared" ca="1" si="82"/>
        <v>2955</v>
      </c>
      <c r="G401">
        <f t="shared" ca="1" si="83"/>
        <v>10</v>
      </c>
      <c r="H401">
        <f t="shared" ca="1" si="84"/>
        <v>2659.5</v>
      </c>
      <c r="I401">
        <f t="shared" ca="1" si="85"/>
        <v>1</v>
      </c>
      <c r="J401">
        <f t="shared" ca="1" si="86"/>
        <v>1</v>
      </c>
      <c r="K401">
        <f t="shared" ca="1" si="87"/>
        <v>1</v>
      </c>
      <c r="L401">
        <f t="shared" ca="1" si="88"/>
        <v>2659.5</v>
      </c>
      <c r="M401">
        <f t="shared" ca="1" si="89"/>
        <v>7</v>
      </c>
      <c r="N401">
        <f t="shared" ca="1" si="90"/>
        <v>0</v>
      </c>
    </row>
    <row r="402" spans="1:14" x14ac:dyDescent="0.35">
      <c r="A402" t="s">
        <v>419</v>
      </c>
      <c r="B402" t="str">
        <f t="shared" si="78"/>
        <v>Control</v>
      </c>
      <c r="C402">
        <f t="shared" ca="1" si="79"/>
        <v>20</v>
      </c>
      <c r="D402" t="str">
        <f t="shared" ca="1" si="80"/>
        <v>Male</v>
      </c>
      <c r="E402" t="str">
        <f t="shared" ca="1" si="81"/>
        <v>Ethnic Wear</v>
      </c>
      <c r="F402">
        <f t="shared" ca="1" si="82"/>
        <v>6927</v>
      </c>
      <c r="G402">
        <f t="shared" ca="1" si="83"/>
        <v>10</v>
      </c>
      <c r="H402">
        <f t="shared" ca="1" si="84"/>
        <v>6234.3</v>
      </c>
      <c r="I402">
        <f t="shared" ca="1" si="85"/>
        <v>1</v>
      </c>
      <c r="J402">
        <f t="shared" ca="1" si="86"/>
        <v>1</v>
      </c>
      <c r="K402">
        <f t="shared" ca="1" si="87"/>
        <v>0</v>
      </c>
      <c r="L402">
        <f t="shared" ca="1" si="88"/>
        <v>0</v>
      </c>
      <c r="M402">
        <f t="shared" ca="1" si="89"/>
        <v>1</v>
      </c>
      <c r="N402">
        <f t="shared" ca="1" si="90"/>
        <v>0</v>
      </c>
    </row>
    <row r="403" spans="1:14" x14ac:dyDescent="0.35">
      <c r="A403" t="s">
        <v>420</v>
      </c>
      <c r="B403" t="str">
        <f t="shared" si="78"/>
        <v>Control</v>
      </c>
      <c r="C403">
        <f t="shared" ca="1" si="79"/>
        <v>23</v>
      </c>
      <c r="D403" t="str">
        <f t="shared" ca="1" si="80"/>
        <v>Male</v>
      </c>
      <c r="E403" t="str">
        <f t="shared" ca="1" si="81"/>
        <v>T-shirts</v>
      </c>
      <c r="F403">
        <f t="shared" ca="1" si="82"/>
        <v>5623</v>
      </c>
      <c r="G403">
        <f t="shared" ca="1" si="83"/>
        <v>10</v>
      </c>
      <c r="H403">
        <f t="shared" ca="1" si="84"/>
        <v>5060.7</v>
      </c>
      <c r="I403">
        <f t="shared" ca="1" si="85"/>
        <v>0</v>
      </c>
      <c r="J403">
        <f t="shared" ca="1" si="86"/>
        <v>0</v>
      </c>
      <c r="K403">
        <f t="shared" ca="1" si="87"/>
        <v>0</v>
      </c>
      <c r="L403">
        <f t="shared" ca="1" si="88"/>
        <v>0</v>
      </c>
      <c r="M403">
        <f t="shared" ca="1" si="89"/>
        <v>4</v>
      </c>
      <c r="N403">
        <f t="shared" ca="1" si="90"/>
        <v>0</v>
      </c>
    </row>
    <row r="404" spans="1:14" x14ac:dyDescent="0.35">
      <c r="A404" t="s">
        <v>421</v>
      </c>
      <c r="B404" t="str">
        <f t="shared" si="78"/>
        <v>Control</v>
      </c>
      <c r="C404">
        <f t="shared" ca="1" si="79"/>
        <v>42</v>
      </c>
      <c r="D404" t="str">
        <f t="shared" ca="1" si="80"/>
        <v>Female</v>
      </c>
      <c r="E404" t="str">
        <f t="shared" ca="1" si="81"/>
        <v>Accessories</v>
      </c>
      <c r="F404">
        <f t="shared" ca="1" si="82"/>
        <v>6330</v>
      </c>
      <c r="G404">
        <f t="shared" ca="1" si="83"/>
        <v>10</v>
      </c>
      <c r="H404">
        <f t="shared" ca="1" si="84"/>
        <v>5697</v>
      </c>
      <c r="I404">
        <f t="shared" ca="1" si="85"/>
        <v>1</v>
      </c>
      <c r="J404">
        <f t="shared" ca="1" si="86"/>
        <v>0</v>
      </c>
      <c r="K404">
        <f t="shared" ca="1" si="87"/>
        <v>0</v>
      </c>
      <c r="L404">
        <f t="shared" ca="1" si="88"/>
        <v>0</v>
      </c>
      <c r="M404">
        <f t="shared" ca="1" si="89"/>
        <v>1</v>
      </c>
      <c r="N404">
        <f t="shared" ca="1" si="90"/>
        <v>0</v>
      </c>
    </row>
    <row r="405" spans="1:14" x14ac:dyDescent="0.35">
      <c r="A405" t="s">
        <v>422</v>
      </c>
      <c r="B405" t="str">
        <f t="shared" si="78"/>
        <v>Control</v>
      </c>
      <c r="C405">
        <f t="shared" ca="1" si="79"/>
        <v>25</v>
      </c>
      <c r="D405" t="str">
        <f t="shared" ca="1" si="80"/>
        <v>Male</v>
      </c>
      <c r="E405" t="str">
        <f t="shared" ca="1" si="81"/>
        <v>T-shirts</v>
      </c>
      <c r="F405">
        <f t="shared" ca="1" si="82"/>
        <v>4114</v>
      </c>
      <c r="G405">
        <f t="shared" ca="1" si="83"/>
        <v>10</v>
      </c>
      <c r="H405">
        <f t="shared" ca="1" si="84"/>
        <v>3702.6</v>
      </c>
      <c r="I405">
        <f t="shared" ca="1" si="85"/>
        <v>1</v>
      </c>
      <c r="J405">
        <f t="shared" ca="1" si="86"/>
        <v>1</v>
      </c>
      <c r="K405">
        <f t="shared" ca="1" si="87"/>
        <v>0</v>
      </c>
      <c r="L405">
        <f t="shared" ca="1" si="88"/>
        <v>0</v>
      </c>
      <c r="M405">
        <f t="shared" ca="1" si="89"/>
        <v>2</v>
      </c>
      <c r="N405">
        <f t="shared" ca="1" si="90"/>
        <v>0</v>
      </c>
    </row>
    <row r="406" spans="1:14" x14ac:dyDescent="0.35">
      <c r="A406" t="s">
        <v>423</v>
      </c>
      <c r="B406" t="str">
        <f t="shared" si="78"/>
        <v>Control</v>
      </c>
      <c r="C406">
        <f t="shared" ca="1" si="79"/>
        <v>30</v>
      </c>
      <c r="D406" t="str">
        <f t="shared" ca="1" si="80"/>
        <v>Male</v>
      </c>
      <c r="E406" t="str">
        <f t="shared" ca="1" si="81"/>
        <v>Ethnic Wear</v>
      </c>
      <c r="F406">
        <f t="shared" ca="1" si="82"/>
        <v>6726</v>
      </c>
      <c r="G406">
        <f t="shared" ca="1" si="83"/>
        <v>10</v>
      </c>
      <c r="H406">
        <f t="shared" ca="1" si="84"/>
        <v>6053.4000000000005</v>
      </c>
      <c r="I406">
        <f t="shared" ca="1" si="85"/>
        <v>1</v>
      </c>
      <c r="J406">
        <f t="shared" ca="1" si="86"/>
        <v>0</v>
      </c>
      <c r="K406">
        <f t="shared" ca="1" si="87"/>
        <v>0</v>
      </c>
      <c r="L406">
        <f t="shared" ca="1" si="88"/>
        <v>0</v>
      </c>
      <c r="M406">
        <f t="shared" ca="1" si="89"/>
        <v>2</v>
      </c>
      <c r="N406">
        <f t="shared" ca="1" si="90"/>
        <v>0</v>
      </c>
    </row>
    <row r="407" spans="1:14" x14ac:dyDescent="0.35">
      <c r="A407" t="s">
        <v>424</v>
      </c>
      <c r="B407" t="str">
        <f t="shared" si="78"/>
        <v>Control</v>
      </c>
      <c r="C407">
        <f t="shared" ca="1" si="79"/>
        <v>27</v>
      </c>
      <c r="D407" t="str">
        <f t="shared" ca="1" si="80"/>
        <v>Other</v>
      </c>
      <c r="E407" t="str">
        <f t="shared" ca="1" si="81"/>
        <v>Tops</v>
      </c>
      <c r="F407">
        <f t="shared" ca="1" si="82"/>
        <v>348</v>
      </c>
      <c r="G407">
        <f t="shared" ca="1" si="83"/>
        <v>10</v>
      </c>
      <c r="H407">
        <f t="shared" ca="1" si="84"/>
        <v>313.2</v>
      </c>
      <c r="I407">
        <f t="shared" ca="1" si="85"/>
        <v>1</v>
      </c>
      <c r="J407">
        <f t="shared" ca="1" si="86"/>
        <v>0</v>
      </c>
      <c r="K407">
        <f t="shared" ca="1" si="87"/>
        <v>0</v>
      </c>
      <c r="L407">
        <f t="shared" ca="1" si="88"/>
        <v>0</v>
      </c>
      <c r="M407">
        <f t="shared" ca="1" si="89"/>
        <v>7</v>
      </c>
      <c r="N407">
        <f t="shared" ca="1" si="90"/>
        <v>0</v>
      </c>
    </row>
    <row r="408" spans="1:14" x14ac:dyDescent="0.35">
      <c r="A408" t="s">
        <v>425</v>
      </c>
      <c r="B408" t="str">
        <f t="shared" si="78"/>
        <v>Control</v>
      </c>
      <c r="C408">
        <f t="shared" ca="1" si="79"/>
        <v>40</v>
      </c>
      <c r="D408" t="str">
        <f t="shared" ca="1" si="80"/>
        <v>Female</v>
      </c>
      <c r="E408" t="str">
        <f t="shared" ca="1" si="81"/>
        <v>Jeans</v>
      </c>
      <c r="F408">
        <f t="shared" ca="1" si="82"/>
        <v>6281</v>
      </c>
      <c r="G408">
        <f t="shared" ca="1" si="83"/>
        <v>10</v>
      </c>
      <c r="H408">
        <f t="shared" ca="1" si="84"/>
        <v>5652.9000000000005</v>
      </c>
      <c r="I408">
        <f t="shared" ca="1" si="85"/>
        <v>1</v>
      </c>
      <c r="J408">
        <f t="shared" ca="1" si="86"/>
        <v>0</v>
      </c>
      <c r="K408">
        <f t="shared" ca="1" si="87"/>
        <v>0</v>
      </c>
      <c r="L408">
        <f t="shared" ca="1" si="88"/>
        <v>0</v>
      </c>
      <c r="M408">
        <f t="shared" ca="1" si="89"/>
        <v>6</v>
      </c>
      <c r="N408">
        <f t="shared" ca="1" si="90"/>
        <v>0</v>
      </c>
    </row>
    <row r="409" spans="1:14" x14ac:dyDescent="0.35">
      <c r="A409" t="s">
        <v>426</v>
      </c>
      <c r="B409" t="str">
        <f t="shared" si="78"/>
        <v>Control</v>
      </c>
      <c r="C409">
        <f t="shared" ca="1" si="79"/>
        <v>31</v>
      </c>
      <c r="D409" t="str">
        <f t="shared" ca="1" si="80"/>
        <v>Female</v>
      </c>
      <c r="E409" t="str">
        <f t="shared" ca="1" si="81"/>
        <v>Ethnic Wear</v>
      </c>
      <c r="F409">
        <f t="shared" ca="1" si="82"/>
        <v>3532</v>
      </c>
      <c r="G409">
        <f t="shared" ca="1" si="83"/>
        <v>10</v>
      </c>
      <c r="H409">
        <f t="shared" ca="1" si="84"/>
        <v>3178.8</v>
      </c>
      <c r="I409">
        <f t="shared" ca="1" si="85"/>
        <v>1</v>
      </c>
      <c r="J409">
        <f t="shared" ca="1" si="86"/>
        <v>1</v>
      </c>
      <c r="K409">
        <f t="shared" ca="1" si="87"/>
        <v>0</v>
      </c>
      <c r="L409">
        <f t="shared" ca="1" si="88"/>
        <v>0</v>
      </c>
      <c r="M409">
        <f t="shared" ca="1" si="89"/>
        <v>1</v>
      </c>
      <c r="N409">
        <f t="shared" ca="1" si="90"/>
        <v>0</v>
      </c>
    </row>
    <row r="410" spans="1:14" x14ac:dyDescent="0.35">
      <c r="A410" t="s">
        <v>427</v>
      </c>
      <c r="B410" t="str">
        <f t="shared" si="78"/>
        <v>Control</v>
      </c>
      <c r="C410">
        <f t="shared" ca="1" si="79"/>
        <v>43</v>
      </c>
      <c r="D410" t="str">
        <f t="shared" ca="1" si="80"/>
        <v>Female</v>
      </c>
      <c r="E410" t="str">
        <f t="shared" ca="1" si="81"/>
        <v>Ethnic Wear</v>
      </c>
      <c r="F410">
        <f t="shared" ca="1" si="82"/>
        <v>7949</v>
      </c>
      <c r="G410">
        <f t="shared" ca="1" si="83"/>
        <v>10</v>
      </c>
      <c r="H410">
        <f t="shared" ca="1" si="84"/>
        <v>7154.1</v>
      </c>
      <c r="I410">
        <f t="shared" ca="1" si="85"/>
        <v>1</v>
      </c>
      <c r="J410">
        <f t="shared" ca="1" si="86"/>
        <v>0</v>
      </c>
      <c r="K410">
        <f t="shared" ca="1" si="87"/>
        <v>0</v>
      </c>
      <c r="L410">
        <f t="shared" ca="1" si="88"/>
        <v>0</v>
      </c>
      <c r="M410">
        <f t="shared" ca="1" si="89"/>
        <v>4</v>
      </c>
      <c r="N410">
        <f t="shared" ca="1" si="90"/>
        <v>0</v>
      </c>
    </row>
    <row r="411" spans="1:14" x14ac:dyDescent="0.35">
      <c r="A411" t="s">
        <v>428</v>
      </c>
      <c r="B411" t="str">
        <f t="shared" si="78"/>
        <v>Control</v>
      </c>
      <c r="C411">
        <f t="shared" ca="1" si="79"/>
        <v>31</v>
      </c>
      <c r="D411" t="str">
        <f t="shared" ca="1" si="80"/>
        <v>Male</v>
      </c>
      <c r="E411" t="str">
        <f t="shared" ca="1" si="81"/>
        <v>Shoes</v>
      </c>
      <c r="F411">
        <f t="shared" ca="1" si="82"/>
        <v>4536</v>
      </c>
      <c r="G411">
        <f t="shared" ca="1" si="83"/>
        <v>10</v>
      </c>
      <c r="H411">
        <f t="shared" ca="1" si="84"/>
        <v>4082.4</v>
      </c>
      <c r="I411">
        <f t="shared" ca="1" si="85"/>
        <v>1</v>
      </c>
      <c r="J411">
        <f t="shared" ca="1" si="86"/>
        <v>0</v>
      </c>
      <c r="K411">
        <f t="shared" ca="1" si="87"/>
        <v>0</v>
      </c>
      <c r="L411">
        <f t="shared" ca="1" si="88"/>
        <v>0</v>
      </c>
      <c r="M411">
        <f t="shared" ca="1" si="89"/>
        <v>4</v>
      </c>
      <c r="N411">
        <f t="shared" ca="1" si="90"/>
        <v>0</v>
      </c>
    </row>
    <row r="412" spans="1:14" x14ac:dyDescent="0.35">
      <c r="A412" t="s">
        <v>429</v>
      </c>
      <c r="B412" t="str">
        <f t="shared" si="78"/>
        <v>Control</v>
      </c>
      <c r="C412">
        <f t="shared" ca="1" si="79"/>
        <v>24</v>
      </c>
      <c r="D412" t="str">
        <f t="shared" ca="1" si="80"/>
        <v>Female</v>
      </c>
      <c r="E412" t="str">
        <f t="shared" ca="1" si="81"/>
        <v>T-shirts</v>
      </c>
      <c r="F412">
        <f t="shared" ca="1" si="82"/>
        <v>6175</v>
      </c>
      <c r="G412">
        <f t="shared" ca="1" si="83"/>
        <v>10</v>
      </c>
      <c r="H412">
        <f t="shared" ca="1" si="84"/>
        <v>5557.5</v>
      </c>
      <c r="I412">
        <f t="shared" ca="1" si="85"/>
        <v>1</v>
      </c>
      <c r="J412">
        <f t="shared" ca="1" si="86"/>
        <v>1</v>
      </c>
      <c r="K412">
        <f t="shared" ca="1" si="87"/>
        <v>0</v>
      </c>
      <c r="L412">
        <f t="shared" ca="1" si="88"/>
        <v>0</v>
      </c>
      <c r="M412">
        <f t="shared" ca="1" si="89"/>
        <v>7</v>
      </c>
      <c r="N412">
        <f t="shared" ca="1" si="90"/>
        <v>0</v>
      </c>
    </row>
    <row r="413" spans="1:14" x14ac:dyDescent="0.35">
      <c r="A413" t="s">
        <v>430</v>
      </c>
      <c r="B413" t="str">
        <f t="shared" si="78"/>
        <v>Control</v>
      </c>
      <c r="C413">
        <f t="shared" ca="1" si="79"/>
        <v>38</v>
      </c>
      <c r="D413" t="str">
        <f t="shared" ca="1" si="80"/>
        <v>Male</v>
      </c>
      <c r="E413" t="str">
        <f t="shared" ca="1" si="81"/>
        <v>T-shirts</v>
      </c>
      <c r="F413">
        <f t="shared" ca="1" si="82"/>
        <v>4892</v>
      </c>
      <c r="G413">
        <f t="shared" ca="1" si="83"/>
        <v>10</v>
      </c>
      <c r="H413">
        <f t="shared" ca="1" si="84"/>
        <v>4402.8</v>
      </c>
      <c r="I413">
        <f t="shared" ca="1" si="85"/>
        <v>1</v>
      </c>
      <c r="J413">
        <f t="shared" ca="1" si="86"/>
        <v>1</v>
      </c>
      <c r="K413">
        <f t="shared" ca="1" si="87"/>
        <v>0</v>
      </c>
      <c r="L413">
        <f t="shared" ca="1" si="88"/>
        <v>0</v>
      </c>
      <c r="M413">
        <f t="shared" ca="1" si="89"/>
        <v>3</v>
      </c>
      <c r="N413">
        <f t="shared" ca="1" si="90"/>
        <v>0</v>
      </c>
    </row>
    <row r="414" spans="1:14" x14ac:dyDescent="0.35">
      <c r="A414" t="s">
        <v>431</v>
      </c>
      <c r="B414" t="str">
        <f t="shared" si="78"/>
        <v>Control</v>
      </c>
      <c r="C414">
        <f t="shared" ca="1" si="79"/>
        <v>36</v>
      </c>
      <c r="D414" t="str">
        <f t="shared" ca="1" si="80"/>
        <v>Male</v>
      </c>
      <c r="E414" t="str">
        <f t="shared" ca="1" si="81"/>
        <v>Accessories</v>
      </c>
      <c r="F414">
        <f t="shared" ca="1" si="82"/>
        <v>5208</v>
      </c>
      <c r="G414">
        <f t="shared" ca="1" si="83"/>
        <v>10</v>
      </c>
      <c r="H414">
        <f t="shared" ca="1" si="84"/>
        <v>4687.2</v>
      </c>
      <c r="I414">
        <f t="shared" ca="1" si="85"/>
        <v>1</v>
      </c>
      <c r="J414">
        <f t="shared" ca="1" si="86"/>
        <v>0</v>
      </c>
      <c r="K414">
        <f t="shared" ca="1" si="87"/>
        <v>0</v>
      </c>
      <c r="L414">
        <f t="shared" ca="1" si="88"/>
        <v>0</v>
      </c>
      <c r="M414">
        <f t="shared" ca="1" si="89"/>
        <v>6</v>
      </c>
      <c r="N414">
        <f t="shared" ca="1" si="90"/>
        <v>0</v>
      </c>
    </row>
    <row r="415" spans="1:14" x14ac:dyDescent="0.35">
      <c r="A415" t="s">
        <v>432</v>
      </c>
      <c r="B415" t="str">
        <f t="shared" si="78"/>
        <v>Control</v>
      </c>
      <c r="C415">
        <f t="shared" ca="1" si="79"/>
        <v>36</v>
      </c>
      <c r="D415" t="str">
        <f t="shared" ca="1" si="80"/>
        <v>Female</v>
      </c>
      <c r="E415" t="str">
        <f t="shared" ca="1" si="81"/>
        <v>Jeans</v>
      </c>
      <c r="F415">
        <f t="shared" ca="1" si="82"/>
        <v>6461</v>
      </c>
      <c r="G415">
        <f t="shared" ca="1" si="83"/>
        <v>10</v>
      </c>
      <c r="H415">
        <f t="shared" ca="1" si="84"/>
        <v>5814.9000000000005</v>
      </c>
      <c r="I415">
        <f t="shared" ca="1" si="85"/>
        <v>1</v>
      </c>
      <c r="J415">
        <f t="shared" ca="1" si="86"/>
        <v>1</v>
      </c>
      <c r="K415">
        <f t="shared" ca="1" si="87"/>
        <v>1</v>
      </c>
      <c r="L415">
        <f t="shared" ca="1" si="88"/>
        <v>5814.9000000000005</v>
      </c>
      <c r="M415">
        <f t="shared" ca="1" si="89"/>
        <v>7</v>
      </c>
      <c r="N415">
        <f t="shared" ca="1" si="90"/>
        <v>0</v>
      </c>
    </row>
    <row r="416" spans="1:14" x14ac:dyDescent="0.35">
      <c r="A416" t="s">
        <v>433</v>
      </c>
      <c r="B416" t="str">
        <f t="shared" si="78"/>
        <v>Control</v>
      </c>
      <c r="C416">
        <f t="shared" ca="1" si="79"/>
        <v>22</v>
      </c>
      <c r="D416" t="str">
        <f t="shared" ca="1" si="80"/>
        <v>Female</v>
      </c>
      <c r="E416" t="str">
        <f t="shared" ca="1" si="81"/>
        <v>Ethnic Wear</v>
      </c>
      <c r="F416">
        <f t="shared" ca="1" si="82"/>
        <v>3673</v>
      </c>
      <c r="G416">
        <f t="shared" ca="1" si="83"/>
        <v>10</v>
      </c>
      <c r="H416">
        <f t="shared" ca="1" si="84"/>
        <v>3305.7000000000003</v>
      </c>
      <c r="I416">
        <f t="shared" ca="1" si="85"/>
        <v>0</v>
      </c>
      <c r="J416">
        <f t="shared" ca="1" si="86"/>
        <v>0</v>
      </c>
      <c r="K416">
        <f t="shared" ca="1" si="87"/>
        <v>0</v>
      </c>
      <c r="L416">
        <f t="shared" ca="1" si="88"/>
        <v>0</v>
      </c>
      <c r="M416">
        <f t="shared" ca="1" si="89"/>
        <v>5</v>
      </c>
      <c r="N416">
        <f t="shared" ca="1" si="90"/>
        <v>0</v>
      </c>
    </row>
    <row r="417" spans="1:14" x14ac:dyDescent="0.35">
      <c r="A417" t="s">
        <v>434</v>
      </c>
      <c r="B417" t="str">
        <f t="shared" si="78"/>
        <v>Control</v>
      </c>
      <c r="C417">
        <f t="shared" ca="1" si="79"/>
        <v>21</v>
      </c>
      <c r="D417" t="str">
        <f t="shared" ca="1" si="80"/>
        <v>Male</v>
      </c>
      <c r="E417" t="str">
        <f t="shared" ca="1" si="81"/>
        <v>Ethnic Wear</v>
      </c>
      <c r="F417">
        <f t="shared" ca="1" si="82"/>
        <v>5311</v>
      </c>
      <c r="G417">
        <f t="shared" ca="1" si="83"/>
        <v>10</v>
      </c>
      <c r="H417">
        <f t="shared" ca="1" si="84"/>
        <v>4779.9000000000005</v>
      </c>
      <c r="I417">
        <f t="shared" ca="1" si="85"/>
        <v>0</v>
      </c>
      <c r="J417">
        <f t="shared" ca="1" si="86"/>
        <v>0</v>
      </c>
      <c r="K417">
        <f t="shared" ca="1" si="87"/>
        <v>0</v>
      </c>
      <c r="L417">
        <f t="shared" ca="1" si="88"/>
        <v>0</v>
      </c>
      <c r="M417">
        <f t="shared" ca="1" si="89"/>
        <v>7</v>
      </c>
      <c r="N417">
        <f t="shared" ca="1" si="90"/>
        <v>0</v>
      </c>
    </row>
    <row r="418" spans="1:14" x14ac:dyDescent="0.35">
      <c r="A418" t="s">
        <v>435</v>
      </c>
      <c r="B418" t="str">
        <f t="shared" si="78"/>
        <v>Control</v>
      </c>
      <c r="C418">
        <f t="shared" ca="1" si="79"/>
        <v>31</v>
      </c>
      <c r="D418" t="str">
        <f t="shared" ca="1" si="80"/>
        <v>Male</v>
      </c>
      <c r="E418" t="str">
        <f t="shared" ca="1" si="81"/>
        <v>Ethnic Wear</v>
      </c>
      <c r="F418">
        <f t="shared" ca="1" si="82"/>
        <v>2765</v>
      </c>
      <c r="G418">
        <f t="shared" ca="1" si="83"/>
        <v>10</v>
      </c>
      <c r="H418">
        <f t="shared" ca="1" si="84"/>
        <v>2488.5</v>
      </c>
      <c r="I418">
        <f t="shared" ca="1" si="85"/>
        <v>1</v>
      </c>
      <c r="J418">
        <f t="shared" ca="1" si="86"/>
        <v>1</v>
      </c>
      <c r="K418">
        <f t="shared" ca="1" si="87"/>
        <v>1</v>
      </c>
      <c r="L418">
        <f t="shared" ca="1" si="88"/>
        <v>2488.5</v>
      </c>
      <c r="M418">
        <f t="shared" ca="1" si="89"/>
        <v>1</v>
      </c>
      <c r="N418">
        <f t="shared" ca="1" si="90"/>
        <v>0</v>
      </c>
    </row>
    <row r="419" spans="1:14" x14ac:dyDescent="0.35">
      <c r="A419" t="s">
        <v>436</v>
      </c>
      <c r="B419" t="str">
        <f t="shared" si="78"/>
        <v>Control</v>
      </c>
      <c r="C419">
        <f t="shared" ca="1" si="79"/>
        <v>45</v>
      </c>
      <c r="D419" t="str">
        <f t="shared" ca="1" si="80"/>
        <v>Male</v>
      </c>
      <c r="E419" t="str">
        <f t="shared" ca="1" si="81"/>
        <v>T-shirts</v>
      </c>
      <c r="F419">
        <f t="shared" ca="1" si="82"/>
        <v>5059</v>
      </c>
      <c r="G419">
        <f t="shared" ca="1" si="83"/>
        <v>10</v>
      </c>
      <c r="H419">
        <f t="shared" ca="1" si="84"/>
        <v>4553.1000000000004</v>
      </c>
      <c r="I419">
        <f t="shared" ca="1" si="85"/>
        <v>1</v>
      </c>
      <c r="J419">
        <f t="shared" ca="1" si="86"/>
        <v>1</v>
      </c>
      <c r="K419">
        <f t="shared" ca="1" si="87"/>
        <v>0</v>
      </c>
      <c r="L419">
        <f t="shared" ca="1" si="88"/>
        <v>0</v>
      </c>
      <c r="M419">
        <f t="shared" ca="1" si="89"/>
        <v>3</v>
      </c>
      <c r="N419">
        <f t="shared" ca="1" si="90"/>
        <v>0</v>
      </c>
    </row>
    <row r="420" spans="1:14" x14ac:dyDescent="0.35">
      <c r="A420" t="s">
        <v>437</v>
      </c>
      <c r="B420" t="str">
        <f t="shared" si="78"/>
        <v>Control</v>
      </c>
      <c r="C420">
        <f t="shared" ca="1" si="79"/>
        <v>38</v>
      </c>
      <c r="D420" t="str">
        <f t="shared" ca="1" si="80"/>
        <v>Other</v>
      </c>
      <c r="E420" t="str">
        <f t="shared" ca="1" si="81"/>
        <v>Jeans</v>
      </c>
      <c r="F420">
        <f t="shared" ca="1" si="82"/>
        <v>1949</v>
      </c>
      <c r="G420">
        <f t="shared" ca="1" si="83"/>
        <v>10</v>
      </c>
      <c r="H420">
        <f t="shared" ca="1" si="84"/>
        <v>1754.1000000000001</v>
      </c>
      <c r="I420">
        <f t="shared" ca="1" si="85"/>
        <v>1</v>
      </c>
      <c r="J420">
        <f t="shared" ca="1" si="86"/>
        <v>1</v>
      </c>
      <c r="K420">
        <f t="shared" ca="1" si="87"/>
        <v>1</v>
      </c>
      <c r="L420">
        <f t="shared" ca="1" si="88"/>
        <v>1754.1000000000001</v>
      </c>
      <c r="M420">
        <f t="shared" ca="1" si="89"/>
        <v>5</v>
      </c>
      <c r="N420">
        <f t="shared" ca="1" si="90"/>
        <v>0</v>
      </c>
    </row>
    <row r="421" spans="1:14" x14ac:dyDescent="0.35">
      <c r="A421" t="s">
        <v>438</v>
      </c>
      <c r="B421" t="str">
        <f t="shared" si="78"/>
        <v>Control</v>
      </c>
      <c r="C421">
        <f t="shared" ca="1" si="79"/>
        <v>23</v>
      </c>
      <c r="D421" t="str">
        <f t="shared" ca="1" si="80"/>
        <v>Female</v>
      </c>
      <c r="E421" t="str">
        <f t="shared" ca="1" si="81"/>
        <v>T-shirts</v>
      </c>
      <c r="F421">
        <f t="shared" ca="1" si="82"/>
        <v>3156</v>
      </c>
      <c r="G421">
        <f t="shared" ca="1" si="83"/>
        <v>10</v>
      </c>
      <c r="H421">
        <f t="shared" ca="1" si="84"/>
        <v>2840.4</v>
      </c>
      <c r="I421">
        <f t="shared" ca="1" si="85"/>
        <v>1</v>
      </c>
      <c r="J421">
        <f t="shared" ca="1" si="86"/>
        <v>1</v>
      </c>
      <c r="K421">
        <f t="shared" ca="1" si="87"/>
        <v>0</v>
      </c>
      <c r="L421">
        <f t="shared" ca="1" si="88"/>
        <v>0</v>
      </c>
      <c r="M421">
        <f t="shared" ca="1" si="89"/>
        <v>2</v>
      </c>
      <c r="N421">
        <f t="shared" ca="1" si="90"/>
        <v>0</v>
      </c>
    </row>
    <row r="422" spans="1:14" x14ac:dyDescent="0.35">
      <c r="A422" t="s">
        <v>439</v>
      </c>
      <c r="B422" t="str">
        <f t="shared" si="78"/>
        <v>Control</v>
      </c>
      <c r="C422">
        <f t="shared" ca="1" si="79"/>
        <v>36</v>
      </c>
      <c r="D422" t="str">
        <f t="shared" ca="1" si="80"/>
        <v>Other</v>
      </c>
      <c r="E422" t="str">
        <f t="shared" ca="1" si="81"/>
        <v>Dresses</v>
      </c>
      <c r="F422">
        <f t="shared" ca="1" si="82"/>
        <v>3220</v>
      </c>
      <c r="G422">
        <f t="shared" ca="1" si="83"/>
        <v>10</v>
      </c>
      <c r="H422">
        <f t="shared" ca="1" si="84"/>
        <v>2898</v>
      </c>
      <c r="I422">
        <f t="shared" ca="1" si="85"/>
        <v>1</v>
      </c>
      <c r="J422">
        <f t="shared" ca="1" si="86"/>
        <v>0</v>
      </c>
      <c r="K422">
        <f t="shared" ca="1" si="87"/>
        <v>0</v>
      </c>
      <c r="L422">
        <f t="shared" ca="1" si="88"/>
        <v>0</v>
      </c>
      <c r="M422">
        <f t="shared" ca="1" si="89"/>
        <v>5</v>
      </c>
      <c r="N422">
        <f t="shared" ca="1" si="90"/>
        <v>0</v>
      </c>
    </row>
    <row r="423" spans="1:14" x14ac:dyDescent="0.35">
      <c r="A423" t="s">
        <v>440</v>
      </c>
      <c r="B423" t="str">
        <f t="shared" si="78"/>
        <v>Control</v>
      </c>
      <c r="C423">
        <f t="shared" ca="1" si="79"/>
        <v>32</v>
      </c>
      <c r="D423" t="str">
        <f t="shared" ca="1" si="80"/>
        <v>Other</v>
      </c>
      <c r="E423" t="str">
        <f t="shared" ca="1" si="81"/>
        <v>T-shirts</v>
      </c>
      <c r="F423">
        <f t="shared" ca="1" si="82"/>
        <v>4266</v>
      </c>
      <c r="G423">
        <f t="shared" ca="1" si="83"/>
        <v>10</v>
      </c>
      <c r="H423">
        <f t="shared" ca="1" si="84"/>
        <v>3839.4</v>
      </c>
      <c r="I423">
        <f t="shared" ca="1" si="85"/>
        <v>1</v>
      </c>
      <c r="J423">
        <f t="shared" ca="1" si="86"/>
        <v>1</v>
      </c>
      <c r="K423">
        <f t="shared" ca="1" si="87"/>
        <v>0</v>
      </c>
      <c r="L423">
        <f t="shared" ca="1" si="88"/>
        <v>0</v>
      </c>
      <c r="M423">
        <f t="shared" ca="1" si="89"/>
        <v>2</v>
      </c>
      <c r="N423">
        <f t="shared" ca="1" si="90"/>
        <v>0</v>
      </c>
    </row>
    <row r="424" spans="1:14" x14ac:dyDescent="0.35">
      <c r="A424" t="s">
        <v>441</v>
      </c>
      <c r="B424" t="str">
        <f t="shared" si="78"/>
        <v>Control</v>
      </c>
      <c r="C424">
        <f t="shared" ca="1" si="79"/>
        <v>28</v>
      </c>
      <c r="D424" t="str">
        <f t="shared" ca="1" si="80"/>
        <v>Female</v>
      </c>
      <c r="E424" t="str">
        <f t="shared" ca="1" si="81"/>
        <v>Tops</v>
      </c>
      <c r="F424">
        <f t="shared" ca="1" si="82"/>
        <v>2850</v>
      </c>
      <c r="G424">
        <f t="shared" ca="1" si="83"/>
        <v>10</v>
      </c>
      <c r="H424">
        <f t="shared" ca="1" si="84"/>
        <v>2565</v>
      </c>
      <c r="I424">
        <f t="shared" ca="1" si="85"/>
        <v>1</v>
      </c>
      <c r="J424">
        <f t="shared" ca="1" si="86"/>
        <v>1</v>
      </c>
      <c r="K424">
        <f t="shared" ca="1" si="87"/>
        <v>0</v>
      </c>
      <c r="L424">
        <f t="shared" ca="1" si="88"/>
        <v>0</v>
      </c>
      <c r="M424">
        <f t="shared" ca="1" si="89"/>
        <v>7</v>
      </c>
      <c r="N424">
        <f t="shared" ca="1" si="90"/>
        <v>0</v>
      </c>
    </row>
    <row r="425" spans="1:14" x14ac:dyDescent="0.35">
      <c r="A425" t="s">
        <v>442</v>
      </c>
      <c r="B425" t="str">
        <f t="shared" si="78"/>
        <v>Control</v>
      </c>
      <c r="C425">
        <f t="shared" ca="1" si="79"/>
        <v>37</v>
      </c>
      <c r="D425" t="str">
        <f t="shared" ca="1" si="80"/>
        <v>Female</v>
      </c>
      <c r="E425" t="str">
        <f t="shared" ca="1" si="81"/>
        <v>Ethnic Wear</v>
      </c>
      <c r="F425">
        <f t="shared" ca="1" si="82"/>
        <v>6644</v>
      </c>
      <c r="G425">
        <f t="shared" ca="1" si="83"/>
        <v>10</v>
      </c>
      <c r="H425">
        <f t="shared" ca="1" si="84"/>
        <v>5979.6</v>
      </c>
      <c r="I425">
        <f t="shared" ca="1" si="85"/>
        <v>1</v>
      </c>
      <c r="J425">
        <f t="shared" ca="1" si="86"/>
        <v>0</v>
      </c>
      <c r="K425">
        <f t="shared" ca="1" si="87"/>
        <v>0</v>
      </c>
      <c r="L425">
        <f t="shared" ca="1" si="88"/>
        <v>0</v>
      </c>
      <c r="M425">
        <f t="shared" ca="1" si="89"/>
        <v>1</v>
      </c>
      <c r="N425">
        <f t="shared" ca="1" si="90"/>
        <v>0</v>
      </c>
    </row>
    <row r="426" spans="1:14" x14ac:dyDescent="0.35">
      <c r="A426" t="s">
        <v>443</v>
      </c>
      <c r="B426" t="str">
        <f t="shared" si="78"/>
        <v>Control</v>
      </c>
      <c r="C426">
        <f t="shared" ca="1" si="79"/>
        <v>44</v>
      </c>
      <c r="D426" t="str">
        <f t="shared" ca="1" si="80"/>
        <v>Male</v>
      </c>
      <c r="E426" t="str">
        <f t="shared" ca="1" si="81"/>
        <v>Tops</v>
      </c>
      <c r="F426">
        <f t="shared" ca="1" si="82"/>
        <v>7497</v>
      </c>
      <c r="G426">
        <f t="shared" ca="1" si="83"/>
        <v>10</v>
      </c>
      <c r="H426">
        <f t="shared" ca="1" si="84"/>
        <v>6747.3</v>
      </c>
      <c r="I426">
        <f t="shared" ca="1" si="85"/>
        <v>1</v>
      </c>
      <c r="J426">
        <f t="shared" ca="1" si="86"/>
        <v>1</v>
      </c>
      <c r="K426">
        <f t="shared" ca="1" si="87"/>
        <v>0</v>
      </c>
      <c r="L426">
        <f t="shared" ca="1" si="88"/>
        <v>0</v>
      </c>
      <c r="M426">
        <f t="shared" ca="1" si="89"/>
        <v>7</v>
      </c>
      <c r="N426">
        <f t="shared" ca="1" si="90"/>
        <v>0</v>
      </c>
    </row>
    <row r="427" spans="1:14" x14ac:dyDescent="0.35">
      <c r="A427" t="s">
        <v>444</v>
      </c>
      <c r="B427" t="str">
        <f t="shared" si="78"/>
        <v>Control</v>
      </c>
      <c r="C427">
        <f t="shared" ca="1" si="79"/>
        <v>40</v>
      </c>
      <c r="D427" t="str">
        <f t="shared" ca="1" si="80"/>
        <v>Male</v>
      </c>
      <c r="E427" t="str">
        <f t="shared" ca="1" si="81"/>
        <v>T-shirts</v>
      </c>
      <c r="F427">
        <f t="shared" ca="1" si="82"/>
        <v>2197</v>
      </c>
      <c r="G427">
        <f t="shared" ca="1" si="83"/>
        <v>10</v>
      </c>
      <c r="H427">
        <f t="shared" ca="1" si="84"/>
        <v>1977.3</v>
      </c>
      <c r="I427">
        <f t="shared" ca="1" si="85"/>
        <v>0</v>
      </c>
      <c r="J427">
        <f t="shared" ca="1" si="86"/>
        <v>0</v>
      </c>
      <c r="K427">
        <f t="shared" ca="1" si="87"/>
        <v>0</v>
      </c>
      <c r="L427">
        <f t="shared" ca="1" si="88"/>
        <v>0</v>
      </c>
      <c r="M427">
        <f t="shared" ca="1" si="89"/>
        <v>4</v>
      </c>
      <c r="N427">
        <f t="shared" ca="1" si="90"/>
        <v>0</v>
      </c>
    </row>
    <row r="428" spans="1:14" x14ac:dyDescent="0.35">
      <c r="A428" t="s">
        <v>445</v>
      </c>
      <c r="B428" t="str">
        <f t="shared" si="78"/>
        <v>Control</v>
      </c>
      <c r="C428">
        <f t="shared" ca="1" si="79"/>
        <v>25</v>
      </c>
      <c r="D428" t="str">
        <f t="shared" ca="1" si="80"/>
        <v>Male</v>
      </c>
      <c r="E428" t="str">
        <f t="shared" ca="1" si="81"/>
        <v>Tops</v>
      </c>
      <c r="F428">
        <f t="shared" ca="1" si="82"/>
        <v>5554</v>
      </c>
      <c r="G428">
        <f t="shared" ca="1" si="83"/>
        <v>10</v>
      </c>
      <c r="H428">
        <f t="shared" ca="1" si="84"/>
        <v>4998.6000000000004</v>
      </c>
      <c r="I428">
        <f t="shared" ca="1" si="85"/>
        <v>1</v>
      </c>
      <c r="J428">
        <f t="shared" ca="1" si="86"/>
        <v>0</v>
      </c>
      <c r="K428">
        <f t="shared" ca="1" si="87"/>
        <v>0</v>
      </c>
      <c r="L428">
        <f t="shared" ca="1" si="88"/>
        <v>0</v>
      </c>
      <c r="M428">
        <f t="shared" ca="1" si="89"/>
        <v>2</v>
      </c>
      <c r="N428">
        <f t="shared" ca="1" si="90"/>
        <v>0</v>
      </c>
    </row>
    <row r="429" spans="1:14" x14ac:dyDescent="0.35">
      <c r="A429" t="s">
        <v>446</v>
      </c>
      <c r="B429" t="str">
        <f t="shared" si="78"/>
        <v>Control</v>
      </c>
      <c r="C429">
        <f t="shared" ca="1" si="79"/>
        <v>34</v>
      </c>
      <c r="D429" t="str">
        <f t="shared" ca="1" si="80"/>
        <v>Female</v>
      </c>
      <c r="E429" t="str">
        <f t="shared" ca="1" si="81"/>
        <v>Sportswear</v>
      </c>
      <c r="F429">
        <f t="shared" ca="1" si="82"/>
        <v>850</v>
      </c>
      <c r="G429">
        <f t="shared" ca="1" si="83"/>
        <v>10</v>
      </c>
      <c r="H429">
        <f t="shared" ca="1" si="84"/>
        <v>765</v>
      </c>
      <c r="I429">
        <f t="shared" ca="1" si="85"/>
        <v>1</v>
      </c>
      <c r="J429">
        <f t="shared" ca="1" si="86"/>
        <v>0</v>
      </c>
      <c r="K429">
        <f t="shared" ca="1" si="87"/>
        <v>0</v>
      </c>
      <c r="L429">
        <f t="shared" ca="1" si="88"/>
        <v>0</v>
      </c>
      <c r="M429">
        <f t="shared" ca="1" si="89"/>
        <v>6</v>
      </c>
      <c r="N429">
        <f t="shared" ca="1" si="90"/>
        <v>0</v>
      </c>
    </row>
    <row r="430" spans="1:14" x14ac:dyDescent="0.35">
      <c r="A430" t="s">
        <v>447</v>
      </c>
      <c r="B430" t="str">
        <f t="shared" si="78"/>
        <v>Control</v>
      </c>
      <c r="C430">
        <f t="shared" ca="1" si="79"/>
        <v>28</v>
      </c>
      <c r="D430" t="str">
        <f t="shared" ca="1" si="80"/>
        <v>Male</v>
      </c>
      <c r="E430" t="str">
        <f t="shared" ca="1" si="81"/>
        <v>Dresses</v>
      </c>
      <c r="F430">
        <f t="shared" ca="1" si="82"/>
        <v>4323</v>
      </c>
      <c r="G430">
        <f t="shared" ca="1" si="83"/>
        <v>10</v>
      </c>
      <c r="H430">
        <f t="shared" ca="1" si="84"/>
        <v>3890.7000000000003</v>
      </c>
      <c r="I430">
        <f t="shared" ca="1" si="85"/>
        <v>1</v>
      </c>
      <c r="J430">
        <f t="shared" ca="1" si="86"/>
        <v>1</v>
      </c>
      <c r="K430">
        <f t="shared" ca="1" si="87"/>
        <v>1</v>
      </c>
      <c r="L430">
        <f t="shared" ca="1" si="88"/>
        <v>3890.7000000000003</v>
      </c>
      <c r="M430">
        <f t="shared" ca="1" si="89"/>
        <v>5</v>
      </c>
      <c r="N430">
        <f t="shared" ca="1" si="90"/>
        <v>1</v>
      </c>
    </row>
    <row r="431" spans="1:14" x14ac:dyDescent="0.35">
      <c r="A431" t="s">
        <v>448</v>
      </c>
      <c r="B431" t="str">
        <f t="shared" si="78"/>
        <v>Control</v>
      </c>
      <c r="C431">
        <f t="shared" ca="1" si="79"/>
        <v>42</v>
      </c>
      <c r="D431" t="str">
        <f t="shared" ca="1" si="80"/>
        <v>Other</v>
      </c>
      <c r="E431" t="str">
        <f t="shared" ca="1" si="81"/>
        <v>Shoes</v>
      </c>
      <c r="F431">
        <f t="shared" ca="1" si="82"/>
        <v>1783</v>
      </c>
      <c r="G431">
        <f t="shared" ca="1" si="83"/>
        <v>10</v>
      </c>
      <c r="H431">
        <f t="shared" ca="1" si="84"/>
        <v>1604.7</v>
      </c>
      <c r="I431">
        <f t="shared" ca="1" si="85"/>
        <v>1</v>
      </c>
      <c r="J431">
        <f t="shared" ca="1" si="86"/>
        <v>1</v>
      </c>
      <c r="K431">
        <f t="shared" ca="1" si="87"/>
        <v>0</v>
      </c>
      <c r="L431">
        <f t="shared" ca="1" si="88"/>
        <v>0</v>
      </c>
      <c r="M431">
        <f t="shared" ca="1" si="89"/>
        <v>4</v>
      </c>
      <c r="N431">
        <f t="shared" ca="1" si="90"/>
        <v>0</v>
      </c>
    </row>
    <row r="432" spans="1:14" x14ac:dyDescent="0.35">
      <c r="A432" t="s">
        <v>449</v>
      </c>
      <c r="B432" t="str">
        <f t="shared" si="78"/>
        <v>Control</v>
      </c>
      <c r="C432">
        <f t="shared" ca="1" si="79"/>
        <v>39</v>
      </c>
      <c r="D432" t="str">
        <f t="shared" ca="1" si="80"/>
        <v>Female</v>
      </c>
      <c r="E432" t="str">
        <f t="shared" ca="1" si="81"/>
        <v>T-shirts</v>
      </c>
      <c r="F432">
        <f t="shared" ca="1" si="82"/>
        <v>2393</v>
      </c>
      <c r="G432">
        <f t="shared" ca="1" si="83"/>
        <v>10</v>
      </c>
      <c r="H432">
        <f t="shared" ca="1" si="84"/>
        <v>2153.7000000000003</v>
      </c>
      <c r="I432">
        <f t="shared" ca="1" si="85"/>
        <v>1</v>
      </c>
      <c r="J432">
        <f t="shared" ca="1" si="86"/>
        <v>1</v>
      </c>
      <c r="K432">
        <f t="shared" ca="1" si="87"/>
        <v>0</v>
      </c>
      <c r="L432">
        <f t="shared" ca="1" si="88"/>
        <v>0</v>
      </c>
      <c r="M432">
        <f t="shared" ca="1" si="89"/>
        <v>4</v>
      </c>
      <c r="N432">
        <f t="shared" ca="1" si="90"/>
        <v>0</v>
      </c>
    </row>
    <row r="433" spans="1:14" x14ac:dyDescent="0.35">
      <c r="A433" t="s">
        <v>450</v>
      </c>
      <c r="B433" t="str">
        <f t="shared" si="78"/>
        <v>Control</v>
      </c>
      <c r="C433">
        <f t="shared" ca="1" si="79"/>
        <v>29</v>
      </c>
      <c r="D433" t="str">
        <f t="shared" ca="1" si="80"/>
        <v>Female</v>
      </c>
      <c r="E433" t="str">
        <f t="shared" ca="1" si="81"/>
        <v>Sportswear</v>
      </c>
      <c r="F433">
        <f t="shared" ca="1" si="82"/>
        <v>5667</v>
      </c>
      <c r="G433">
        <f t="shared" ca="1" si="83"/>
        <v>10</v>
      </c>
      <c r="H433">
        <f t="shared" ca="1" si="84"/>
        <v>5100.3</v>
      </c>
      <c r="I433">
        <f t="shared" ca="1" si="85"/>
        <v>0</v>
      </c>
      <c r="J433">
        <f t="shared" ca="1" si="86"/>
        <v>0</v>
      </c>
      <c r="K433">
        <f t="shared" ca="1" si="87"/>
        <v>0</v>
      </c>
      <c r="L433">
        <f t="shared" ca="1" si="88"/>
        <v>0</v>
      </c>
      <c r="M433">
        <f t="shared" ca="1" si="89"/>
        <v>5</v>
      </c>
      <c r="N433">
        <f t="shared" ca="1" si="90"/>
        <v>0</v>
      </c>
    </row>
    <row r="434" spans="1:14" x14ac:dyDescent="0.35">
      <c r="A434" t="s">
        <v>451</v>
      </c>
      <c r="B434" t="str">
        <f t="shared" si="78"/>
        <v>Control</v>
      </c>
      <c r="C434">
        <f t="shared" ca="1" si="79"/>
        <v>35</v>
      </c>
      <c r="D434" t="str">
        <f t="shared" ca="1" si="80"/>
        <v>Male</v>
      </c>
      <c r="E434" t="str">
        <f t="shared" ca="1" si="81"/>
        <v>Ethnic Wear</v>
      </c>
      <c r="F434">
        <f t="shared" ca="1" si="82"/>
        <v>7709</v>
      </c>
      <c r="G434">
        <f t="shared" ca="1" si="83"/>
        <v>10</v>
      </c>
      <c r="H434">
        <f t="shared" ca="1" si="84"/>
        <v>6938.1</v>
      </c>
      <c r="I434">
        <f t="shared" ca="1" si="85"/>
        <v>1</v>
      </c>
      <c r="J434">
        <f t="shared" ca="1" si="86"/>
        <v>1</v>
      </c>
      <c r="K434">
        <f t="shared" ca="1" si="87"/>
        <v>0</v>
      </c>
      <c r="L434">
        <f t="shared" ca="1" si="88"/>
        <v>0</v>
      </c>
      <c r="M434">
        <f t="shared" ca="1" si="89"/>
        <v>3</v>
      </c>
      <c r="N434">
        <f t="shared" ca="1" si="90"/>
        <v>0</v>
      </c>
    </row>
    <row r="435" spans="1:14" x14ac:dyDescent="0.35">
      <c r="A435" t="s">
        <v>452</v>
      </c>
      <c r="B435" t="str">
        <f t="shared" si="78"/>
        <v>Control</v>
      </c>
      <c r="C435">
        <f t="shared" ca="1" si="79"/>
        <v>23</v>
      </c>
      <c r="D435" t="str">
        <f t="shared" ca="1" si="80"/>
        <v>Female</v>
      </c>
      <c r="E435" t="str">
        <f t="shared" ca="1" si="81"/>
        <v>Sportswear</v>
      </c>
      <c r="F435">
        <f t="shared" ca="1" si="82"/>
        <v>3366</v>
      </c>
      <c r="G435">
        <f t="shared" ca="1" si="83"/>
        <v>10</v>
      </c>
      <c r="H435">
        <f t="shared" ca="1" si="84"/>
        <v>3029.4</v>
      </c>
      <c r="I435">
        <f t="shared" ca="1" si="85"/>
        <v>1</v>
      </c>
      <c r="J435">
        <f t="shared" ca="1" si="86"/>
        <v>1</v>
      </c>
      <c r="K435">
        <f t="shared" ca="1" si="87"/>
        <v>0</v>
      </c>
      <c r="L435">
        <f t="shared" ca="1" si="88"/>
        <v>0</v>
      </c>
      <c r="M435">
        <f t="shared" ca="1" si="89"/>
        <v>3</v>
      </c>
      <c r="N435">
        <f t="shared" ca="1" si="90"/>
        <v>0</v>
      </c>
    </row>
    <row r="436" spans="1:14" x14ac:dyDescent="0.35">
      <c r="A436" t="s">
        <v>453</v>
      </c>
      <c r="B436" t="str">
        <f t="shared" si="78"/>
        <v>Control</v>
      </c>
      <c r="C436">
        <f t="shared" ca="1" si="79"/>
        <v>28</v>
      </c>
      <c r="D436" t="str">
        <f t="shared" ca="1" si="80"/>
        <v>Male</v>
      </c>
      <c r="E436" t="str">
        <f t="shared" ca="1" si="81"/>
        <v>Dresses</v>
      </c>
      <c r="F436">
        <f t="shared" ca="1" si="82"/>
        <v>523</v>
      </c>
      <c r="G436">
        <f t="shared" ca="1" si="83"/>
        <v>10</v>
      </c>
      <c r="H436">
        <f t="shared" ca="1" si="84"/>
        <v>470.7</v>
      </c>
      <c r="I436">
        <f t="shared" ca="1" si="85"/>
        <v>0</v>
      </c>
      <c r="J436">
        <f t="shared" ca="1" si="86"/>
        <v>0</v>
      </c>
      <c r="K436">
        <f t="shared" ca="1" si="87"/>
        <v>0</v>
      </c>
      <c r="L436">
        <f t="shared" ca="1" si="88"/>
        <v>0</v>
      </c>
      <c r="M436">
        <f t="shared" ca="1" si="89"/>
        <v>5</v>
      </c>
      <c r="N436">
        <f t="shared" ca="1" si="90"/>
        <v>0</v>
      </c>
    </row>
    <row r="437" spans="1:14" x14ac:dyDescent="0.35">
      <c r="A437" t="s">
        <v>454</v>
      </c>
      <c r="B437" t="str">
        <f t="shared" si="78"/>
        <v>Control</v>
      </c>
      <c r="C437">
        <f t="shared" ca="1" si="79"/>
        <v>38</v>
      </c>
      <c r="D437" t="str">
        <f t="shared" ca="1" si="80"/>
        <v>Male</v>
      </c>
      <c r="E437" t="str">
        <f t="shared" ca="1" si="81"/>
        <v>Dresses</v>
      </c>
      <c r="F437">
        <f t="shared" ca="1" si="82"/>
        <v>3181</v>
      </c>
      <c r="G437">
        <f t="shared" ca="1" si="83"/>
        <v>10</v>
      </c>
      <c r="H437">
        <f t="shared" ca="1" si="84"/>
        <v>2862.9</v>
      </c>
      <c r="I437">
        <f t="shared" ca="1" si="85"/>
        <v>0</v>
      </c>
      <c r="J437">
        <f t="shared" ca="1" si="86"/>
        <v>0</v>
      </c>
      <c r="K437">
        <f t="shared" ca="1" si="87"/>
        <v>0</v>
      </c>
      <c r="L437">
        <f t="shared" ca="1" si="88"/>
        <v>0</v>
      </c>
      <c r="M437">
        <f t="shared" ca="1" si="89"/>
        <v>3</v>
      </c>
      <c r="N437">
        <f t="shared" ca="1" si="90"/>
        <v>0</v>
      </c>
    </row>
    <row r="438" spans="1:14" x14ac:dyDescent="0.35">
      <c r="A438" t="s">
        <v>455</v>
      </c>
      <c r="B438" t="str">
        <f t="shared" si="78"/>
        <v>Control</v>
      </c>
      <c r="C438">
        <f t="shared" ca="1" si="79"/>
        <v>22</v>
      </c>
      <c r="D438" t="str">
        <f t="shared" ca="1" si="80"/>
        <v>Male</v>
      </c>
      <c r="E438" t="str">
        <f t="shared" ca="1" si="81"/>
        <v>Shoes</v>
      </c>
      <c r="F438">
        <f t="shared" ca="1" si="82"/>
        <v>4726</v>
      </c>
      <c r="G438">
        <f t="shared" ca="1" si="83"/>
        <v>10</v>
      </c>
      <c r="H438">
        <f t="shared" ca="1" si="84"/>
        <v>4253.4000000000005</v>
      </c>
      <c r="I438">
        <f t="shared" ca="1" si="85"/>
        <v>1</v>
      </c>
      <c r="J438">
        <f t="shared" ca="1" si="86"/>
        <v>0</v>
      </c>
      <c r="K438">
        <f t="shared" ca="1" si="87"/>
        <v>0</v>
      </c>
      <c r="L438">
        <f t="shared" ca="1" si="88"/>
        <v>0</v>
      </c>
      <c r="M438">
        <f t="shared" ca="1" si="89"/>
        <v>2</v>
      </c>
      <c r="N438">
        <f t="shared" ca="1" si="90"/>
        <v>0</v>
      </c>
    </row>
    <row r="439" spans="1:14" x14ac:dyDescent="0.35">
      <c r="A439" t="s">
        <v>456</v>
      </c>
      <c r="B439" t="str">
        <f t="shared" si="78"/>
        <v>Control</v>
      </c>
      <c r="C439">
        <f t="shared" ca="1" si="79"/>
        <v>25</v>
      </c>
      <c r="D439" t="str">
        <f t="shared" ca="1" si="80"/>
        <v>Male</v>
      </c>
      <c r="E439" t="str">
        <f t="shared" ca="1" si="81"/>
        <v>T-shirts</v>
      </c>
      <c r="F439">
        <f t="shared" ca="1" si="82"/>
        <v>5494</v>
      </c>
      <c r="G439">
        <f t="shared" ca="1" si="83"/>
        <v>10</v>
      </c>
      <c r="H439">
        <f t="shared" ca="1" si="84"/>
        <v>4944.6000000000004</v>
      </c>
      <c r="I439">
        <f t="shared" ca="1" si="85"/>
        <v>1</v>
      </c>
      <c r="J439">
        <f t="shared" ca="1" si="86"/>
        <v>1</v>
      </c>
      <c r="K439">
        <f t="shared" ca="1" si="87"/>
        <v>0</v>
      </c>
      <c r="L439">
        <f t="shared" ca="1" si="88"/>
        <v>0</v>
      </c>
      <c r="M439">
        <f t="shared" ca="1" si="89"/>
        <v>5</v>
      </c>
      <c r="N439">
        <f t="shared" ca="1" si="90"/>
        <v>0</v>
      </c>
    </row>
    <row r="440" spans="1:14" x14ac:dyDescent="0.35">
      <c r="A440" t="s">
        <v>457</v>
      </c>
      <c r="B440" t="str">
        <f t="shared" si="78"/>
        <v>Control</v>
      </c>
      <c r="C440">
        <f t="shared" ca="1" si="79"/>
        <v>29</v>
      </c>
      <c r="D440" t="str">
        <f t="shared" ca="1" si="80"/>
        <v>Male</v>
      </c>
      <c r="E440" t="str">
        <f t="shared" ca="1" si="81"/>
        <v>Ethnic Wear</v>
      </c>
      <c r="F440">
        <f t="shared" ca="1" si="82"/>
        <v>1873</v>
      </c>
      <c r="G440">
        <f t="shared" ca="1" si="83"/>
        <v>10</v>
      </c>
      <c r="H440">
        <f t="shared" ca="1" si="84"/>
        <v>1685.7</v>
      </c>
      <c r="I440">
        <f t="shared" ca="1" si="85"/>
        <v>1</v>
      </c>
      <c r="J440">
        <f t="shared" ca="1" si="86"/>
        <v>1</v>
      </c>
      <c r="K440">
        <f t="shared" ca="1" si="87"/>
        <v>1</v>
      </c>
      <c r="L440">
        <f t="shared" ca="1" si="88"/>
        <v>1685.7</v>
      </c>
      <c r="M440">
        <f t="shared" ca="1" si="89"/>
        <v>5</v>
      </c>
      <c r="N440">
        <f t="shared" ca="1" si="90"/>
        <v>0</v>
      </c>
    </row>
    <row r="441" spans="1:14" x14ac:dyDescent="0.35">
      <c r="A441" t="s">
        <v>458</v>
      </c>
      <c r="B441" t="str">
        <f t="shared" si="78"/>
        <v>Control</v>
      </c>
      <c r="C441">
        <f t="shared" ca="1" si="79"/>
        <v>38</v>
      </c>
      <c r="D441" t="str">
        <f t="shared" ca="1" si="80"/>
        <v>Male</v>
      </c>
      <c r="E441" t="str">
        <f t="shared" ca="1" si="81"/>
        <v>Shoes</v>
      </c>
      <c r="F441">
        <f t="shared" ca="1" si="82"/>
        <v>4548</v>
      </c>
      <c r="G441">
        <f t="shared" ca="1" si="83"/>
        <v>10</v>
      </c>
      <c r="H441">
        <f t="shared" ca="1" si="84"/>
        <v>4093.2000000000003</v>
      </c>
      <c r="I441">
        <f t="shared" ca="1" si="85"/>
        <v>1</v>
      </c>
      <c r="J441">
        <f t="shared" ca="1" si="86"/>
        <v>0</v>
      </c>
      <c r="K441">
        <f t="shared" ca="1" si="87"/>
        <v>0</v>
      </c>
      <c r="L441">
        <f t="shared" ca="1" si="88"/>
        <v>0</v>
      </c>
      <c r="M441">
        <f t="shared" ca="1" si="89"/>
        <v>6</v>
      </c>
      <c r="N441">
        <f t="shared" ca="1" si="90"/>
        <v>0</v>
      </c>
    </row>
    <row r="442" spans="1:14" x14ac:dyDescent="0.35">
      <c r="A442" t="s">
        <v>459</v>
      </c>
      <c r="B442" t="str">
        <f t="shared" si="78"/>
        <v>Control</v>
      </c>
      <c r="C442">
        <f t="shared" ca="1" si="79"/>
        <v>22</v>
      </c>
      <c r="D442" t="str">
        <f t="shared" ca="1" si="80"/>
        <v>Female</v>
      </c>
      <c r="E442" t="str">
        <f t="shared" ca="1" si="81"/>
        <v>Dresses</v>
      </c>
      <c r="F442">
        <f t="shared" ca="1" si="82"/>
        <v>7443</v>
      </c>
      <c r="G442">
        <f t="shared" ca="1" si="83"/>
        <v>10</v>
      </c>
      <c r="H442">
        <f t="shared" ca="1" si="84"/>
        <v>6698.7</v>
      </c>
      <c r="I442">
        <f t="shared" ca="1" si="85"/>
        <v>1</v>
      </c>
      <c r="J442">
        <f t="shared" ca="1" si="86"/>
        <v>1</v>
      </c>
      <c r="K442">
        <f t="shared" ca="1" si="87"/>
        <v>1</v>
      </c>
      <c r="L442">
        <f t="shared" ca="1" si="88"/>
        <v>6698.7</v>
      </c>
      <c r="M442">
        <f t="shared" ca="1" si="89"/>
        <v>1</v>
      </c>
      <c r="N442">
        <f t="shared" ca="1" si="90"/>
        <v>0</v>
      </c>
    </row>
    <row r="443" spans="1:14" x14ac:dyDescent="0.35">
      <c r="A443" t="s">
        <v>460</v>
      </c>
      <c r="B443" t="str">
        <f t="shared" si="78"/>
        <v>Control</v>
      </c>
      <c r="C443">
        <f t="shared" ca="1" si="79"/>
        <v>36</v>
      </c>
      <c r="D443" t="str">
        <f t="shared" ca="1" si="80"/>
        <v>Female</v>
      </c>
      <c r="E443" t="str">
        <f t="shared" ca="1" si="81"/>
        <v>Shoes</v>
      </c>
      <c r="F443">
        <f t="shared" ca="1" si="82"/>
        <v>1084</v>
      </c>
      <c r="G443">
        <f t="shared" ca="1" si="83"/>
        <v>10</v>
      </c>
      <c r="H443">
        <f t="shared" ca="1" si="84"/>
        <v>975.6</v>
      </c>
      <c r="I443">
        <f t="shared" ca="1" si="85"/>
        <v>1</v>
      </c>
      <c r="J443">
        <f t="shared" ca="1" si="86"/>
        <v>0</v>
      </c>
      <c r="K443">
        <f t="shared" ca="1" si="87"/>
        <v>0</v>
      </c>
      <c r="L443">
        <f t="shared" ca="1" si="88"/>
        <v>0</v>
      </c>
      <c r="M443">
        <f t="shared" ca="1" si="89"/>
        <v>2</v>
      </c>
      <c r="N443">
        <f t="shared" ca="1" si="90"/>
        <v>0</v>
      </c>
    </row>
    <row r="444" spans="1:14" x14ac:dyDescent="0.35">
      <c r="A444" t="s">
        <v>461</v>
      </c>
      <c r="B444" t="str">
        <f t="shared" si="78"/>
        <v>Control</v>
      </c>
      <c r="C444">
        <f t="shared" ca="1" si="79"/>
        <v>36</v>
      </c>
      <c r="D444" t="str">
        <f t="shared" ca="1" si="80"/>
        <v>Male</v>
      </c>
      <c r="E444" t="str">
        <f t="shared" ca="1" si="81"/>
        <v>Jeans</v>
      </c>
      <c r="F444">
        <f t="shared" ca="1" si="82"/>
        <v>7678</v>
      </c>
      <c r="G444">
        <f t="shared" ca="1" si="83"/>
        <v>10</v>
      </c>
      <c r="H444">
        <f t="shared" ca="1" si="84"/>
        <v>6910.2</v>
      </c>
      <c r="I444">
        <f t="shared" ca="1" si="85"/>
        <v>0</v>
      </c>
      <c r="J444">
        <f t="shared" ca="1" si="86"/>
        <v>0</v>
      </c>
      <c r="K444">
        <f t="shared" ca="1" si="87"/>
        <v>0</v>
      </c>
      <c r="L444">
        <f t="shared" ca="1" si="88"/>
        <v>0</v>
      </c>
      <c r="M444">
        <f t="shared" ca="1" si="89"/>
        <v>7</v>
      </c>
      <c r="N444">
        <f t="shared" ca="1" si="90"/>
        <v>0</v>
      </c>
    </row>
    <row r="445" spans="1:14" x14ac:dyDescent="0.35">
      <c r="A445" t="s">
        <v>462</v>
      </c>
      <c r="B445" t="str">
        <f t="shared" si="78"/>
        <v>Control</v>
      </c>
      <c r="C445">
        <f t="shared" ca="1" si="79"/>
        <v>26</v>
      </c>
      <c r="D445" t="str">
        <f t="shared" ca="1" si="80"/>
        <v>Male</v>
      </c>
      <c r="E445" t="str">
        <f t="shared" ca="1" si="81"/>
        <v>Tops</v>
      </c>
      <c r="F445">
        <f t="shared" ca="1" si="82"/>
        <v>7555</v>
      </c>
      <c r="G445">
        <f t="shared" ca="1" si="83"/>
        <v>10</v>
      </c>
      <c r="H445">
        <f t="shared" ca="1" si="84"/>
        <v>6799.5</v>
      </c>
      <c r="I445">
        <f t="shared" ca="1" si="85"/>
        <v>1</v>
      </c>
      <c r="J445">
        <f t="shared" ca="1" si="86"/>
        <v>1</v>
      </c>
      <c r="K445">
        <f t="shared" ca="1" si="87"/>
        <v>0</v>
      </c>
      <c r="L445">
        <f t="shared" ca="1" si="88"/>
        <v>0</v>
      </c>
      <c r="M445">
        <f t="shared" ca="1" si="89"/>
        <v>4</v>
      </c>
      <c r="N445">
        <f t="shared" ca="1" si="90"/>
        <v>0</v>
      </c>
    </row>
    <row r="446" spans="1:14" x14ac:dyDescent="0.35">
      <c r="A446" t="s">
        <v>463</v>
      </c>
      <c r="B446" t="str">
        <f t="shared" si="78"/>
        <v>Control</v>
      </c>
      <c r="C446">
        <f t="shared" ca="1" si="79"/>
        <v>18</v>
      </c>
      <c r="D446" t="str">
        <f t="shared" ca="1" si="80"/>
        <v>Female</v>
      </c>
      <c r="E446" t="str">
        <f t="shared" ca="1" si="81"/>
        <v>T-shirts</v>
      </c>
      <c r="F446">
        <f t="shared" ca="1" si="82"/>
        <v>6331</v>
      </c>
      <c r="G446">
        <f t="shared" ca="1" si="83"/>
        <v>10</v>
      </c>
      <c r="H446">
        <f t="shared" ca="1" si="84"/>
        <v>5697.9000000000005</v>
      </c>
      <c r="I446">
        <f t="shared" ca="1" si="85"/>
        <v>1</v>
      </c>
      <c r="J446">
        <f t="shared" ca="1" si="86"/>
        <v>1</v>
      </c>
      <c r="K446">
        <f t="shared" ca="1" si="87"/>
        <v>0</v>
      </c>
      <c r="L446">
        <f t="shared" ca="1" si="88"/>
        <v>0</v>
      </c>
      <c r="M446">
        <f t="shared" ca="1" si="89"/>
        <v>6</v>
      </c>
      <c r="N446">
        <f t="shared" ca="1" si="90"/>
        <v>0</v>
      </c>
    </row>
    <row r="447" spans="1:14" x14ac:dyDescent="0.35">
      <c r="A447" t="s">
        <v>464</v>
      </c>
      <c r="B447" t="str">
        <f t="shared" si="78"/>
        <v>Control</v>
      </c>
      <c r="C447">
        <f t="shared" ca="1" si="79"/>
        <v>25</v>
      </c>
      <c r="D447" t="str">
        <f t="shared" ca="1" si="80"/>
        <v>Male</v>
      </c>
      <c r="E447" t="str">
        <f t="shared" ca="1" si="81"/>
        <v>Ethnic Wear</v>
      </c>
      <c r="F447">
        <f t="shared" ca="1" si="82"/>
        <v>667</v>
      </c>
      <c r="G447">
        <f t="shared" ca="1" si="83"/>
        <v>10</v>
      </c>
      <c r="H447">
        <f t="shared" ca="1" si="84"/>
        <v>600.30000000000007</v>
      </c>
      <c r="I447">
        <f t="shared" ca="1" si="85"/>
        <v>1</v>
      </c>
      <c r="J447">
        <f t="shared" ca="1" si="86"/>
        <v>0</v>
      </c>
      <c r="K447">
        <f t="shared" ca="1" si="87"/>
        <v>0</v>
      </c>
      <c r="L447">
        <f t="shared" ca="1" si="88"/>
        <v>0</v>
      </c>
      <c r="M447">
        <f t="shared" ca="1" si="89"/>
        <v>1</v>
      </c>
      <c r="N447">
        <f t="shared" ca="1" si="90"/>
        <v>0</v>
      </c>
    </row>
    <row r="448" spans="1:14" x14ac:dyDescent="0.35">
      <c r="A448" t="s">
        <v>465</v>
      </c>
      <c r="B448" t="str">
        <f t="shared" si="78"/>
        <v>Control</v>
      </c>
      <c r="C448">
        <f t="shared" ca="1" si="79"/>
        <v>30</v>
      </c>
      <c r="D448" t="str">
        <f t="shared" ca="1" si="80"/>
        <v>Male</v>
      </c>
      <c r="E448" t="str">
        <f t="shared" ca="1" si="81"/>
        <v>T-shirts</v>
      </c>
      <c r="F448">
        <f t="shared" ca="1" si="82"/>
        <v>2232</v>
      </c>
      <c r="G448">
        <f t="shared" ca="1" si="83"/>
        <v>10</v>
      </c>
      <c r="H448">
        <f t="shared" ca="1" si="84"/>
        <v>2008.8</v>
      </c>
      <c r="I448">
        <f t="shared" ca="1" si="85"/>
        <v>1</v>
      </c>
      <c r="J448">
        <f t="shared" ca="1" si="86"/>
        <v>0</v>
      </c>
      <c r="K448">
        <f t="shared" ca="1" si="87"/>
        <v>0</v>
      </c>
      <c r="L448">
        <f t="shared" ca="1" si="88"/>
        <v>0</v>
      </c>
      <c r="M448">
        <f t="shared" ca="1" si="89"/>
        <v>5</v>
      </c>
      <c r="N448">
        <f t="shared" ca="1" si="90"/>
        <v>0</v>
      </c>
    </row>
    <row r="449" spans="1:14" x14ac:dyDescent="0.35">
      <c r="A449" t="s">
        <v>466</v>
      </c>
      <c r="B449" t="str">
        <f t="shared" si="78"/>
        <v>Control</v>
      </c>
      <c r="C449">
        <f t="shared" ca="1" si="79"/>
        <v>19</v>
      </c>
      <c r="D449" t="str">
        <f t="shared" ca="1" si="80"/>
        <v>Other</v>
      </c>
      <c r="E449" t="str">
        <f t="shared" ca="1" si="81"/>
        <v>T-shirts</v>
      </c>
      <c r="F449">
        <f t="shared" ca="1" si="82"/>
        <v>3036</v>
      </c>
      <c r="G449">
        <f t="shared" ca="1" si="83"/>
        <v>10</v>
      </c>
      <c r="H449">
        <f t="shared" ca="1" si="84"/>
        <v>2732.4</v>
      </c>
      <c r="I449">
        <f t="shared" ca="1" si="85"/>
        <v>1</v>
      </c>
      <c r="J449">
        <f t="shared" ca="1" si="86"/>
        <v>0</v>
      </c>
      <c r="K449">
        <f t="shared" ca="1" si="87"/>
        <v>0</v>
      </c>
      <c r="L449">
        <f t="shared" ca="1" si="88"/>
        <v>0</v>
      </c>
      <c r="M449">
        <f t="shared" ca="1" si="89"/>
        <v>4</v>
      </c>
      <c r="N449">
        <f t="shared" ca="1" si="90"/>
        <v>0</v>
      </c>
    </row>
    <row r="450" spans="1:14" x14ac:dyDescent="0.35">
      <c r="A450" t="s">
        <v>467</v>
      </c>
      <c r="B450" t="str">
        <f t="shared" si="78"/>
        <v>Control</v>
      </c>
      <c r="C450">
        <f t="shared" ca="1" si="79"/>
        <v>43</v>
      </c>
      <c r="D450" t="str">
        <f t="shared" ca="1" si="80"/>
        <v>Other</v>
      </c>
      <c r="E450" t="str">
        <f t="shared" ca="1" si="81"/>
        <v>Jeans</v>
      </c>
      <c r="F450">
        <f t="shared" ca="1" si="82"/>
        <v>6962</v>
      </c>
      <c r="G450">
        <f t="shared" ca="1" si="83"/>
        <v>10</v>
      </c>
      <c r="H450">
        <f t="shared" ca="1" si="84"/>
        <v>6265.8</v>
      </c>
      <c r="I450">
        <f t="shared" ca="1" si="85"/>
        <v>1</v>
      </c>
      <c r="J450">
        <f t="shared" ca="1" si="86"/>
        <v>0</v>
      </c>
      <c r="K450">
        <f t="shared" ca="1" si="87"/>
        <v>0</v>
      </c>
      <c r="L450">
        <f t="shared" ca="1" si="88"/>
        <v>0</v>
      </c>
      <c r="M450">
        <f t="shared" ca="1" si="89"/>
        <v>4</v>
      </c>
      <c r="N450">
        <f t="shared" ca="1" si="90"/>
        <v>0</v>
      </c>
    </row>
    <row r="451" spans="1:14" x14ac:dyDescent="0.35">
      <c r="A451" t="s">
        <v>468</v>
      </c>
      <c r="B451" t="str">
        <f t="shared" si="78"/>
        <v>Control</v>
      </c>
      <c r="C451">
        <f t="shared" ca="1" si="79"/>
        <v>27</v>
      </c>
      <c r="D451" t="str">
        <f t="shared" ca="1" si="80"/>
        <v>Female</v>
      </c>
      <c r="E451" t="str">
        <f t="shared" ca="1" si="81"/>
        <v>T-shirts</v>
      </c>
      <c r="F451">
        <f t="shared" ca="1" si="82"/>
        <v>6576</v>
      </c>
      <c r="G451">
        <f t="shared" ca="1" si="83"/>
        <v>10</v>
      </c>
      <c r="H451">
        <f t="shared" ca="1" si="84"/>
        <v>5918.4000000000005</v>
      </c>
      <c r="I451">
        <f t="shared" ca="1" si="85"/>
        <v>1</v>
      </c>
      <c r="J451">
        <f t="shared" ca="1" si="86"/>
        <v>1</v>
      </c>
      <c r="K451">
        <f t="shared" ca="1" si="87"/>
        <v>0</v>
      </c>
      <c r="L451">
        <f t="shared" ca="1" si="88"/>
        <v>0</v>
      </c>
      <c r="M451">
        <f t="shared" ca="1" si="89"/>
        <v>1</v>
      </c>
      <c r="N451">
        <f t="shared" ca="1" si="90"/>
        <v>0</v>
      </c>
    </row>
    <row r="452" spans="1:14" x14ac:dyDescent="0.35">
      <c r="A452" t="s">
        <v>469</v>
      </c>
      <c r="B452" t="str">
        <f t="shared" si="78"/>
        <v>Control</v>
      </c>
      <c r="C452">
        <f t="shared" ca="1" si="79"/>
        <v>30</v>
      </c>
      <c r="D452" t="str">
        <f t="shared" ca="1" si="80"/>
        <v>Male</v>
      </c>
      <c r="E452" t="str">
        <f t="shared" ca="1" si="81"/>
        <v>Tops</v>
      </c>
      <c r="F452">
        <f t="shared" ca="1" si="82"/>
        <v>6324</v>
      </c>
      <c r="G452">
        <f t="shared" ca="1" si="83"/>
        <v>10</v>
      </c>
      <c r="H452">
        <f t="shared" ca="1" si="84"/>
        <v>5691.6</v>
      </c>
      <c r="I452">
        <f t="shared" ca="1" si="85"/>
        <v>0</v>
      </c>
      <c r="J452">
        <f t="shared" ca="1" si="86"/>
        <v>0</v>
      </c>
      <c r="K452">
        <f t="shared" ca="1" si="87"/>
        <v>0</v>
      </c>
      <c r="L452">
        <f t="shared" ca="1" si="88"/>
        <v>0</v>
      </c>
      <c r="M452">
        <f t="shared" ca="1" si="89"/>
        <v>1</v>
      </c>
      <c r="N452">
        <f t="shared" ca="1" si="90"/>
        <v>0</v>
      </c>
    </row>
    <row r="453" spans="1:14" x14ac:dyDescent="0.35">
      <c r="A453" t="s">
        <v>470</v>
      </c>
      <c r="B453" t="str">
        <f t="shared" ref="B453:B516" si="91">IF(ROW()&lt;=1001,"Control","Test")</f>
        <v>Control</v>
      </c>
      <c r="C453">
        <f t="shared" ref="C453:C516" ca="1" si="92">RANDBETWEEN(18,45)</f>
        <v>27</v>
      </c>
      <c r="D453" t="str">
        <f t="shared" ref="D453:D516" ca="1" si="93">CHOOSE(RANDBETWEEN(1,20),"Female","Female","Female","Female","Female","Female","Female","Female","Female","Female","Male","Male","Male","Male","Male","Male","Male","Male","Other","Other")</f>
        <v>Female</v>
      </c>
      <c r="E453" t="str">
        <f t="shared" ref="E453:E516" ca="1" si="94">CHOOSE(RANDBETWEEN(1,8),"T-shirts","Dresses","Jeans","Shoes","Ethnic Wear","Tops","Sportswear","Accessories")</f>
        <v>Dresses</v>
      </c>
      <c r="F453">
        <f t="shared" ref="F453:F516" ca="1" si="95">RANDBETWEEN(300,8000)</f>
        <v>5049</v>
      </c>
      <c r="G453">
        <f t="shared" ref="G453:G516" ca="1" si="96">IF(B453="Control",10,CHOOSE(RANDBETWEEN(1,3),15,20,25))</f>
        <v>10</v>
      </c>
      <c r="H453">
        <f t="shared" ref="H453:H516" ca="1" si="97">F453*(1-G453/100)</f>
        <v>4544.1000000000004</v>
      </c>
      <c r="I453">
        <f t="shared" ref="I453:I516" ca="1" si="98">IF(RAND()&lt;0.85,1,0)</f>
        <v>1</v>
      </c>
      <c r="J453">
        <f t="shared" ref="J453:J516" ca="1" si="99">IF(I453=1,IF(RAND()&lt;0.55,1,0),0)</f>
        <v>0</v>
      </c>
      <c r="K453">
        <f t="shared" ref="K453:K516" ca="1" si="100">IF(J453=1,IF(B453="Test",IF(RAND()&lt;0.4,1,0),IF(RAND()&lt;0.34,1,0)),0)</f>
        <v>0</v>
      </c>
      <c r="L453">
        <f t="shared" ref="L453:L516" ca="1" si="101">IF(K453=1,H453,0)</f>
        <v>0</v>
      </c>
      <c r="M453">
        <f t="shared" ref="M453:M516" ca="1" si="102">RANDBETWEEN(1,7)</f>
        <v>3</v>
      </c>
      <c r="N453">
        <f t="shared" ref="N453:N516" ca="1" si="103">IF(K453=1,IF(RAND()&lt;0.15,1,0),0)</f>
        <v>0</v>
      </c>
    </row>
    <row r="454" spans="1:14" x14ac:dyDescent="0.35">
      <c r="A454" t="s">
        <v>471</v>
      </c>
      <c r="B454" t="str">
        <f t="shared" si="91"/>
        <v>Control</v>
      </c>
      <c r="C454">
        <f t="shared" ca="1" si="92"/>
        <v>42</v>
      </c>
      <c r="D454" t="str">
        <f t="shared" ca="1" si="93"/>
        <v>Male</v>
      </c>
      <c r="E454" t="str">
        <f t="shared" ca="1" si="94"/>
        <v>Accessories</v>
      </c>
      <c r="F454">
        <f t="shared" ca="1" si="95"/>
        <v>6140</v>
      </c>
      <c r="G454">
        <f t="shared" ca="1" si="96"/>
        <v>10</v>
      </c>
      <c r="H454">
        <f t="shared" ca="1" si="97"/>
        <v>5526</v>
      </c>
      <c r="I454">
        <f t="shared" ca="1" si="98"/>
        <v>1</v>
      </c>
      <c r="J454">
        <f t="shared" ca="1" si="99"/>
        <v>0</v>
      </c>
      <c r="K454">
        <f t="shared" ca="1" si="100"/>
        <v>0</v>
      </c>
      <c r="L454">
        <f t="shared" ca="1" si="101"/>
        <v>0</v>
      </c>
      <c r="M454">
        <f t="shared" ca="1" si="102"/>
        <v>4</v>
      </c>
      <c r="N454">
        <f t="shared" ca="1" si="103"/>
        <v>0</v>
      </c>
    </row>
    <row r="455" spans="1:14" x14ac:dyDescent="0.35">
      <c r="A455" t="s">
        <v>472</v>
      </c>
      <c r="B455" t="str">
        <f t="shared" si="91"/>
        <v>Control</v>
      </c>
      <c r="C455">
        <f t="shared" ca="1" si="92"/>
        <v>29</v>
      </c>
      <c r="D455" t="str">
        <f t="shared" ca="1" si="93"/>
        <v>Other</v>
      </c>
      <c r="E455" t="str">
        <f t="shared" ca="1" si="94"/>
        <v>Dresses</v>
      </c>
      <c r="F455">
        <f t="shared" ca="1" si="95"/>
        <v>4708</v>
      </c>
      <c r="G455">
        <f t="shared" ca="1" si="96"/>
        <v>10</v>
      </c>
      <c r="H455">
        <f t="shared" ca="1" si="97"/>
        <v>4237.2</v>
      </c>
      <c r="I455">
        <f t="shared" ca="1" si="98"/>
        <v>1</v>
      </c>
      <c r="J455">
        <f t="shared" ca="1" si="99"/>
        <v>1</v>
      </c>
      <c r="K455">
        <f t="shared" ca="1" si="100"/>
        <v>0</v>
      </c>
      <c r="L455">
        <f t="shared" ca="1" si="101"/>
        <v>0</v>
      </c>
      <c r="M455">
        <f t="shared" ca="1" si="102"/>
        <v>1</v>
      </c>
      <c r="N455">
        <f t="shared" ca="1" si="103"/>
        <v>0</v>
      </c>
    </row>
    <row r="456" spans="1:14" x14ac:dyDescent="0.35">
      <c r="A456" t="s">
        <v>473</v>
      </c>
      <c r="B456" t="str">
        <f t="shared" si="91"/>
        <v>Control</v>
      </c>
      <c r="C456">
        <f t="shared" ca="1" si="92"/>
        <v>39</v>
      </c>
      <c r="D456" t="str">
        <f t="shared" ca="1" si="93"/>
        <v>Female</v>
      </c>
      <c r="E456" t="str">
        <f t="shared" ca="1" si="94"/>
        <v>Tops</v>
      </c>
      <c r="F456">
        <f t="shared" ca="1" si="95"/>
        <v>1888</v>
      </c>
      <c r="G456">
        <f t="shared" ca="1" si="96"/>
        <v>10</v>
      </c>
      <c r="H456">
        <f t="shared" ca="1" si="97"/>
        <v>1699.2</v>
      </c>
      <c r="I456">
        <f t="shared" ca="1" si="98"/>
        <v>0</v>
      </c>
      <c r="J456">
        <f t="shared" ca="1" si="99"/>
        <v>0</v>
      </c>
      <c r="K456">
        <f t="shared" ca="1" si="100"/>
        <v>0</v>
      </c>
      <c r="L456">
        <f t="shared" ca="1" si="101"/>
        <v>0</v>
      </c>
      <c r="M456">
        <f t="shared" ca="1" si="102"/>
        <v>6</v>
      </c>
      <c r="N456">
        <f t="shared" ca="1" si="103"/>
        <v>0</v>
      </c>
    </row>
    <row r="457" spans="1:14" x14ac:dyDescent="0.35">
      <c r="A457" t="s">
        <v>474</v>
      </c>
      <c r="B457" t="str">
        <f t="shared" si="91"/>
        <v>Control</v>
      </c>
      <c r="C457">
        <f t="shared" ca="1" si="92"/>
        <v>45</v>
      </c>
      <c r="D457" t="str">
        <f t="shared" ca="1" si="93"/>
        <v>Other</v>
      </c>
      <c r="E457" t="str">
        <f t="shared" ca="1" si="94"/>
        <v>Dresses</v>
      </c>
      <c r="F457">
        <f t="shared" ca="1" si="95"/>
        <v>3528</v>
      </c>
      <c r="G457">
        <f t="shared" ca="1" si="96"/>
        <v>10</v>
      </c>
      <c r="H457">
        <f t="shared" ca="1" si="97"/>
        <v>3175.2000000000003</v>
      </c>
      <c r="I457">
        <f t="shared" ca="1" si="98"/>
        <v>1</v>
      </c>
      <c r="J457">
        <f t="shared" ca="1" si="99"/>
        <v>0</v>
      </c>
      <c r="K457">
        <f t="shared" ca="1" si="100"/>
        <v>0</v>
      </c>
      <c r="L457">
        <f t="shared" ca="1" si="101"/>
        <v>0</v>
      </c>
      <c r="M457">
        <f t="shared" ca="1" si="102"/>
        <v>6</v>
      </c>
      <c r="N457">
        <f t="shared" ca="1" si="103"/>
        <v>0</v>
      </c>
    </row>
    <row r="458" spans="1:14" x14ac:dyDescent="0.35">
      <c r="A458" t="s">
        <v>475</v>
      </c>
      <c r="B458" t="str">
        <f t="shared" si="91"/>
        <v>Control</v>
      </c>
      <c r="C458">
        <f t="shared" ca="1" si="92"/>
        <v>24</v>
      </c>
      <c r="D458" t="str">
        <f t="shared" ca="1" si="93"/>
        <v>Male</v>
      </c>
      <c r="E458" t="str">
        <f t="shared" ca="1" si="94"/>
        <v>Ethnic Wear</v>
      </c>
      <c r="F458">
        <f t="shared" ca="1" si="95"/>
        <v>633</v>
      </c>
      <c r="G458">
        <f t="shared" ca="1" si="96"/>
        <v>10</v>
      </c>
      <c r="H458">
        <f t="shared" ca="1" si="97"/>
        <v>569.70000000000005</v>
      </c>
      <c r="I458">
        <f t="shared" ca="1" si="98"/>
        <v>1</v>
      </c>
      <c r="J458">
        <f t="shared" ca="1" si="99"/>
        <v>1</v>
      </c>
      <c r="K458">
        <f t="shared" ca="1" si="100"/>
        <v>1</v>
      </c>
      <c r="L458">
        <f t="shared" ca="1" si="101"/>
        <v>569.70000000000005</v>
      </c>
      <c r="M458">
        <f t="shared" ca="1" si="102"/>
        <v>7</v>
      </c>
      <c r="N458">
        <f t="shared" ca="1" si="103"/>
        <v>0</v>
      </c>
    </row>
    <row r="459" spans="1:14" x14ac:dyDescent="0.35">
      <c r="A459" t="s">
        <v>476</v>
      </c>
      <c r="B459" t="str">
        <f t="shared" si="91"/>
        <v>Control</v>
      </c>
      <c r="C459">
        <f t="shared" ca="1" si="92"/>
        <v>27</v>
      </c>
      <c r="D459" t="str">
        <f t="shared" ca="1" si="93"/>
        <v>Female</v>
      </c>
      <c r="E459" t="str">
        <f t="shared" ca="1" si="94"/>
        <v>Tops</v>
      </c>
      <c r="F459">
        <f t="shared" ca="1" si="95"/>
        <v>1416</v>
      </c>
      <c r="G459">
        <f t="shared" ca="1" si="96"/>
        <v>10</v>
      </c>
      <c r="H459">
        <f t="shared" ca="1" si="97"/>
        <v>1274.4000000000001</v>
      </c>
      <c r="I459">
        <f t="shared" ca="1" si="98"/>
        <v>1</v>
      </c>
      <c r="J459">
        <f t="shared" ca="1" si="99"/>
        <v>0</v>
      </c>
      <c r="K459">
        <f t="shared" ca="1" si="100"/>
        <v>0</v>
      </c>
      <c r="L459">
        <f t="shared" ca="1" si="101"/>
        <v>0</v>
      </c>
      <c r="M459">
        <f t="shared" ca="1" si="102"/>
        <v>1</v>
      </c>
      <c r="N459">
        <f t="shared" ca="1" si="103"/>
        <v>0</v>
      </c>
    </row>
    <row r="460" spans="1:14" x14ac:dyDescent="0.35">
      <c r="A460" t="s">
        <v>477</v>
      </c>
      <c r="B460" t="str">
        <f t="shared" si="91"/>
        <v>Control</v>
      </c>
      <c r="C460">
        <f t="shared" ca="1" si="92"/>
        <v>27</v>
      </c>
      <c r="D460" t="str">
        <f t="shared" ca="1" si="93"/>
        <v>Other</v>
      </c>
      <c r="E460" t="str">
        <f t="shared" ca="1" si="94"/>
        <v>T-shirts</v>
      </c>
      <c r="F460">
        <f t="shared" ca="1" si="95"/>
        <v>6279</v>
      </c>
      <c r="G460">
        <f t="shared" ca="1" si="96"/>
        <v>10</v>
      </c>
      <c r="H460">
        <f t="shared" ca="1" si="97"/>
        <v>5651.1</v>
      </c>
      <c r="I460">
        <f t="shared" ca="1" si="98"/>
        <v>1</v>
      </c>
      <c r="J460">
        <f t="shared" ca="1" si="99"/>
        <v>0</v>
      </c>
      <c r="K460">
        <f t="shared" ca="1" si="100"/>
        <v>0</v>
      </c>
      <c r="L460">
        <f t="shared" ca="1" si="101"/>
        <v>0</v>
      </c>
      <c r="M460">
        <f t="shared" ca="1" si="102"/>
        <v>3</v>
      </c>
      <c r="N460">
        <f t="shared" ca="1" si="103"/>
        <v>0</v>
      </c>
    </row>
    <row r="461" spans="1:14" x14ac:dyDescent="0.35">
      <c r="A461" t="s">
        <v>478</v>
      </c>
      <c r="B461" t="str">
        <f t="shared" si="91"/>
        <v>Control</v>
      </c>
      <c r="C461">
        <f t="shared" ca="1" si="92"/>
        <v>40</v>
      </c>
      <c r="D461" t="str">
        <f t="shared" ca="1" si="93"/>
        <v>Male</v>
      </c>
      <c r="E461" t="str">
        <f t="shared" ca="1" si="94"/>
        <v>T-shirts</v>
      </c>
      <c r="F461">
        <f t="shared" ca="1" si="95"/>
        <v>3341</v>
      </c>
      <c r="G461">
        <f t="shared" ca="1" si="96"/>
        <v>10</v>
      </c>
      <c r="H461">
        <f t="shared" ca="1" si="97"/>
        <v>3006.9</v>
      </c>
      <c r="I461">
        <f t="shared" ca="1" si="98"/>
        <v>1</v>
      </c>
      <c r="J461">
        <f t="shared" ca="1" si="99"/>
        <v>1</v>
      </c>
      <c r="K461">
        <f t="shared" ca="1" si="100"/>
        <v>0</v>
      </c>
      <c r="L461">
        <f t="shared" ca="1" si="101"/>
        <v>0</v>
      </c>
      <c r="M461">
        <f t="shared" ca="1" si="102"/>
        <v>7</v>
      </c>
      <c r="N461">
        <f t="shared" ca="1" si="103"/>
        <v>0</v>
      </c>
    </row>
    <row r="462" spans="1:14" x14ac:dyDescent="0.35">
      <c r="A462" t="s">
        <v>479</v>
      </c>
      <c r="B462" t="str">
        <f t="shared" si="91"/>
        <v>Control</v>
      </c>
      <c r="C462">
        <f t="shared" ca="1" si="92"/>
        <v>44</v>
      </c>
      <c r="D462" t="str">
        <f t="shared" ca="1" si="93"/>
        <v>Male</v>
      </c>
      <c r="E462" t="str">
        <f t="shared" ca="1" si="94"/>
        <v>Shoes</v>
      </c>
      <c r="F462">
        <f t="shared" ca="1" si="95"/>
        <v>3291</v>
      </c>
      <c r="G462">
        <f t="shared" ca="1" si="96"/>
        <v>10</v>
      </c>
      <c r="H462">
        <f t="shared" ca="1" si="97"/>
        <v>2961.9</v>
      </c>
      <c r="I462">
        <f t="shared" ca="1" si="98"/>
        <v>1</v>
      </c>
      <c r="J462">
        <f t="shared" ca="1" si="99"/>
        <v>1</v>
      </c>
      <c r="K462">
        <f t="shared" ca="1" si="100"/>
        <v>1</v>
      </c>
      <c r="L462">
        <f t="shared" ca="1" si="101"/>
        <v>2961.9</v>
      </c>
      <c r="M462">
        <f t="shared" ca="1" si="102"/>
        <v>5</v>
      </c>
      <c r="N462">
        <f t="shared" ca="1" si="103"/>
        <v>0</v>
      </c>
    </row>
    <row r="463" spans="1:14" x14ac:dyDescent="0.35">
      <c r="A463" t="s">
        <v>480</v>
      </c>
      <c r="B463" t="str">
        <f t="shared" si="91"/>
        <v>Control</v>
      </c>
      <c r="C463">
        <f t="shared" ca="1" si="92"/>
        <v>35</v>
      </c>
      <c r="D463" t="str">
        <f t="shared" ca="1" si="93"/>
        <v>Female</v>
      </c>
      <c r="E463" t="str">
        <f t="shared" ca="1" si="94"/>
        <v>Jeans</v>
      </c>
      <c r="F463">
        <f t="shared" ca="1" si="95"/>
        <v>2033</v>
      </c>
      <c r="G463">
        <f t="shared" ca="1" si="96"/>
        <v>10</v>
      </c>
      <c r="H463">
        <f t="shared" ca="1" si="97"/>
        <v>1829.7</v>
      </c>
      <c r="I463">
        <f t="shared" ca="1" si="98"/>
        <v>1</v>
      </c>
      <c r="J463">
        <f t="shared" ca="1" si="99"/>
        <v>1</v>
      </c>
      <c r="K463">
        <f t="shared" ca="1" si="100"/>
        <v>0</v>
      </c>
      <c r="L463">
        <f t="shared" ca="1" si="101"/>
        <v>0</v>
      </c>
      <c r="M463">
        <f t="shared" ca="1" si="102"/>
        <v>5</v>
      </c>
      <c r="N463">
        <f t="shared" ca="1" si="103"/>
        <v>0</v>
      </c>
    </row>
    <row r="464" spans="1:14" x14ac:dyDescent="0.35">
      <c r="A464" t="s">
        <v>481</v>
      </c>
      <c r="B464" t="str">
        <f t="shared" si="91"/>
        <v>Control</v>
      </c>
      <c r="C464">
        <f t="shared" ca="1" si="92"/>
        <v>31</v>
      </c>
      <c r="D464" t="str">
        <f t="shared" ca="1" si="93"/>
        <v>Other</v>
      </c>
      <c r="E464" t="str">
        <f t="shared" ca="1" si="94"/>
        <v>Dresses</v>
      </c>
      <c r="F464">
        <f t="shared" ca="1" si="95"/>
        <v>2444</v>
      </c>
      <c r="G464">
        <f t="shared" ca="1" si="96"/>
        <v>10</v>
      </c>
      <c r="H464">
        <f t="shared" ca="1" si="97"/>
        <v>2199.6</v>
      </c>
      <c r="I464">
        <f t="shared" ca="1" si="98"/>
        <v>1</v>
      </c>
      <c r="J464">
        <f t="shared" ca="1" si="99"/>
        <v>1</v>
      </c>
      <c r="K464">
        <f t="shared" ca="1" si="100"/>
        <v>0</v>
      </c>
      <c r="L464">
        <f t="shared" ca="1" si="101"/>
        <v>0</v>
      </c>
      <c r="M464">
        <f t="shared" ca="1" si="102"/>
        <v>7</v>
      </c>
      <c r="N464">
        <f t="shared" ca="1" si="103"/>
        <v>0</v>
      </c>
    </row>
    <row r="465" spans="1:14" x14ac:dyDescent="0.35">
      <c r="A465" t="s">
        <v>482</v>
      </c>
      <c r="B465" t="str">
        <f t="shared" si="91"/>
        <v>Control</v>
      </c>
      <c r="C465">
        <f t="shared" ca="1" si="92"/>
        <v>20</v>
      </c>
      <c r="D465" t="str">
        <f t="shared" ca="1" si="93"/>
        <v>Female</v>
      </c>
      <c r="E465" t="str">
        <f t="shared" ca="1" si="94"/>
        <v>Shoes</v>
      </c>
      <c r="F465">
        <f t="shared" ca="1" si="95"/>
        <v>4700</v>
      </c>
      <c r="G465">
        <f t="shared" ca="1" si="96"/>
        <v>10</v>
      </c>
      <c r="H465">
        <f t="shared" ca="1" si="97"/>
        <v>4230</v>
      </c>
      <c r="I465">
        <f t="shared" ca="1" si="98"/>
        <v>1</v>
      </c>
      <c r="J465">
        <f t="shared" ca="1" si="99"/>
        <v>1</v>
      </c>
      <c r="K465">
        <f t="shared" ca="1" si="100"/>
        <v>0</v>
      </c>
      <c r="L465">
        <f t="shared" ca="1" si="101"/>
        <v>0</v>
      </c>
      <c r="M465">
        <f t="shared" ca="1" si="102"/>
        <v>6</v>
      </c>
      <c r="N465">
        <f t="shared" ca="1" si="103"/>
        <v>0</v>
      </c>
    </row>
    <row r="466" spans="1:14" x14ac:dyDescent="0.35">
      <c r="A466" t="s">
        <v>483</v>
      </c>
      <c r="B466" t="str">
        <f t="shared" si="91"/>
        <v>Control</v>
      </c>
      <c r="C466">
        <f t="shared" ca="1" si="92"/>
        <v>30</v>
      </c>
      <c r="D466" t="str">
        <f t="shared" ca="1" si="93"/>
        <v>Female</v>
      </c>
      <c r="E466" t="str">
        <f t="shared" ca="1" si="94"/>
        <v>Sportswear</v>
      </c>
      <c r="F466">
        <f t="shared" ca="1" si="95"/>
        <v>582</v>
      </c>
      <c r="G466">
        <f t="shared" ca="1" si="96"/>
        <v>10</v>
      </c>
      <c r="H466">
        <f t="shared" ca="1" si="97"/>
        <v>523.80000000000007</v>
      </c>
      <c r="I466">
        <f t="shared" ca="1" si="98"/>
        <v>1</v>
      </c>
      <c r="J466">
        <f t="shared" ca="1" si="99"/>
        <v>0</v>
      </c>
      <c r="K466">
        <f t="shared" ca="1" si="100"/>
        <v>0</v>
      </c>
      <c r="L466">
        <f t="shared" ca="1" si="101"/>
        <v>0</v>
      </c>
      <c r="M466">
        <f t="shared" ca="1" si="102"/>
        <v>2</v>
      </c>
      <c r="N466">
        <f t="shared" ca="1" si="103"/>
        <v>0</v>
      </c>
    </row>
    <row r="467" spans="1:14" x14ac:dyDescent="0.35">
      <c r="A467" t="s">
        <v>484</v>
      </c>
      <c r="B467" t="str">
        <f t="shared" si="91"/>
        <v>Control</v>
      </c>
      <c r="C467">
        <f t="shared" ca="1" si="92"/>
        <v>33</v>
      </c>
      <c r="D467" t="str">
        <f t="shared" ca="1" si="93"/>
        <v>Female</v>
      </c>
      <c r="E467" t="str">
        <f t="shared" ca="1" si="94"/>
        <v>Jeans</v>
      </c>
      <c r="F467">
        <f t="shared" ca="1" si="95"/>
        <v>4900</v>
      </c>
      <c r="G467">
        <f t="shared" ca="1" si="96"/>
        <v>10</v>
      </c>
      <c r="H467">
        <f t="shared" ca="1" si="97"/>
        <v>4410</v>
      </c>
      <c r="I467">
        <f t="shared" ca="1" si="98"/>
        <v>1</v>
      </c>
      <c r="J467">
        <f t="shared" ca="1" si="99"/>
        <v>1</v>
      </c>
      <c r="K467">
        <f t="shared" ca="1" si="100"/>
        <v>1</v>
      </c>
      <c r="L467">
        <f t="shared" ca="1" si="101"/>
        <v>4410</v>
      </c>
      <c r="M467">
        <f t="shared" ca="1" si="102"/>
        <v>3</v>
      </c>
      <c r="N467">
        <f t="shared" ca="1" si="103"/>
        <v>0</v>
      </c>
    </row>
    <row r="468" spans="1:14" x14ac:dyDescent="0.35">
      <c r="A468" t="s">
        <v>485</v>
      </c>
      <c r="B468" t="str">
        <f t="shared" si="91"/>
        <v>Control</v>
      </c>
      <c r="C468">
        <f t="shared" ca="1" si="92"/>
        <v>32</v>
      </c>
      <c r="D468" t="str">
        <f t="shared" ca="1" si="93"/>
        <v>Other</v>
      </c>
      <c r="E468" t="str">
        <f t="shared" ca="1" si="94"/>
        <v>Dresses</v>
      </c>
      <c r="F468">
        <f t="shared" ca="1" si="95"/>
        <v>5188</v>
      </c>
      <c r="G468">
        <f t="shared" ca="1" si="96"/>
        <v>10</v>
      </c>
      <c r="H468">
        <f t="shared" ca="1" si="97"/>
        <v>4669.2</v>
      </c>
      <c r="I468">
        <f t="shared" ca="1" si="98"/>
        <v>1</v>
      </c>
      <c r="J468">
        <f t="shared" ca="1" si="99"/>
        <v>0</v>
      </c>
      <c r="K468">
        <f t="shared" ca="1" si="100"/>
        <v>0</v>
      </c>
      <c r="L468">
        <f t="shared" ca="1" si="101"/>
        <v>0</v>
      </c>
      <c r="M468">
        <f t="shared" ca="1" si="102"/>
        <v>5</v>
      </c>
      <c r="N468">
        <f t="shared" ca="1" si="103"/>
        <v>0</v>
      </c>
    </row>
    <row r="469" spans="1:14" x14ac:dyDescent="0.35">
      <c r="A469" t="s">
        <v>486</v>
      </c>
      <c r="B469" t="str">
        <f t="shared" si="91"/>
        <v>Control</v>
      </c>
      <c r="C469">
        <f t="shared" ca="1" si="92"/>
        <v>19</v>
      </c>
      <c r="D469" t="str">
        <f t="shared" ca="1" si="93"/>
        <v>Female</v>
      </c>
      <c r="E469" t="str">
        <f t="shared" ca="1" si="94"/>
        <v>Sportswear</v>
      </c>
      <c r="F469">
        <f t="shared" ca="1" si="95"/>
        <v>3172</v>
      </c>
      <c r="G469">
        <f t="shared" ca="1" si="96"/>
        <v>10</v>
      </c>
      <c r="H469">
        <f t="shared" ca="1" si="97"/>
        <v>2854.8</v>
      </c>
      <c r="I469">
        <f t="shared" ca="1" si="98"/>
        <v>1</v>
      </c>
      <c r="J469">
        <f t="shared" ca="1" si="99"/>
        <v>0</v>
      </c>
      <c r="K469">
        <f t="shared" ca="1" si="100"/>
        <v>0</v>
      </c>
      <c r="L469">
        <f t="shared" ca="1" si="101"/>
        <v>0</v>
      </c>
      <c r="M469">
        <f t="shared" ca="1" si="102"/>
        <v>7</v>
      </c>
      <c r="N469">
        <f t="shared" ca="1" si="103"/>
        <v>0</v>
      </c>
    </row>
    <row r="470" spans="1:14" x14ac:dyDescent="0.35">
      <c r="A470" t="s">
        <v>487</v>
      </c>
      <c r="B470" t="str">
        <f t="shared" si="91"/>
        <v>Control</v>
      </c>
      <c r="C470">
        <f t="shared" ca="1" si="92"/>
        <v>29</v>
      </c>
      <c r="D470" t="str">
        <f t="shared" ca="1" si="93"/>
        <v>Female</v>
      </c>
      <c r="E470" t="str">
        <f t="shared" ca="1" si="94"/>
        <v>Shoes</v>
      </c>
      <c r="F470">
        <f t="shared" ca="1" si="95"/>
        <v>2659</v>
      </c>
      <c r="G470">
        <f t="shared" ca="1" si="96"/>
        <v>10</v>
      </c>
      <c r="H470">
        <f t="shared" ca="1" si="97"/>
        <v>2393.1</v>
      </c>
      <c r="I470">
        <f t="shared" ca="1" si="98"/>
        <v>1</v>
      </c>
      <c r="J470">
        <f t="shared" ca="1" si="99"/>
        <v>1</v>
      </c>
      <c r="K470">
        <f t="shared" ca="1" si="100"/>
        <v>0</v>
      </c>
      <c r="L470">
        <f t="shared" ca="1" si="101"/>
        <v>0</v>
      </c>
      <c r="M470">
        <f t="shared" ca="1" si="102"/>
        <v>7</v>
      </c>
      <c r="N470">
        <f t="shared" ca="1" si="103"/>
        <v>0</v>
      </c>
    </row>
    <row r="471" spans="1:14" x14ac:dyDescent="0.35">
      <c r="A471" t="s">
        <v>488</v>
      </c>
      <c r="B471" t="str">
        <f t="shared" si="91"/>
        <v>Control</v>
      </c>
      <c r="C471">
        <f t="shared" ca="1" si="92"/>
        <v>25</v>
      </c>
      <c r="D471" t="str">
        <f t="shared" ca="1" si="93"/>
        <v>Female</v>
      </c>
      <c r="E471" t="str">
        <f t="shared" ca="1" si="94"/>
        <v>Accessories</v>
      </c>
      <c r="F471">
        <f t="shared" ca="1" si="95"/>
        <v>2167</v>
      </c>
      <c r="G471">
        <f t="shared" ca="1" si="96"/>
        <v>10</v>
      </c>
      <c r="H471">
        <f t="shared" ca="1" si="97"/>
        <v>1950.3</v>
      </c>
      <c r="I471">
        <f t="shared" ca="1" si="98"/>
        <v>0</v>
      </c>
      <c r="J471">
        <f t="shared" ca="1" si="99"/>
        <v>0</v>
      </c>
      <c r="K471">
        <f t="shared" ca="1" si="100"/>
        <v>0</v>
      </c>
      <c r="L471">
        <f t="shared" ca="1" si="101"/>
        <v>0</v>
      </c>
      <c r="M471">
        <f t="shared" ca="1" si="102"/>
        <v>7</v>
      </c>
      <c r="N471">
        <f t="shared" ca="1" si="103"/>
        <v>0</v>
      </c>
    </row>
    <row r="472" spans="1:14" x14ac:dyDescent="0.35">
      <c r="A472" t="s">
        <v>489</v>
      </c>
      <c r="B472" t="str">
        <f t="shared" si="91"/>
        <v>Control</v>
      </c>
      <c r="C472">
        <f t="shared" ca="1" si="92"/>
        <v>22</v>
      </c>
      <c r="D472" t="str">
        <f t="shared" ca="1" si="93"/>
        <v>Female</v>
      </c>
      <c r="E472" t="str">
        <f t="shared" ca="1" si="94"/>
        <v>Tops</v>
      </c>
      <c r="F472">
        <f t="shared" ca="1" si="95"/>
        <v>6679</v>
      </c>
      <c r="G472">
        <f t="shared" ca="1" si="96"/>
        <v>10</v>
      </c>
      <c r="H472">
        <f t="shared" ca="1" si="97"/>
        <v>6011.1</v>
      </c>
      <c r="I472">
        <f t="shared" ca="1" si="98"/>
        <v>1</v>
      </c>
      <c r="J472">
        <f t="shared" ca="1" si="99"/>
        <v>1</v>
      </c>
      <c r="K472">
        <f t="shared" ca="1" si="100"/>
        <v>0</v>
      </c>
      <c r="L472">
        <f t="shared" ca="1" si="101"/>
        <v>0</v>
      </c>
      <c r="M472">
        <f t="shared" ca="1" si="102"/>
        <v>6</v>
      </c>
      <c r="N472">
        <f t="shared" ca="1" si="103"/>
        <v>0</v>
      </c>
    </row>
    <row r="473" spans="1:14" x14ac:dyDescent="0.35">
      <c r="A473" t="s">
        <v>490</v>
      </c>
      <c r="B473" t="str">
        <f t="shared" si="91"/>
        <v>Control</v>
      </c>
      <c r="C473">
        <f t="shared" ca="1" si="92"/>
        <v>29</v>
      </c>
      <c r="D473" t="str">
        <f t="shared" ca="1" si="93"/>
        <v>Male</v>
      </c>
      <c r="E473" t="str">
        <f t="shared" ca="1" si="94"/>
        <v>Accessories</v>
      </c>
      <c r="F473">
        <f t="shared" ca="1" si="95"/>
        <v>858</v>
      </c>
      <c r="G473">
        <f t="shared" ca="1" si="96"/>
        <v>10</v>
      </c>
      <c r="H473">
        <f t="shared" ca="1" si="97"/>
        <v>772.2</v>
      </c>
      <c r="I473">
        <f t="shared" ca="1" si="98"/>
        <v>1</v>
      </c>
      <c r="J473">
        <f t="shared" ca="1" si="99"/>
        <v>1</v>
      </c>
      <c r="K473">
        <f t="shared" ca="1" si="100"/>
        <v>1</v>
      </c>
      <c r="L473">
        <f t="shared" ca="1" si="101"/>
        <v>772.2</v>
      </c>
      <c r="M473">
        <f t="shared" ca="1" si="102"/>
        <v>6</v>
      </c>
      <c r="N473">
        <f t="shared" ca="1" si="103"/>
        <v>0</v>
      </c>
    </row>
    <row r="474" spans="1:14" x14ac:dyDescent="0.35">
      <c r="A474" t="s">
        <v>491</v>
      </c>
      <c r="B474" t="str">
        <f t="shared" si="91"/>
        <v>Control</v>
      </c>
      <c r="C474">
        <f t="shared" ca="1" si="92"/>
        <v>40</v>
      </c>
      <c r="D474" t="str">
        <f t="shared" ca="1" si="93"/>
        <v>Female</v>
      </c>
      <c r="E474" t="str">
        <f t="shared" ca="1" si="94"/>
        <v>Tops</v>
      </c>
      <c r="F474">
        <f t="shared" ca="1" si="95"/>
        <v>3662</v>
      </c>
      <c r="G474">
        <f t="shared" ca="1" si="96"/>
        <v>10</v>
      </c>
      <c r="H474">
        <f t="shared" ca="1" si="97"/>
        <v>3295.8</v>
      </c>
      <c r="I474">
        <f t="shared" ca="1" si="98"/>
        <v>1</v>
      </c>
      <c r="J474">
        <f t="shared" ca="1" si="99"/>
        <v>0</v>
      </c>
      <c r="K474">
        <f t="shared" ca="1" si="100"/>
        <v>0</v>
      </c>
      <c r="L474">
        <f t="shared" ca="1" si="101"/>
        <v>0</v>
      </c>
      <c r="M474">
        <f t="shared" ca="1" si="102"/>
        <v>5</v>
      </c>
      <c r="N474">
        <f t="shared" ca="1" si="103"/>
        <v>0</v>
      </c>
    </row>
    <row r="475" spans="1:14" x14ac:dyDescent="0.35">
      <c r="A475" t="s">
        <v>492</v>
      </c>
      <c r="B475" t="str">
        <f t="shared" si="91"/>
        <v>Control</v>
      </c>
      <c r="C475">
        <f t="shared" ca="1" si="92"/>
        <v>37</v>
      </c>
      <c r="D475" t="str">
        <f t="shared" ca="1" si="93"/>
        <v>Male</v>
      </c>
      <c r="E475" t="str">
        <f t="shared" ca="1" si="94"/>
        <v>Ethnic Wear</v>
      </c>
      <c r="F475">
        <f t="shared" ca="1" si="95"/>
        <v>1301</v>
      </c>
      <c r="G475">
        <f t="shared" ca="1" si="96"/>
        <v>10</v>
      </c>
      <c r="H475">
        <f t="shared" ca="1" si="97"/>
        <v>1170.9000000000001</v>
      </c>
      <c r="I475">
        <f t="shared" ca="1" si="98"/>
        <v>1</v>
      </c>
      <c r="J475">
        <f t="shared" ca="1" si="99"/>
        <v>0</v>
      </c>
      <c r="K475">
        <f t="shared" ca="1" si="100"/>
        <v>0</v>
      </c>
      <c r="L475">
        <f t="shared" ca="1" si="101"/>
        <v>0</v>
      </c>
      <c r="M475">
        <f t="shared" ca="1" si="102"/>
        <v>6</v>
      </c>
      <c r="N475">
        <f t="shared" ca="1" si="103"/>
        <v>0</v>
      </c>
    </row>
    <row r="476" spans="1:14" x14ac:dyDescent="0.35">
      <c r="A476" t="s">
        <v>493</v>
      </c>
      <c r="B476" t="str">
        <f t="shared" si="91"/>
        <v>Control</v>
      </c>
      <c r="C476">
        <f t="shared" ca="1" si="92"/>
        <v>26</v>
      </c>
      <c r="D476" t="str">
        <f t="shared" ca="1" si="93"/>
        <v>Female</v>
      </c>
      <c r="E476" t="str">
        <f t="shared" ca="1" si="94"/>
        <v>Shoes</v>
      </c>
      <c r="F476">
        <f t="shared" ca="1" si="95"/>
        <v>3196</v>
      </c>
      <c r="G476">
        <f t="shared" ca="1" si="96"/>
        <v>10</v>
      </c>
      <c r="H476">
        <f t="shared" ca="1" si="97"/>
        <v>2876.4</v>
      </c>
      <c r="I476">
        <f t="shared" ca="1" si="98"/>
        <v>1</v>
      </c>
      <c r="J476">
        <f t="shared" ca="1" si="99"/>
        <v>1</v>
      </c>
      <c r="K476">
        <f t="shared" ca="1" si="100"/>
        <v>1</v>
      </c>
      <c r="L476">
        <f t="shared" ca="1" si="101"/>
        <v>2876.4</v>
      </c>
      <c r="M476">
        <f t="shared" ca="1" si="102"/>
        <v>6</v>
      </c>
      <c r="N476">
        <f t="shared" ca="1" si="103"/>
        <v>0</v>
      </c>
    </row>
    <row r="477" spans="1:14" x14ac:dyDescent="0.35">
      <c r="A477" t="s">
        <v>494</v>
      </c>
      <c r="B477" t="str">
        <f t="shared" si="91"/>
        <v>Control</v>
      </c>
      <c r="C477">
        <f t="shared" ca="1" si="92"/>
        <v>27</v>
      </c>
      <c r="D477" t="str">
        <f t="shared" ca="1" si="93"/>
        <v>Female</v>
      </c>
      <c r="E477" t="str">
        <f t="shared" ca="1" si="94"/>
        <v>Ethnic Wear</v>
      </c>
      <c r="F477">
        <f t="shared" ca="1" si="95"/>
        <v>585</v>
      </c>
      <c r="G477">
        <f t="shared" ca="1" si="96"/>
        <v>10</v>
      </c>
      <c r="H477">
        <f t="shared" ca="1" si="97"/>
        <v>526.5</v>
      </c>
      <c r="I477">
        <f t="shared" ca="1" si="98"/>
        <v>0</v>
      </c>
      <c r="J477">
        <f t="shared" ca="1" si="99"/>
        <v>0</v>
      </c>
      <c r="K477">
        <f t="shared" ca="1" si="100"/>
        <v>0</v>
      </c>
      <c r="L477">
        <f t="shared" ca="1" si="101"/>
        <v>0</v>
      </c>
      <c r="M477">
        <f t="shared" ca="1" si="102"/>
        <v>1</v>
      </c>
      <c r="N477">
        <f t="shared" ca="1" si="103"/>
        <v>0</v>
      </c>
    </row>
    <row r="478" spans="1:14" x14ac:dyDescent="0.35">
      <c r="A478" t="s">
        <v>495</v>
      </c>
      <c r="B478" t="str">
        <f t="shared" si="91"/>
        <v>Control</v>
      </c>
      <c r="C478">
        <f t="shared" ca="1" si="92"/>
        <v>19</v>
      </c>
      <c r="D478" t="str">
        <f t="shared" ca="1" si="93"/>
        <v>Female</v>
      </c>
      <c r="E478" t="str">
        <f t="shared" ca="1" si="94"/>
        <v>Sportswear</v>
      </c>
      <c r="F478">
        <f t="shared" ca="1" si="95"/>
        <v>4158</v>
      </c>
      <c r="G478">
        <f t="shared" ca="1" si="96"/>
        <v>10</v>
      </c>
      <c r="H478">
        <f t="shared" ca="1" si="97"/>
        <v>3742.2000000000003</v>
      </c>
      <c r="I478">
        <f t="shared" ca="1" si="98"/>
        <v>0</v>
      </c>
      <c r="J478">
        <f t="shared" ca="1" si="99"/>
        <v>0</v>
      </c>
      <c r="K478">
        <f t="shared" ca="1" si="100"/>
        <v>0</v>
      </c>
      <c r="L478">
        <f t="shared" ca="1" si="101"/>
        <v>0</v>
      </c>
      <c r="M478">
        <f t="shared" ca="1" si="102"/>
        <v>1</v>
      </c>
      <c r="N478">
        <f t="shared" ca="1" si="103"/>
        <v>0</v>
      </c>
    </row>
    <row r="479" spans="1:14" x14ac:dyDescent="0.35">
      <c r="A479" t="s">
        <v>496</v>
      </c>
      <c r="B479" t="str">
        <f t="shared" si="91"/>
        <v>Control</v>
      </c>
      <c r="C479">
        <f t="shared" ca="1" si="92"/>
        <v>34</v>
      </c>
      <c r="D479" t="str">
        <f t="shared" ca="1" si="93"/>
        <v>Female</v>
      </c>
      <c r="E479" t="str">
        <f t="shared" ca="1" si="94"/>
        <v>Sportswear</v>
      </c>
      <c r="F479">
        <f t="shared" ca="1" si="95"/>
        <v>6326</v>
      </c>
      <c r="G479">
        <f t="shared" ca="1" si="96"/>
        <v>10</v>
      </c>
      <c r="H479">
        <f t="shared" ca="1" si="97"/>
        <v>5693.4000000000005</v>
      </c>
      <c r="I479">
        <f t="shared" ca="1" si="98"/>
        <v>1</v>
      </c>
      <c r="J479">
        <f t="shared" ca="1" si="99"/>
        <v>0</v>
      </c>
      <c r="K479">
        <f t="shared" ca="1" si="100"/>
        <v>0</v>
      </c>
      <c r="L479">
        <f t="shared" ca="1" si="101"/>
        <v>0</v>
      </c>
      <c r="M479">
        <f t="shared" ca="1" si="102"/>
        <v>3</v>
      </c>
      <c r="N479">
        <f t="shared" ca="1" si="103"/>
        <v>0</v>
      </c>
    </row>
    <row r="480" spans="1:14" x14ac:dyDescent="0.35">
      <c r="A480" t="s">
        <v>497</v>
      </c>
      <c r="B480" t="str">
        <f t="shared" si="91"/>
        <v>Control</v>
      </c>
      <c r="C480">
        <f t="shared" ca="1" si="92"/>
        <v>40</v>
      </c>
      <c r="D480" t="str">
        <f t="shared" ca="1" si="93"/>
        <v>Female</v>
      </c>
      <c r="E480" t="str">
        <f t="shared" ca="1" si="94"/>
        <v>Jeans</v>
      </c>
      <c r="F480">
        <f t="shared" ca="1" si="95"/>
        <v>6700</v>
      </c>
      <c r="G480">
        <f t="shared" ca="1" si="96"/>
        <v>10</v>
      </c>
      <c r="H480">
        <f t="shared" ca="1" si="97"/>
        <v>6030</v>
      </c>
      <c r="I480">
        <f t="shared" ca="1" si="98"/>
        <v>0</v>
      </c>
      <c r="J480">
        <f t="shared" ca="1" si="99"/>
        <v>0</v>
      </c>
      <c r="K480">
        <f t="shared" ca="1" si="100"/>
        <v>0</v>
      </c>
      <c r="L480">
        <f t="shared" ca="1" si="101"/>
        <v>0</v>
      </c>
      <c r="M480">
        <f t="shared" ca="1" si="102"/>
        <v>3</v>
      </c>
      <c r="N480">
        <f t="shared" ca="1" si="103"/>
        <v>0</v>
      </c>
    </row>
    <row r="481" spans="1:14" x14ac:dyDescent="0.35">
      <c r="A481" t="s">
        <v>498</v>
      </c>
      <c r="B481" t="str">
        <f t="shared" si="91"/>
        <v>Control</v>
      </c>
      <c r="C481">
        <f t="shared" ca="1" si="92"/>
        <v>37</v>
      </c>
      <c r="D481" t="str">
        <f t="shared" ca="1" si="93"/>
        <v>Male</v>
      </c>
      <c r="E481" t="str">
        <f t="shared" ca="1" si="94"/>
        <v>Jeans</v>
      </c>
      <c r="F481">
        <f t="shared" ca="1" si="95"/>
        <v>2756</v>
      </c>
      <c r="G481">
        <f t="shared" ca="1" si="96"/>
        <v>10</v>
      </c>
      <c r="H481">
        <f t="shared" ca="1" si="97"/>
        <v>2480.4</v>
      </c>
      <c r="I481">
        <f t="shared" ca="1" si="98"/>
        <v>1</v>
      </c>
      <c r="J481">
        <f t="shared" ca="1" si="99"/>
        <v>0</v>
      </c>
      <c r="K481">
        <f t="shared" ca="1" si="100"/>
        <v>0</v>
      </c>
      <c r="L481">
        <f t="shared" ca="1" si="101"/>
        <v>0</v>
      </c>
      <c r="M481">
        <f t="shared" ca="1" si="102"/>
        <v>3</v>
      </c>
      <c r="N481">
        <f t="shared" ca="1" si="103"/>
        <v>0</v>
      </c>
    </row>
    <row r="482" spans="1:14" x14ac:dyDescent="0.35">
      <c r="A482" t="s">
        <v>499</v>
      </c>
      <c r="B482" t="str">
        <f t="shared" si="91"/>
        <v>Control</v>
      </c>
      <c r="C482">
        <f t="shared" ca="1" si="92"/>
        <v>25</v>
      </c>
      <c r="D482" t="str">
        <f t="shared" ca="1" si="93"/>
        <v>Male</v>
      </c>
      <c r="E482" t="str">
        <f t="shared" ca="1" si="94"/>
        <v>Jeans</v>
      </c>
      <c r="F482">
        <f t="shared" ca="1" si="95"/>
        <v>3448</v>
      </c>
      <c r="G482">
        <f t="shared" ca="1" si="96"/>
        <v>10</v>
      </c>
      <c r="H482">
        <f t="shared" ca="1" si="97"/>
        <v>3103.2000000000003</v>
      </c>
      <c r="I482">
        <f t="shared" ca="1" si="98"/>
        <v>1</v>
      </c>
      <c r="J482">
        <f t="shared" ca="1" si="99"/>
        <v>0</v>
      </c>
      <c r="K482">
        <f t="shared" ca="1" si="100"/>
        <v>0</v>
      </c>
      <c r="L482">
        <f t="shared" ca="1" si="101"/>
        <v>0</v>
      </c>
      <c r="M482">
        <f t="shared" ca="1" si="102"/>
        <v>6</v>
      </c>
      <c r="N482">
        <f t="shared" ca="1" si="103"/>
        <v>0</v>
      </c>
    </row>
    <row r="483" spans="1:14" x14ac:dyDescent="0.35">
      <c r="A483" t="s">
        <v>500</v>
      </c>
      <c r="B483" t="str">
        <f t="shared" si="91"/>
        <v>Control</v>
      </c>
      <c r="C483">
        <f t="shared" ca="1" si="92"/>
        <v>45</v>
      </c>
      <c r="D483" t="str">
        <f t="shared" ca="1" si="93"/>
        <v>Female</v>
      </c>
      <c r="E483" t="str">
        <f t="shared" ca="1" si="94"/>
        <v>Jeans</v>
      </c>
      <c r="F483">
        <f t="shared" ca="1" si="95"/>
        <v>7810</v>
      </c>
      <c r="G483">
        <f t="shared" ca="1" si="96"/>
        <v>10</v>
      </c>
      <c r="H483">
        <f t="shared" ca="1" si="97"/>
        <v>7029</v>
      </c>
      <c r="I483">
        <f t="shared" ca="1" si="98"/>
        <v>1</v>
      </c>
      <c r="J483">
        <f t="shared" ca="1" si="99"/>
        <v>1</v>
      </c>
      <c r="K483">
        <f t="shared" ca="1" si="100"/>
        <v>0</v>
      </c>
      <c r="L483">
        <f t="shared" ca="1" si="101"/>
        <v>0</v>
      </c>
      <c r="M483">
        <f t="shared" ca="1" si="102"/>
        <v>7</v>
      </c>
      <c r="N483">
        <f t="shared" ca="1" si="103"/>
        <v>0</v>
      </c>
    </row>
    <row r="484" spans="1:14" x14ac:dyDescent="0.35">
      <c r="A484" t="s">
        <v>501</v>
      </c>
      <c r="B484" t="str">
        <f t="shared" si="91"/>
        <v>Control</v>
      </c>
      <c r="C484">
        <f t="shared" ca="1" si="92"/>
        <v>41</v>
      </c>
      <c r="D484" t="str">
        <f t="shared" ca="1" si="93"/>
        <v>Female</v>
      </c>
      <c r="E484" t="str">
        <f t="shared" ca="1" si="94"/>
        <v>Sportswear</v>
      </c>
      <c r="F484">
        <f t="shared" ca="1" si="95"/>
        <v>4975</v>
      </c>
      <c r="G484">
        <f t="shared" ca="1" si="96"/>
        <v>10</v>
      </c>
      <c r="H484">
        <f t="shared" ca="1" si="97"/>
        <v>4477.5</v>
      </c>
      <c r="I484">
        <f t="shared" ca="1" si="98"/>
        <v>1</v>
      </c>
      <c r="J484">
        <f t="shared" ca="1" si="99"/>
        <v>0</v>
      </c>
      <c r="K484">
        <f t="shared" ca="1" si="100"/>
        <v>0</v>
      </c>
      <c r="L484">
        <f t="shared" ca="1" si="101"/>
        <v>0</v>
      </c>
      <c r="M484">
        <f t="shared" ca="1" si="102"/>
        <v>1</v>
      </c>
      <c r="N484">
        <f t="shared" ca="1" si="103"/>
        <v>0</v>
      </c>
    </row>
    <row r="485" spans="1:14" x14ac:dyDescent="0.35">
      <c r="A485" t="s">
        <v>502</v>
      </c>
      <c r="B485" t="str">
        <f t="shared" si="91"/>
        <v>Control</v>
      </c>
      <c r="C485">
        <f t="shared" ca="1" si="92"/>
        <v>41</v>
      </c>
      <c r="D485" t="str">
        <f t="shared" ca="1" si="93"/>
        <v>Female</v>
      </c>
      <c r="E485" t="str">
        <f t="shared" ca="1" si="94"/>
        <v>Shoes</v>
      </c>
      <c r="F485">
        <f t="shared" ca="1" si="95"/>
        <v>4873</v>
      </c>
      <c r="G485">
        <f t="shared" ca="1" si="96"/>
        <v>10</v>
      </c>
      <c r="H485">
        <f t="shared" ca="1" si="97"/>
        <v>4385.7</v>
      </c>
      <c r="I485">
        <f t="shared" ca="1" si="98"/>
        <v>0</v>
      </c>
      <c r="J485">
        <f t="shared" ca="1" si="99"/>
        <v>0</v>
      </c>
      <c r="K485">
        <f t="shared" ca="1" si="100"/>
        <v>0</v>
      </c>
      <c r="L485">
        <f t="shared" ca="1" si="101"/>
        <v>0</v>
      </c>
      <c r="M485">
        <f t="shared" ca="1" si="102"/>
        <v>2</v>
      </c>
      <c r="N485">
        <f t="shared" ca="1" si="103"/>
        <v>0</v>
      </c>
    </row>
    <row r="486" spans="1:14" x14ac:dyDescent="0.35">
      <c r="A486" t="s">
        <v>503</v>
      </c>
      <c r="B486" t="str">
        <f t="shared" si="91"/>
        <v>Control</v>
      </c>
      <c r="C486">
        <f t="shared" ca="1" si="92"/>
        <v>41</v>
      </c>
      <c r="D486" t="str">
        <f t="shared" ca="1" si="93"/>
        <v>Male</v>
      </c>
      <c r="E486" t="str">
        <f t="shared" ca="1" si="94"/>
        <v>Accessories</v>
      </c>
      <c r="F486">
        <f t="shared" ca="1" si="95"/>
        <v>4492</v>
      </c>
      <c r="G486">
        <f t="shared" ca="1" si="96"/>
        <v>10</v>
      </c>
      <c r="H486">
        <f t="shared" ca="1" si="97"/>
        <v>4042.8</v>
      </c>
      <c r="I486">
        <f t="shared" ca="1" si="98"/>
        <v>1</v>
      </c>
      <c r="J486">
        <f t="shared" ca="1" si="99"/>
        <v>1</v>
      </c>
      <c r="K486">
        <f t="shared" ca="1" si="100"/>
        <v>0</v>
      </c>
      <c r="L486">
        <f t="shared" ca="1" si="101"/>
        <v>0</v>
      </c>
      <c r="M486">
        <f t="shared" ca="1" si="102"/>
        <v>4</v>
      </c>
      <c r="N486">
        <f t="shared" ca="1" si="103"/>
        <v>0</v>
      </c>
    </row>
    <row r="487" spans="1:14" x14ac:dyDescent="0.35">
      <c r="A487" t="s">
        <v>504</v>
      </c>
      <c r="B487" t="str">
        <f t="shared" si="91"/>
        <v>Control</v>
      </c>
      <c r="C487">
        <f t="shared" ca="1" si="92"/>
        <v>18</v>
      </c>
      <c r="D487" t="str">
        <f t="shared" ca="1" si="93"/>
        <v>Female</v>
      </c>
      <c r="E487" t="str">
        <f t="shared" ca="1" si="94"/>
        <v>Accessories</v>
      </c>
      <c r="F487">
        <f t="shared" ca="1" si="95"/>
        <v>526</v>
      </c>
      <c r="G487">
        <f t="shared" ca="1" si="96"/>
        <v>10</v>
      </c>
      <c r="H487">
        <f t="shared" ca="1" si="97"/>
        <v>473.40000000000003</v>
      </c>
      <c r="I487">
        <f t="shared" ca="1" si="98"/>
        <v>1</v>
      </c>
      <c r="J487">
        <f t="shared" ca="1" si="99"/>
        <v>0</v>
      </c>
      <c r="K487">
        <f t="shared" ca="1" si="100"/>
        <v>0</v>
      </c>
      <c r="L487">
        <f t="shared" ca="1" si="101"/>
        <v>0</v>
      </c>
      <c r="M487">
        <f t="shared" ca="1" si="102"/>
        <v>1</v>
      </c>
      <c r="N487">
        <f t="shared" ca="1" si="103"/>
        <v>0</v>
      </c>
    </row>
    <row r="488" spans="1:14" x14ac:dyDescent="0.35">
      <c r="A488" t="s">
        <v>505</v>
      </c>
      <c r="B488" t="str">
        <f t="shared" si="91"/>
        <v>Control</v>
      </c>
      <c r="C488">
        <f t="shared" ca="1" si="92"/>
        <v>41</v>
      </c>
      <c r="D488" t="str">
        <f t="shared" ca="1" si="93"/>
        <v>Male</v>
      </c>
      <c r="E488" t="str">
        <f t="shared" ca="1" si="94"/>
        <v>Tops</v>
      </c>
      <c r="F488">
        <f t="shared" ca="1" si="95"/>
        <v>932</v>
      </c>
      <c r="G488">
        <f t="shared" ca="1" si="96"/>
        <v>10</v>
      </c>
      <c r="H488">
        <f t="shared" ca="1" si="97"/>
        <v>838.80000000000007</v>
      </c>
      <c r="I488">
        <f t="shared" ca="1" si="98"/>
        <v>1</v>
      </c>
      <c r="J488">
        <f t="shared" ca="1" si="99"/>
        <v>1</v>
      </c>
      <c r="K488">
        <f t="shared" ca="1" si="100"/>
        <v>0</v>
      </c>
      <c r="L488">
        <f t="shared" ca="1" si="101"/>
        <v>0</v>
      </c>
      <c r="M488">
        <f t="shared" ca="1" si="102"/>
        <v>3</v>
      </c>
      <c r="N488">
        <f t="shared" ca="1" si="103"/>
        <v>0</v>
      </c>
    </row>
    <row r="489" spans="1:14" x14ac:dyDescent="0.35">
      <c r="A489" t="s">
        <v>506</v>
      </c>
      <c r="B489" t="str">
        <f t="shared" si="91"/>
        <v>Control</v>
      </c>
      <c r="C489">
        <f t="shared" ca="1" si="92"/>
        <v>40</v>
      </c>
      <c r="D489" t="str">
        <f t="shared" ca="1" si="93"/>
        <v>Female</v>
      </c>
      <c r="E489" t="str">
        <f t="shared" ca="1" si="94"/>
        <v>T-shirts</v>
      </c>
      <c r="F489">
        <f t="shared" ca="1" si="95"/>
        <v>395</v>
      </c>
      <c r="G489">
        <f t="shared" ca="1" si="96"/>
        <v>10</v>
      </c>
      <c r="H489">
        <f t="shared" ca="1" si="97"/>
        <v>355.5</v>
      </c>
      <c r="I489">
        <f t="shared" ca="1" si="98"/>
        <v>1</v>
      </c>
      <c r="J489">
        <f t="shared" ca="1" si="99"/>
        <v>1</v>
      </c>
      <c r="K489">
        <f t="shared" ca="1" si="100"/>
        <v>0</v>
      </c>
      <c r="L489">
        <f t="shared" ca="1" si="101"/>
        <v>0</v>
      </c>
      <c r="M489">
        <f t="shared" ca="1" si="102"/>
        <v>6</v>
      </c>
      <c r="N489">
        <f t="shared" ca="1" si="103"/>
        <v>0</v>
      </c>
    </row>
    <row r="490" spans="1:14" x14ac:dyDescent="0.35">
      <c r="A490" t="s">
        <v>507</v>
      </c>
      <c r="B490" t="str">
        <f t="shared" si="91"/>
        <v>Control</v>
      </c>
      <c r="C490">
        <f t="shared" ca="1" si="92"/>
        <v>33</v>
      </c>
      <c r="D490" t="str">
        <f t="shared" ca="1" si="93"/>
        <v>Male</v>
      </c>
      <c r="E490" t="str">
        <f t="shared" ca="1" si="94"/>
        <v>Shoes</v>
      </c>
      <c r="F490">
        <f t="shared" ca="1" si="95"/>
        <v>1878</v>
      </c>
      <c r="G490">
        <f t="shared" ca="1" si="96"/>
        <v>10</v>
      </c>
      <c r="H490">
        <f t="shared" ca="1" si="97"/>
        <v>1690.2</v>
      </c>
      <c r="I490">
        <f t="shared" ca="1" si="98"/>
        <v>1</v>
      </c>
      <c r="J490">
        <f t="shared" ca="1" si="99"/>
        <v>0</v>
      </c>
      <c r="K490">
        <f t="shared" ca="1" si="100"/>
        <v>0</v>
      </c>
      <c r="L490">
        <f t="shared" ca="1" si="101"/>
        <v>0</v>
      </c>
      <c r="M490">
        <f t="shared" ca="1" si="102"/>
        <v>1</v>
      </c>
      <c r="N490">
        <f t="shared" ca="1" si="103"/>
        <v>0</v>
      </c>
    </row>
    <row r="491" spans="1:14" x14ac:dyDescent="0.35">
      <c r="A491" t="s">
        <v>508</v>
      </c>
      <c r="B491" t="str">
        <f t="shared" si="91"/>
        <v>Control</v>
      </c>
      <c r="C491">
        <f t="shared" ca="1" si="92"/>
        <v>23</v>
      </c>
      <c r="D491" t="str">
        <f t="shared" ca="1" si="93"/>
        <v>Female</v>
      </c>
      <c r="E491" t="str">
        <f t="shared" ca="1" si="94"/>
        <v>Sportswear</v>
      </c>
      <c r="F491">
        <f t="shared" ca="1" si="95"/>
        <v>5543</v>
      </c>
      <c r="G491">
        <f t="shared" ca="1" si="96"/>
        <v>10</v>
      </c>
      <c r="H491">
        <f t="shared" ca="1" si="97"/>
        <v>4988.7</v>
      </c>
      <c r="I491">
        <f t="shared" ca="1" si="98"/>
        <v>1</v>
      </c>
      <c r="J491">
        <f t="shared" ca="1" si="99"/>
        <v>1</v>
      </c>
      <c r="K491">
        <f t="shared" ca="1" si="100"/>
        <v>1</v>
      </c>
      <c r="L491">
        <f t="shared" ca="1" si="101"/>
        <v>4988.7</v>
      </c>
      <c r="M491">
        <f t="shared" ca="1" si="102"/>
        <v>6</v>
      </c>
      <c r="N491">
        <f t="shared" ca="1" si="103"/>
        <v>0</v>
      </c>
    </row>
    <row r="492" spans="1:14" x14ac:dyDescent="0.35">
      <c r="A492" t="s">
        <v>509</v>
      </c>
      <c r="B492" t="str">
        <f t="shared" si="91"/>
        <v>Control</v>
      </c>
      <c r="C492">
        <f t="shared" ca="1" si="92"/>
        <v>35</v>
      </c>
      <c r="D492" t="str">
        <f t="shared" ca="1" si="93"/>
        <v>Male</v>
      </c>
      <c r="E492" t="str">
        <f t="shared" ca="1" si="94"/>
        <v>Accessories</v>
      </c>
      <c r="F492">
        <f t="shared" ca="1" si="95"/>
        <v>919</v>
      </c>
      <c r="G492">
        <f t="shared" ca="1" si="96"/>
        <v>10</v>
      </c>
      <c r="H492">
        <f t="shared" ca="1" si="97"/>
        <v>827.1</v>
      </c>
      <c r="I492">
        <f t="shared" ca="1" si="98"/>
        <v>1</v>
      </c>
      <c r="J492">
        <f t="shared" ca="1" si="99"/>
        <v>0</v>
      </c>
      <c r="K492">
        <f t="shared" ca="1" si="100"/>
        <v>0</v>
      </c>
      <c r="L492">
        <f t="shared" ca="1" si="101"/>
        <v>0</v>
      </c>
      <c r="M492">
        <f t="shared" ca="1" si="102"/>
        <v>7</v>
      </c>
      <c r="N492">
        <f t="shared" ca="1" si="103"/>
        <v>0</v>
      </c>
    </row>
    <row r="493" spans="1:14" x14ac:dyDescent="0.35">
      <c r="A493" t="s">
        <v>510</v>
      </c>
      <c r="B493" t="str">
        <f t="shared" si="91"/>
        <v>Control</v>
      </c>
      <c r="C493">
        <f t="shared" ca="1" si="92"/>
        <v>37</v>
      </c>
      <c r="D493" t="str">
        <f t="shared" ca="1" si="93"/>
        <v>Female</v>
      </c>
      <c r="E493" t="str">
        <f t="shared" ca="1" si="94"/>
        <v>Jeans</v>
      </c>
      <c r="F493">
        <f t="shared" ca="1" si="95"/>
        <v>2878</v>
      </c>
      <c r="G493">
        <f t="shared" ca="1" si="96"/>
        <v>10</v>
      </c>
      <c r="H493">
        <f t="shared" ca="1" si="97"/>
        <v>2590.2000000000003</v>
      </c>
      <c r="I493">
        <f t="shared" ca="1" si="98"/>
        <v>1</v>
      </c>
      <c r="J493">
        <f t="shared" ca="1" si="99"/>
        <v>0</v>
      </c>
      <c r="K493">
        <f t="shared" ca="1" si="100"/>
        <v>0</v>
      </c>
      <c r="L493">
        <f t="shared" ca="1" si="101"/>
        <v>0</v>
      </c>
      <c r="M493">
        <f t="shared" ca="1" si="102"/>
        <v>5</v>
      </c>
      <c r="N493">
        <f t="shared" ca="1" si="103"/>
        <v>0</v>
      </c>
    </row>
    <row r="494" spans="1:14" x14ac:dyDescent="0.35">
      <c r="A494" t="s">
        <v>511</v>
      </c>
      <c r="B494" t="str">
        <f t="shared" si="91"/>
        <v>Control</v>
      </c>
      <c r="C494">
        <f t="shared" ca="1" si="92"/>
        <v>20</v>
      </c>
      <c r="D494" t="str">
        <f t="shared" ca="1" si="93"/>
        <v>Female</v>
      </c>
      <c r="E494" t="str">
        <f t="shared" ca="1" si="94"/>
        <v>Sportswear</v>
      </c>
      <c r="F494">
        <f t="shared" ca="1" si="95"/>
        <v>2400</v>
      </c>
      <c r="G494">
        <f t="shared" ca="1" si="96"/>
        <v>10</v>
      </c>
      <c r="H494">
        <f t="shared" ca="1" si="97"/>
        <v>2160</v>
      </c>
      <c r="I494">
        <f t="shared" ca="1" si="98"/>
        <v>1</v>
      </c>
      <c r="J494">
        <f t="shared" ca="1" si="99"/>
        <v>0</v>
      </c>
      <c r="K494">
        <f t="shared" ca="1" si="100"/>
        <v>0</v>
      </c>
      <c r="L494">
        <f t="shared" ca="1" si="101"/>
        <v>0</v>
      </c>
      <c r="M494">
        <f t="shared" ca="1" si="102"/>
        <v>1</v>
      </c>
      <c r="N494">
        <f t="shared" ca="1" si="103"/>
        <v>0</v>
      </c>
    </row>
    <row r="495" spans="1:14" x14ac:dyDescent="0.35">
      <c r="A495" t="s">
        <v>512</v>
      </c>
      <c r="B495" t="str">
        <f t="shared" si="91"/>
        <v>Control</v>
      </c>
      <c r="C495">
        <f t="shared" ca="1" si="92"/>
        <v>27</v>
      </c>
      <c r="D495" t="str">
        <f t="shared" ca="1" si="93"/>
        <v>Male</v>
      </c>
      <c r="E495" t="str">
        <f t="shared" ca="1" si="94"/>
        <v>Tops</v>
      </c>
      <c r="F495">
        <f t="shared" ca="1" si="95"/>
        <v>2085</v>
      </c>
      <c r="G495">
        <f t="shared" ca="1" si="96"/>
        <v>10</v>
      </c>
      <c r="H495">
        <f t="shared" ca="1" si="97"/>
        <v>1876.5</v>
      </c>
      <c r="I495">
        <f t="shared" ca="1" si="98"/>
        <v>0</v>
      </c>
      <c r="J495">
        <f t="shared" ca="1" si="99"/>
        <v>0</v>
      </c>
      <c r="K495">
        <f t="shared" ca="1" si="100"/>
        <v>0</v>
      </c>
      <c r="L495">
        <f t="shared" ca="1" si="101"/>
        <v>0</v>
      </c>
      <c r="M495">
        <f t="shared" ca="1" si="102"/>
        <v>2</v>
      </c>
      <c r="N495">
        <f t="shared" ca="1" si="103"/>
        <v>0</v>
      </c>
    </row>
    <row r="496" spans="1:14" x14ac:dyDescent="0.35">
      <c r="A496" t="s">
        <v>513</v>
      </c>
      <c r="B496" t="str">
        <f t="shared" si="91"/>
        <v>Control</v>
      </c>
      <c r="C496">
        <f t="shared" ca="1" si="92"/>
        <v>32</v>
      </c>
      <c r="D496" t="str">
        <f t="shared" ca="1" si="93"/>
        <v>Female</v>
      </c>
      <c r="E496" t="str">
        <f t="shared" ca="1" si="94"/>
        <v>Accessories</v>
      </c>
      <c r="F496">
        <f t="shared" ca="1" si="95"/>
        <v>5652</v>
      </c>
      <c r="G496">
        <f t="shared" ca="1" si="96"/>
        <v>10</v>
      </c>
      <c r="H496">
        <f t="shared" ca="1" si="97"/>
        <v>5086.8</v>
      </c>
      <c r="I496">
        <f t="shared" ca="1" si="98"/>
        <v>1</v>
      </c>
      <c r="J496">
        <f t="shared" ca="1" si="99"/>
        <v>0</v>
      </c>
      <c r="K496">
        <f t="shared" ca="1" si="100"/>
        <v>0</v>
      </c>
      <c r="L496">
        <f t="shared" ca="1" si="101"/>
        <v>0</v>
      </c>
      <c r="M496">
        <f t="shared" ca="1" si="102"/>
        <v>1</v>
      </c>
      <c r="N496">
        <f t="shared" ca="1" si="103"/>
        <v>0</v>
      </c>
    </row>
    <row r="497" spans="1:14" x14ac:dyDescent="0.35">
      <c r="A497" t="s">
        <v>514</v>
      </c>
      <c r="B497" t="str">
        <f t="shared" si="91"/>
        <v>Control</v>
      </c>
      <c r="C497">
        <f t="shared" ca="1" si="92"/>
        <v>30</v>
      </c>
      <c r="D497" t="str">
        <f t="shared" ca="1" si="93"/>
        <v>Male</v>
      </c>
      <c r="E497" t="str">
        <f t="shared" ca="1" si="94"/>
        <v>Accessories</v>
      </c>
      <c r="F497">
        <f t="shared" ca="1" si="95"/>
        <v>483</v>
      </c>
      <c r="G497">
        <f t="shared" ca="1" si="96"/>
        <v>10</v>
      </c>
      <c r="H497">
        <f t="shared" ca="1" si="97"/>
        <v>434.7</v>
      </c>
      <c r="I497">
        <f t="shared" ca="1" si="98"/>
        <v>1</v>
      </c>
      <c r="J497">
        <f t="shared" ca="1" si="99"/>
        <v>1</v>
      </c>
      <c r="K497">
        <f t="shared" ca="1" si="100"/>
        <v>1</v>
      </c>
      <c r="L497">
        <f t="shared" ca="1" si="101"/>
        <v>434.7</v>
      </c>
      <c r="M497">
        <f t="shared" ca="1" si="102"/>
        <v>3</v>
      </c>
      <c r="N497">
        <f t="shared" ca="1" si="103"/>
        <v>0</v>
      </c>
    </row>
    <row r="498" spans="1:14" x14ac:dyDescent="0.35">
      <c r="A498" t="s">
        <v>515</v>
      </c>
      <c r="B498" t="str">
        <f t="shared" si="91"/>
        <v>Control</v>
      </c>
      <c r="C498">
        <f t="shared" ca="1" si="92"/>
        <v>20</v>
      </c>
      <c r="D498" t="str">
        <f t="shared" ca="1" si="93"/>
        <v>Female</v>
      </c>
      <c r="E498" t="str">
        <f t="shared" ca="1" si="94"/>
        <v>T-shirts</v>
      </c>
      <c r="F498">
        <f t="shared" ca="1" si="95"/>
        <v>5295</v>
      </c>
      <c r="G498">
        <f t="shared" ca="1" si="96"/>
        <v>10</v>
      </c>
      <c r="H498">
        <f t="shared" ca="1" si="97"/>
        <v>4765.5</v>
      </c>
      <c r="I498">
        <f t="shared" ca="1" si="98"/>
        <v>0</v>
      </c>
      <c r="J498">
        <f t="shared" ca="1" si="99"/>
        <v>0</v>
      </c>
      <c r="K498">
        <f t="shared" ca="1" si="100"/>
        <v>0</v>
      </c>
      <c r="L498">
        <f t="shared" ca="1" si="101"/>
        <v>0</v>
      </c>
      <c r="M498">
        <f t="shared" ca="1" si="102"/>
        <v>5</v>
      </c>
      <c r="N498">
        <f t="shared" ca="1" si="103"/>
        <v>0</v>
      </c>
    </row>
    <row r="499" spans="1:14" x14ac:dyDescent="0.35">
      <c r="A499" t="s">
        <v>516</v>
      </c>
      <c r="B499" t="str">
        <f t="shared" si="91"/>
        <v>Control</v>
      </c>
      <c r="C499">
        <f t="shared" ca="1" si="92"/>
        <v>18</v>
      </c>
      <c r="D499" t="str">
        <f t="shared" ca="1" si="93"/>
        <v>Other</v>
      </c>
      <c r="E499" t="str">
        <f t="shared" ca="1" si="94"/>
        <v>T-shirts</v>
      </c>
      <c r="F499">
        <f t="shared" ca="1" si="95"/>
        <v>2071</v>
      </c>
      <c r="G499">
        <f t="shared" ca="1" si="96"/>
        <v>10</v>
      </c>
      <c r="H499">
        <f t="shared" ca="1" si="97"/>
        <v>1863.9</v>
      </c>
      <c r="I499">
        <f t="shared" ca="1" si="98"/>
        <v>1</v>
      </c>
      <c r="J499">
        <f t="shared" ca="1" si="99"/>
        <v>1</v>
      </c>
      <c r="K499">
        <f t="shared" ca="1" si="100"/>
        <v>0</v>
      </c>
      <c r="L499">
        <f t="shared" ca="1" si="101"/>
        <v>0</v>
      </c>
      <c r="M499">
        <f t="shared" ca="1" si="102"/>
        <v>2</v>
      </c>
      <c r="N499">
        <f t="shared" ca="1" si="103"/>
        <v>0</v>
      </c>
    </row>
    <row r="500" spans="1:14" x14ac:dyDescent="0.35">
      <c r="A500" t="s">
        <v>517</v>
      </c>
      <c r="B500" t="str">
        <f t="shared" si="91"/>
        <v>Control</v>
      </c>
      <c r="C500">
        <f t="shared" ca="1" si="92"/>
        <v>37</v>
      </c>
      <c r="D500" t="str">
        <f t="shared" ca="1" si="93"/>
        <v>Male</v>
      </c>
      <c r="E500" t="str">
        <f t="shared" ca="1" si="94"/>
        <v>Dresses</v>
      </c>
      <c r="F500">
        <f t="shared" ca="1" si="95"/>
        <v>3851</v>
      </c>
      <c r="G500">
        <f t="shared" ca="1" si="96"/>
        <v>10</v>
      </c>
      <c r="H500">
        <f t="shared" ca="1" si="97"/>
        <v>3465.9</v>
      </c>
      <c r="I500">
        <f t="shared" ca="1" si="98"/>
        <v>1</v>
      </c>
      <c r="J500">
        <f t="shared" ca="1" si="99"/>
        <v>1</v>
      </c>
      <c r="K500">
        <f t="shared" ca="1" si="100"/>
        <v>0</v>
      </c>
      <c r="L500">
        <f t="shared" ca="1" si="101"/>
        <v>0</v>
      </c>
      <c r="M500">
        <f t="shared" ca="1" si="102"/>
        <v>1</v>
      </c>
      <c r="N500">
        <f t="shared" ca="1" si="103"/>
        <v>0</v>
      </c>
    </row>
    <row r="501" spans="1:14" x14ac:dyDescent="0.35">
      <c r="A501" t="s">
        <v>518</v>
      </c>
      <c r="B501" t="str">
        <f t="shared" si="91"/>
        <v>Control</v>
      </c>
      <c r="C501">
        <f t="shared" ca="1" si="92"/>
        <v>32</v>
      </c>
      <c r="D501" t="str">
        <f t="shared" ca="1" si="93"/>
        <v>Female</v>
      </c>
      <c r="E501" t="str">
        <f t="shared" ca="1" si="94"/>
        <v>Dresses</v>
      </c>
      <c r="F501">
        <f t="shared" ca="1" si="95"/>
        <v>1219</v>
      </c>
      <c r="G501">
        <f t="shared" ca="1" si="96"/>
        <v>10</v>
      </c>
      <c r="H501">
        <f t="shared" ca="1" si="97"/>
        <v>1097.1000000000001</v>
      </c>
      <c r="I501">
        <f t="shared" ca="1" si="98"/>
        <v>1</v>
      </c>
      <c r="J501">
        <f t="shared" ca="1" si="99"/>
        <v>1</v>
      </c>
      <c r="K501">
        <f t="shared" ca="1" si="100"/>
        <v>0</v>
      </c>
      <c r="L501">
        <f t="shared" ca="1" si="101"/>
        <v>0</v>
      </c>
      <c r="M501">
        <f t="shared" ca="1" si="102"/>
        <v>3</v>
      </c>
      <c r="N501">
        <f t="shared" ca="1" si="103"/>
        <v>0</v>
      </c>
    </row>
    <row r="502" spans="1:14" x14ac:dyDescent="0.35">
      <c r="A502" t="s">
        <v>519</v>
      </c>
      <c r="B502" t="str">
        <f t="shared" si="91"/>
        <v>Control</v>
      </c>
      <c r="C502">
        <f t="shared" ca="1" si="92"/>
        <v>33</v>
      </c>
      <c r="D502" t="str">
        <f t="shared" ca="1" si="93"/>
        <v>Female</v>
      </c>
      <c r="E502" t="str">
        <f t="shared" ca="1" si="94"/>
        <v>Jeans</v>
      </c>
      <c r="F502">
        <f t="shared" ca="1" si="95"/>
        <v>7723</v>
      </c>
      <c r="G502">
        <f t="shared" ca="1" si="96"/>
        <v>10</v>
      </c>
      <c r="H502">
        <f t="shared" ca="1" si="97"/>
        <v>6950.7</v>
      </c>
      <c r="I502">
        <f t="shared" ca="1" si="98"/>
        <v>1</v>
      </c>
      <c r="J502">
        <f t="shared" ca="1" si="99"/>
        <v>1</v>
      </c>
      <c r="K502">
        <f t="shared" ca="1" si="100"/>
        <v>1</v>
      </c>
      <c r="L502">
        <f t="shared" ca="1" si="101"/>
        <v>6950.7</v>
      </c>
      <c r="M502">
        <f t="shared" ca="1" si="102"/>
        <v>5</v>
      </c>
      <c r="N502">
        <f t="shared" ca="1" si="103"/>
        <v>0</v>
      </c>
    </row>
    <row r="503" spans="1:14" x14ac:dyDescent="0.35">
      <c r="A503" t="s">
        <v>520</v>
      </c>
      <c r="B503" t="str">
        <f t="shared" si="91"/>
        <v>Control</v>
      </c>
      <c r="C503">
        <f t="shared" ca="1" si="92"/>
        <v>39</v>
      </c>
      <c r="D503" t="str">
        <f t="shared" ca="1" si="93"/>
        <v>Female</v>
      </c>
      <c r="E503" t="str">
        <f t="shared" ca="1" si="94"/>
        <v>Jeans</v>
      </c>
      <c r="F503">
        <f t="shared" ca="1" si="95"/>
        <v>5843</v>
      </c>
      <c r="G503">
        <f t="shared" ca="1" si="96"/>
        <v>10</v>
      </c>
      <c r="H503">
        <f t="shared" ca="1" si="97"/>
        <v>5258.7</v>
      </c>
      <c r="I503">
        <f t="shared" ca="1" si="98"/>
        <v>1</v>
      </c>
      <c r="J503">
        <f t="shared" ca="1" si="99"/>
        <v>0</v>
      </c>
      <c r="K503">
        <f t="shared" ca="1" si="100"/>
        <v>0</v>
      </c>
      <c r="L503">
        <f t="shared" ca="1" si="101"/>
        <v>0</v>
      </c>
      <c r="M503">
        <f t="shared" ca="1" si="102"/>
        <v>7</v>
      </c>
      <c r="N503">
        <f t="shared" ca="1" si="103"/>
        <v>0</v>
      </c>
    </row>
    <row r="504" spans="1:14" x14ac:dyDescent="0.35">
      <c r="A504" t="s">
        <v>521</v>
      </c>
      <c r="B504" t="str">
        <f t="shared" si="91"/>
        <v>Control</v>
      </c>
      <c r="C504">
        <f t="shared" ca="1" si="92"/>
        <v>32</v>
      </c>
      <c r="D504" t="str">
        <f t="shared" ca="1" si="93"/>
        <v>Female</v>
      </c>
      <c r="E504" t="str">
        <f t="shared" ca="1" si="94"/>
        <v>Ethnic Wear</v>
      </c>
      <c r="F504">
        <f t="shared" ca="1" si="95"/>
        <v>3296</v>
      </c>
      <c r="G504">
        <f t="shared" ca="1" si="96"/>
        <v>10</v>
      </c>
      <c r="H504">
        <f t="shared" ca="1" si="97"/>
        <v>2966.4</v>
      </c>
      <c r="I504">
        <f t="shared" ca="1" si="98"/>
        <v>1</v>
      </c>
      <c r="J504">
        <f t="shared" ca="1" si="99"/>
        <v>0</v>
      </c>
      <c r="K504">
        <f t="shared" ca="1" si="100"/>
        <v>0</v>
      </c>
      <c r="L504">
        <f t="shared" ca="1" si="101"/>
        <v>0</v>
      </c>
      <c r="M504">
        <f t="shared" ca="1" si="102"/>
        <v>4</v>
      </c>
      <c r="N504">
        <f t="shared" ca="1" si="103"/>
        <v>0</v>
      </c>
    </row>
    <row r="505" spans="1:14" x14ac:dyDescent="0.35">
      <c r="A505" t="s">
        <v>522</v>
      </c>
      <c r="B505" t="str">
        <f t="shared" si="91"/>
        <v>Control</v>
      </c>
      <c r="C505">
        <f t="shared" ca="1" si="92"/>
        <v>37</v>
      </c>
      <c r="D505" t="str">
        <f t="shared" ca="1" si="93"/>
        <v>Male</v>
      </c>
      <c r="E505" t="str">
        <f t="shared" ca="1" si="94"/>
        <v>Jeans</v>
      </c>
      <c r="F505">
        <f t="shared" ca="1" si="95"/>
        <v>1954</v>
      </c>
      <c r="G505">
        <f t="shared" ca="1" si="96"/>
        <v>10</v>
      </c>
      <c r="H505">
        <f t="shared" ca="1" si="97"/>
        <v>1758.6000000000001</v>
      </c>
      <c r="I505">
        <f t="shared" ca="1" si="98"/>
        <v>1</v>
      </c>
      <c r="J505">
        <f t="shared" ca="1" si="99"/>
        <v>1</v>
      </c>
      <c r="K505">
        <f t="shared" ca="1" si="100"/>
        <v>1</v>
      </c>
      <c r="L505">
        <f t="shared" ca="1" si="101"/>
        <v>1758.6000000000001</v>
      </c>
      <c r="M505">
        <f t="shared" ca="1" si="102"/>
        <v>3</v>
      </c>
      <c r="N505">
        <f t="shared" ca="1" si="103"/>
        <v>0</v>
      </c>
    </row>
    <row r="506" spans="1:14" x14ac:dyDescent="0.35">
      <c r="A506" t="s">
        <v>523</v>
      </c>
      <c r="B506" t="str">
        <f t="shared" si="91"/>
        <v>Control</v>
      </c>
      <c r="C506">
        <f t="shared" ca="1" si="92"/>
        <v>21</v>
      </c>
      <c r="D506" t="str">
        <f t="shared" ca="1" si="93"/>
        <v>Female</v>
      </c>
      <c r="E506" t="str">
        <f t="shared" ca="1" si="94"/>
        <v>Accessories</v>
      </c>
      <c r="F506">
        <f t="shared" ca="1" si="95"/>
        <v>3924</v>
      </c>
      <c r="G506">
        <f t="shared" ca="1" si="96"/>
        <v>10</v>
      </c>
      <c r="H506">
        <f t="shared" ca="1" si="97"/>
        <v>3531.6</v>
      </c>
      <c r="I506">
        <f t="shared" ca="1" si="98"/>
        <v>1</v>
      </c>
      <c r="J506">
        <f t="shared" ca="1" si="99"/>
        <v>0</v>
      </c>
      <c r="K506">
        <f t="shared" ca="1" si="100"/>
        <v>0</v>
      </c>
      <c r="L506">
        <f t="shared" ca="1" si="101"/>
        <v>0</v>
      </c>
      <c r="M506">
        <f t="shared" ca="1" si="102"/>
        <v>3</v>
      </c>
      <c r="N506">
        <f t="shared" ca="1" si="103"/>
        <v>0</v>
      </c>
    </row>
    <row r="507" spans="1:14" x14ac:dyDescent="0.35">
      <c r="A507" t="s">
        <v>524</v>
      </c>
      <c r="B507" t="str">
        <f t="shared" si="91"/>
        <v>Control</v>
      </c>
      <c r="C507">
        <f t="shared" ca="1" si="92"/>
        <v>25</v>
      </c>
      <c r="D507" t="str">
        <f t="shared" ca="1" si="93"/>
        <v>Male</v>
      </c>
      <c r="E507" t="str">
        <f t="shared" ca="1" si="94"/>
        <v>Ethnic Wear</v>
      </c>
      <c r="F507">
        <f t="shared" ca="1" si="95"/>
        <v>4433</v>
      </c>
      <c r="G507">
        <f t="shared" ca="1" si="96"/>
        <v>10</v>
      </c>
      <c r="H507">
        <f t="shared" ca="1" si="97"/>
        <v>3989.7000000000003</v>
      </c>
      <c r="I507">
        <f t="shared" ca="1" si="98"/>
        <v>1</v>
      </c>
      <c r="J507">
        <f t="shared" ca="1" si="99"/>
        <v>0</v>
      </c>
      <c r="K507">
        <f t="shared" ca="1" si="100"/>
        <v>0</v>
      </c>
      <c r="L507">
        <f t="shared" ca="1" si="101"/>
        <v>0</v>
      </c>
      <c r="M507">
        <f t="shared" ca="1" si="102"/>
        <v>2</v>
      </c>
      <c r="N507">
        <f t="shared" ca="1" si="103"/>
        <v>0</v>
      </c>
    </row>
    <row r="508" spans="1:14" x14ac:dyDescent="0.35">
      <c r="A508" t="s">
        <v>525</v>
      </c>
      <c r="B508" t="str">
        <f t="shared" si="91"/>
        <v>Control</v>
      </c>
      <c r="C508">
        <f t="shared" ca="1" si="92"/>
        <v>32</v>
      </c>
      <c r="D508" t="str">
        <f t="shared" ca="1" si="93"/>
        <v>Other</v>
      </c>
      <c r="E508" t="str">
        <f t="shared" ca="1" si="94"/>
        <v>T-shirts</v>
      </c>
      <c r="F508">
        <f t="shared" ca="1" si="95"/>
        <v>3225</v>
      </c>
      <c r="G508">
        <f t="shared" ca="1" si="96"/>
        <v>10</v>
      </c>
      <c r="H508">
        <f t="shared" ca="1" si="97"/>
        <v>2902.5</v>
      </c>
      <c r="I508">
        <f t="shared" ca="1" si="98"/>
        <v>1</v>
      </c>
      <c r="J508">
        <f t="shared" ca="1" si="99"/>
        <v>0</v>
      </c>
      <c r="K508">
        <f t="shared" ca="1" si="100"/>
        <v>0</v>
      </c>
      <c r="L508">
        <f t="shared" ca="1" si="101"/>
        <v>0</v>
      </c>
      <c r="M508">
        <f t="shared" ca="1" si="102"/>
        <v>1</v>
      </c>
      <c r="N508">
        <f t="shared" ca="1" si="103"/>
        <v>0</v>
      </c>
    </row>
    <row r="509" spans="1:14" x14ac:dyDescent="0.35">
      <c r="A509" t="s">
        <v>526</v>
      </c>
      <c r="B509" t="str">
        <f t="shared" si="91"/>
        <v>Control</v>
      </c>
      <c r="C509">
        <f t="shared" ca="1" si="92"/>
        <v>26</v>
      </c>
      <c r="D509" t="str">
        <f t="shared" ca="1" si="93"/>
        <v>Male</v>
      </c>
      <c r="E509" t="str">
        <f t="shared" ca="1" si="94"/>
        <v>Ethnic Wear</v>
      </c>
      <c r="F509">
        <f t="shared" ca="1" si="95"/>
        <v>1120</v>
      </c>
      <c r="G509">
        <f t="shared" ca="1" si="96"/>
        <v>10</v>
      </c>
      <c r="H509">
        <f t="shared" ca="1" si="97"/>
        <v>1008</v>
      </c>
      <c r="I509">
        <f t="shared" ca="1" si="98"/>
        <v>1</v>
      </c>
      <c r="J509">
        <f t="shared" ca="1" si="99"/>
        <v>0</v>
      </c>
      <c r="K509">
        <f t="shared" ca="1" si="100"/>
        <v>0</v>
      </c>
      <c r="L509">
        <f t="shared" ca="1" si="101"/>
        <v>0</v>
      </c>
      <c r="M509">
        <f t="shared" ca="1" si="102"/>
        <v>5</v>
      </c>
      <c r="N509">
        <f t="shared" ca="1" si="103"/>
        <v>0</v>
      </c>
    </row>
    <row r="510" spans="1:14" x14ac:dyDescent="0.35">
      <c r="A510" t="s">
        <v>527</v>
      </c>
      <c r="B510" t="str">
        <f t="shared" si="91"/>
        <v>Control</v>
      </c>
      <c r="C510">
        <f t="shared" ca="1" si="92"/>
        <v>39</v>
      </c>
      <c r="D510" t="str">
        <f t="shared" ca="1" si="93"/>
        <v>Female</v>
      </c>
      <c r="E510" t="str">
        <f t="shared" ca="1" si="94"/>
        <v>Jeans</v>
      </c>
      <c r="F510">
        <f t="shared" ca="1" si="95"/>
        <v>1091</v>
      </c>
      <c r="G510">
        <f t="shared" ca="1" si="96"/>
        <v>10</v>
      </c>
      <c r="H510">
        <f t="shared" ca="1" si="97"/>
        <v>981.9</v>
      </c>
      <c r="I510">
        <f t="shared" ca="1" si="98"/>
        <v>1</v>
      </c>
      <c r="J510">
        <f t="shared" ca="1" si="99"/>
        <v>1</v>
      </c>
      <c r="K510">
        <f t="shared" ca="1" si="100"/>
        <v>0</v>
      </c>
      <c r="L510">
        <f t="shared" ca="1" si="101"/>
        <v>0</v>
      </c>
      <c r="M510">
        <f t="shared" ca="1" si="102"/>
        <v>3</v>
      </c>
      <c r="N510">
        <f t="shared" ca="1" si="103"/>
        <v>0</v>
      </c>
    </row>
    <row r="511" spans="1:14" x14ac:dyDescent="0.35">
      <c r="A511" t="s">
        <v>528</v>
      </c>
      <c r="B511" t="str">
        <f t="shared" si="91"/>
        <v>Control</v>
      </c>
      <c r="C511">
        <f t="shared" ca="1" si="92"/>
        <v>35</v>
      </c>
      <c r="D511" t="str">
        <f t="shared" ca="1" si="93"/>
        <v>Female</v>
      </c>
      <c r="E511" t="str">
        <f t="shared" ca="1" si="94"/>
        <v>Tops</v>
      </c>
      <c r="F511">
        <f t="shared" ca="1" si="95"/>
        <v>885</v>
      </c>
      <c r="G511">
        <f t="shared" ca="1" si="96"/>
        <v>10</v>
      </c>
      <c r="H511">
        <f t="shared" ca="1" si="97"/>
        <v>796.5</v>
      </c>
      <c r="I511">
        <f t="shared" ca="1" si="98"/>
        <v>0</v>
      </c>
      <c r="J511">
        <f t="shared" ca="1" si="99"/>
        <v>0</v>
      </c>
      <c r="K511">
        <f t="shared" ca="1" si="100"/>
        <v>0</v>
      </c>
      <c r="L511">
        <f t="shared" ca="1" si="101"/>
        <v>0</v>
      </c>
      <c r="M511">
        <f t="shared" ca="1" si="102"/>
        <v>4</v>
      </c>
      <c r="N511">
        <f t="shared" ca="1" si="103"/>
        <v>0</v>
      </c>
    </row>
    <row r="512" spans="1:14" x14ac:dyDescent="0.35">
      <c r="A512" t="s">
        <v>529</v>
      </c>
      <c r="B512" t="str">
        <f t="shared" si="91"/>
        <v>Control</v>
      </c>
      <c r="C512">
        <f t="shared" ca="1" si="92"/>
        <v>25</v>
      </c>
      <c r="D512" t="str">
        <f t="shared" ca="1" si="93"/>
        <v>Female</v>
      </c>
      <c r="E512" t="str">
        <f t="shared" ca="1" si="94"/>
        <v>Accessories</v>
      </c>
      <c r="F512">
        <f t="shared" ca="1" si="95"/>
        <v>3078</v>
      </c>
      <c r="G512">
        <f t="shared" ca="1" si="96"/>
        <v>10</v>
      </c>
      <c r="H512">
        <f t="shared" ca="1" si="97"/>
        <v>2770.2000000000003</v>
      </c>
      <c r="I512">
        <f t="shared" ca="1" si="98"/>
        <v>0</v>
      </c>
      <c r="J512">
        <f t="shared" ca="1" si="99"/>
        <v>0</v>
      </c>
      <c r="K512">
        <f t="shared" ca="1" si="100"/>
        <v>0</v>
      </c>
      <c r="L512">
        <f t="shared" ca="1" si="101"/>
        <v>0</v>
      </c>
      <c r="M512">
        <f t="shared" ca="1" si="102"/>
        <v>7</v>
      </c>
      <c r="N512">
        <f t="shared" ca="1" si="103"/>
        <v>0</v>
      </c>
    </row>
    <row r="513" spans="1:14" x14ac:dyDescent="0.35">
      <c r="A513" t="s">
        <v>530</v>
      </c>
      <c r="B513" t="str">
        <f t="shared" si="91"/>
        <v>Control</v>
      </c>
      <c r="C513">
        <f t="shared" ca="1" si="92"/>
        <v>22</v>
      </c>
      <c r="D513" t="str">
        <f t="shared" ca="1" si="93"/>
        <v>Male</v>
      </c>
      <c r="E513" t="str">
        <f t="shared" ca="1" si="94"/>
        <v>Dresses</v>
      </c>
      <c r="F513">
        <f t="shared" ca="1" si="95"/>
        <v>4841</v>
      </c>
      <c r="G513">
        <f t="shared" ca="1" si="96"/>
        <v>10</v>
      </c>
      <c r="H513">
        <f t="shared" ca="1" si="97"/>
        <v>4356.9000000000005</v>
      </c>
      <c r="I513">
        <f t="shared" ca="1" si="98"/>
        <v>1</v>
      </c>
      <c r="J513">
        <f t="shared" ca="1" si="99"/>
        <v>0</v>
      </c>
      <c r="K513">
        <f t="shared" ca="1" si="100"/>
        <v>0</v>
      </c>
      <c r="L513">
        <f t="shared" ca="1" si="101"/>
        <v>0</v>
      </c>
      <c r="M513">
        <f t="shared" ca="1" si="102"/>
        <v>7</v>
      </c>
      <c r="N513">
        <f t="shared" ca="1" si="103"/>
        <v>0</v>
      </c>
    </row>
    <row r="514" spans="1:14" x14ac:dyDescent="0.35">
      <c r="A514" t="s">
        <v>531</v>
      </c>
      <c r="B514" t="str">
        <f t="shared" si="91"/>
        <v>Control</v>
      </c>
      <c r="C514">
        <f t="shared" ca="1" si="92"/>
        <v>45</v>
      </c>
      <c r="D514" t="str">
        <f t="shared" ca="1" si="93"/>
        <v>Male</v>
      </c>
      <c r="E514" t="str">
        <f t="shared" ca="1" si="94"/>
        <v>T-shirts</v>
      </c>
      <c r="F514">
        <f t="shared" ca="1" si="95"/>
        <v>2860</v>
      </c>
      <c r="G514">
        <f t="shared" ca="1" si="96"/>
        <v>10</v>
      </c>
      <c r="H514">
        <f t="shared" ca="1" si="97"/>
        <v>2574</v>
      </c>
      <c r="I514">
        <f t="shared" ca="1" si="98"/>
        <v>1</v>
      </c>
      <c r="J514">
        <f t="shared" ca="1" si="99"/>
        <v>1</v>
      </c>
      <c r="K514">
        <f t="shared" ca="1" si="100"/>
        <v>0</v>
      </c>
      <c r="L514">
        <f t="shared" ca="1" si="101"/>
        <v>0</v>
      </c>
      <c r="M514">
        <f t="shared" ca="1" si="102"/>
        <v>5</v>
      </c>
      <c r="N514">
        <f t="shared" ca="1" si="103"/>
        <v>0</v>
      </c>
    </row>
    <row r="515" spans="1:14" x14ac:dyDescent="0.35">
      <c r="A515" t="s">
        <v>532</v>
      </c>
      <c r="B515" t="str">
        <f t="shared" si="91"/>
        <v>Control</v>
      </c>
      <c r="C515">
        <f t="shared" ca="1" si="92"/>
        <v>32</v>
      </c>
      <c r="D515" t="str">
        <f t="shared" ca="1" si="93"/>
        <v>Female</v>
      </c>
      <c r="E515" t="str">
        <f t="shared" ca="1" si="94"/>
        <v>Shoes</v>
      </c>
      <c r="F515">
        <f t="shared" ca="1" si="95"/>
        <v>2332</v>
      </c>
      <c r="G515">
        <f t="shared" ca="1" si="96"/>
        <v>10</v>
      </c>
      <c r="H515">
        <f t="shared" ca="1" si="97"/>
        <v>2098.8000000000002</v>
      </c>
      <c r="I515">
        <f t="shared" ca="1" si="98"/>
        <v>1</v>
      </c>
      <c r="J515">
        <f t="shared" ca="1" si="99"/>
        <v>1</v>
      </c>
      <c r="K515">
        <f t="shared" ca="1" si="100"/>
        <v>1</v>
      </c>
      <c r="L515">
        <f t="shared" ca="1" si="101"/>
        <v>2098.8000000000002</v>
      </c>
      <c r="M515">
        <f t="shared" ca="1" si="102"/>
        <v>1</v>
      </c>
      <c r="N515">
        <f t="shared" ca="1" si="103"/>
        <v>0</v>
      </c>
    </row>
    <row r="516" spans="1:14" x14ac:dyDescent="0.35">
      <c r="A516" t="s">
        <v>533</v>
      </c>
      <c r="B516" t="str">
        <f t="shared" si="91"/>
        <v>Control</v>
      </c>
      <c r="C516">
        <f t="shared" ca="1" si="92"/>
        <v>21</v>
      </c>
      <c r="D516" t="str">
        <f t="shared" ca="1" si="93"/>
        <v>Male</v>
      </c>
      <c r="E516" t="str">
        <f t="shared" ca="1" si="94"/>
        <v>Shoes</v>
      </c>
      <c r="F516">
        <f t="shared" ca="1" si="95"/>
        <v>4661</v>
      </c>
      <c r="G516">
        <f t="shared" ca="1" si="96"/>
        <v>10</v>
      </c>
      <c r="H516">
        <f t="shared" ca="1" si="97"/>
        <v>4194.9000000000005</v>
      </c>
      <c r="I516">
        <f t="shared" ca="1" si="98"/>
        <v>1</v>
      </c>
      <c r="J516">
        <f t="shared" ca="1" si="99"/>
        <v>0</v>
      </c>
      <c r="K516">
        <f t="shared" ca="1" si="100"/>
        <v>0</v>
      </c>
      <c r="L516">
        <f t="shared" ca="1" si="101"/>
        <v>0</v>
      </c>
      <c r="M516">
        <f t="shared" ca="1" si="102"/>
        <v>6</v>
      </c>
      <c r="N516">
        <f t="shared" ca="1" si="103"/>
        <v>0</v>
      </c>
    </row>
    <row r="517" spans="1:14" x14ac:dyDescent="0.35">
      <c r="A517" t="s">
        <v>534</v>
      </c>
      <c r="B517" t="str">
        <f t="shared" ref="B517:B580" si="104">IF(ROW()&lt;=1001,"Control","Test")</f>
        <v>Control</v>
      </c>
      <c r="C517">
        <f t="shared" ref="C517:C580" ca="1" si="105">RANDBETWEEN(18,45)</f>
        <v>37</v>
      </c>
      <c r="D517" t="str">
        <f t="shared" ref="D517:D580" ca="1" si="106">CHOOSE(RANDBETWEEN(1,20),"Female","Female","Female","Female","Female","Female","Female","Female","Female","Female","Male","Male","Male","Male","Male","Male","Male","Male","Other","Other")</f>
        <v>Male</v>
      </c>
      <c r="E517" t="str">
        <f t="shared" ref="E517:E580" ca="1" si="107">CHOOSE(RANDBETWEEN(1,8),"T-shirts","Dresses","Jeans","Shoes","Ethnic Wear","Tops","Sportswear","Accessories")</f>
        <v>Jeans</v>
      </c>
      <c r="F517">
        <f t="shared" ref="F517:F580" ca="1" si="108">RANDBETWEEN(300,8000)</f>
        <v>1528</v>
      </c>
      <c r="G517">
        <f t="shared" ref="G517:G580" ca="1" si="109">IF(B517="Control",10,CHOOSE(RANDBETWEEN(1,3),15,20,25))</f>
        <v>10</v>
      </c>
      <c r="H517">
        <f t="shared" ref="H517:H580" ca="1" si="110">F517*(1-G517/100)</f>
        <v>1375.2</v>
      </c>
      <c r="I517">
        <f t="shared" ref="I517:I580" ca="1" si="111">IF(RAND()&lt;0.85,1,0)</f>
        <v>1</v>
      </c>
      <c r="J517">
        <f t="shared" ref="J517:J580" ca="1" si="112">IF(I517=1,IF(RAND()&lt;0.55,1,0),0)</f>
        <v>1</v>
      </c>
      <c r="K517">
        <f t="shared" ref="K517:K580" ca="1" si="113">IF(J517=1,IF(B517="Test",IF(RAND()&lt;0.4,1,0),IF(RAND()&lt;0.34,1,0)),0)</f>
        <v>1</v>
      </c>
      <c r="L517">
        <f t="shared" ref="L517:L580" ca="1" si="114">IF(K517=1,H517,0)</f>
        <v>1375.2</v>
      </c>
      <c r="M517">
        <f t="shared" ref="M517:M580" ca="1" si="115">RANDBETWEEN(1,7)</f>
        <v>2</v>
      </c>
      <c r="N517">
        <f t="shared" ref="N517:N580" ca="1" si="116">IF(K517=1,IF(RAND()&lt;0.15,1,0),0)</f>
        <v>0</v>
      </c>
    </row>
    <row r="518" spans="1:14" x14ac:dyDescent="0.35">
      <c r="A518" t="s">
        <v>535</v>
      </c>
      <c r="B518" t="str">
        <f t="shared" si="104"/>
        <v>Control</v>
      </c>
      <c r="C518">
        <f t="shared" ca="1" si="105"/>
        <v>32</v>
      </c>
      <c r="D518" t="str">
        <f t="shared" ca="1" si="106"/>
        <v>Female</v>
      </c>
      <c r="E518" t="str">
        <f t="shared" ca="1" si="107"/>
        <v>Dresses</v>
      </c>
      <c r="F518">
        <f t="shared" ca="1" si="108"/>
        <v>5560</v>
      </c>
      <c r="G518">
        <f t="shared" ca="1" si="109"/>
        <v>10</v>
      </c>
      <c r="H518">
        <f t="shared" ca="1" si="110"/>
        <v>5004</v>
      </c>
      <c r="I518">
        <f t="shared" ca="1" si="111"/>
        <v>1</v>
      </c>
      <c r="J518">
        <f t="shared" ca="1" si="112"/>
        <v>1</v>
      </c>
      <c r="K518">
        <f t="shared" ca="1" si="113"/>
        <v>1</v>
      </c>
      <c r="L518">
        <f t="shared" ca="1" si="114"/>
        <v>5004</v>
      </c>
      <c r="M518">
        <f t="shared" ca="1" si="115"/>
        <v>1</v>
      </c>
      <c r="N518">
        <f t="shared" ca="1" si="116"/>
        <v>0</v>
      </c>
    </row>
    <row r="519" spans="1:14" x14ac:dyDescent="0.35">
      <c r="A519" t="s">
        <v>536</v>
      </c>
      <c r="B519" t="str">
        <f t="shared" si="104"/>
        <v>Control</v>
      </c>
      <c r="C519">
        <f t="shared" ca="1" si="105"/>
        <v>20</v>
      </c>
      <c r="D519" t="str">
        <f t="shared" ca="1" si="106"/>
        <v>Male</v>
      </c>
      <c r="E519" t="str">
        <f t="shared" ca="1" si="107"/>
        <v>Sportswear</v>
      </c>
      <c r="F519">
        <f t="shared" ca="1" si="108"/>
        <v>6253</v>
      </c>
      <c r="G519">
        <f t="shared" ca="1" si="109"/>
        <v>10</v>
      </c>
      <c r="H519">
        <f t="shared" ca="1" si="110"/>
        <v>5627.7</v>
      </c>
      <c r="I519">
        <f t="shared" ca="1" si="111"/>
        <v>1</v>
      </c>
      <c r="J519">
        <f t="shared" ca="1" si="112"/>
        <v>1</v>
      </c>
      <c r="K519">
        <f t="shared" ca="1" si="113"/>
        <v>0</v>
      </c>
      <c r="L519">
        <f t="shared" ca="1" si="114"/>
        <v>0</v>
      </c>
      <c r="M519">
        <f t="shared" ca="1" si="115"/>
        <v>6</v>
      </c>
      <c r="N519">
        <f t="shared" ca="1" si="116"/>
        <v>0</v>
      </c>
    </row>
    <row r="520" spans="1:14" x14ac:dyDescent="0.35">
      <c r="A520" t="s">
        <v>537</v>
      </c>
      <c r="B520" t="str">
        <f t="shared" si="104"/>
        <v>Control</v>
      </c>
      <c r="C520">
        <f t="shared" ca="1" si="105"/>
        <v>31</v>
      </c>
      <c r="D520" t="str">
        <f t="shared" ca="1" si="106"/>
        <v>Male</v>
      </c>
      <c r="E520" t="str">
        <f t="shared" ca="1" si="107"/>
        <v>Jeans</v>
      </c>
      <c r="F520">
        <f t="shared" ca="1" si="108"/>
        <v>7528</v>
      </c>
      <c r="G520">
        <f t="shared" ca="1" si="109"/>
        <v>10</v>
      </c>
      <c r="H520">
        <f t="shared" ca="1" si="110"/>
        <v>6775.2</v>
      </c>
      <c r="I520">
        <f t="shared" ca="1" si="111"/>
        <v>1</v>
      </c>
      <c r="J520">
        <f t="shared" ca="1" si="112"/>
        <v>1</v>
      </c>
      <c r="K520">
        <f t="shared" ca="1" si="113"/>
        <v>1</v>
      </c>
      <c r="L520">
        <f t="shared" ca="1" si="114"/>
        <v>6775.2</v>
      </c>
      <c r="M520">
        <f t="shared" ca="1" si="115"/>
        <v>3</v>
      </c>
      <c r="N520">
        <f t="shared" ca="1" si="116"/>
        <v>0</v>
      </c>
    </row>
    <row r="521" spans="1:14" x14ac:dyDescent="0.35">
      <c r="A521" t="s">
        <v>538</v>
      </c>
      <c r="B521" t="str">
        <f t="shared" si="104"/>
        <v>Control</v>
      </c>
      <c r="C521">
        <f t="shared" ca="1" si="105"/>
        <v>37</v>
      </c>
      <c r="D521" t="str">
        <f t="shared" ca="1" si="106"/>
        <v>Male</v>
      </c>
      <c r="E521" t="str">
        <f t="shared" ca="1" si="107"/>
        <v>Shoes</v>
      </c>
      <c r="F521">
        <f t="shared" ca="1" si="108"/>
        <v>1974</v>
      </c>
      <c r="G521">
        <f t="shared" ca="1" si="109"/>
        <v>10</v>
      </c>
      <c r="H521">
        <f t="shared" ca="1" si="110"/>
        <v>1776.6000000000001</v>
      </c>
      <c r="I521">
        <f t="shared" ca="1" si="111"/>
        <v>1</v>
      </c>
      <c r="J521">
        <f t="shared" ca="1" si="112"/>
        <v>1</v>
      </c>
      <c r="K521">
        <f t="shared" ca="1" si="113"/>
        <v>0</v>
      </c>
      <c r="L521">
        <f t="shared" ca="1" si="114"/>
        <v>0</v>
      </c>
      <c r="M521">
        <f t="shared" ca="1" si="115"/>
        <v>5</v>
      </c>
      <c r="N521">
        <f t="shared" ca="1" si="116"/>
        <v>0</v>
      </c>
    </row>
    <row r="522" spans="1:14" x14ac:dyDescent="0.35">
      <c r="A522" t="s">
        <v>539</v>
      </c>
      <c r="B522" t="str">
        <f t="shared" si="104"/>
        <v>Control</v>
      </c>
      <c r="C522">
        <f t="shared" ca="1" si="105"/>
        <v>24</v>
      </c>
      <c r="D522" t="str">
        <f t="shared" ca="1" si="106"/>
        <v>Female</v>
      </c>
      <c r="E522" t="str">
        <f t="shared" ca="1" si="107"/>
        <v>Dresses</v>
      </c>
      <c r="F522">
        <f t="shared" ca="1" si="108"/>
        <v>5622</v>
      </c>
      <c r="G522">
        <f t="shared" ca="1" si="109"/>
        <v>10</v>
      </c>
      <c r="H522">
        <f t="shared" ca="1" si="110"/>
        <v>5059.8</v>
      </c>
      <c r="I522">
        <f t="shared" ca="1" si="111"/>
        <v>1</v>
      </c>
      <c r="J522">
        <f t="shared" ca="1" si="112"/>
        <v>1</v>
      </c>
      <c r="K522">
        <f t="shared" ca="1" si="113"/>
        <v>1</v>
      </c>
      <c r="L522">
        <f t="shared" ca="1" si="114"/>
        <v>5059.8</v>
      </c>
      <c r="M522">
        <f t="shared" ca="1" si="115"/>
        <v>1</v>
      </c>
      <c r="N522">
        <f t="shared" ca="1" si="116"/>
        <v>0</v>
      </c>
    </row>
    <row r="523" spans="1:14" x14ac:dyDescent="0.35">
      <c r="A523" t="s">
        <v>540</v>
      </c>
      <c r="B523" t="str">
        <f t="shared" si="104"/>
        <v>Control</v>
      </c>
      <c r="C523">
        <f t="shared" ca="1" si="105"/>
        <v>18</v>
      </c>
      <c r="D523" t="str">
        <f t="shared" ca="1" si="106"/>
        <v>Male</v>
      </c>
      <c r="E523" t="str">
        <f t="shared" ca="1" si="107"/>
        <v>Ethnic Wear</v>
      </c>
      <c r="F523">
        <f t="shared" ca="1" si="108"/>
        <v>6621</v>
      </c>
      <c r="G523">
        <f t="shared" ca="1" si="109"/>
        <v>10</v>
      </c>
      <c r="H523">
        <f t="shared" ca="1" si="110"/>
        <v>5958.9000000000005</v>
      </c>
      <c r="I523">
        <f t="shared" ca="1" si="111"/>
        <v>1</v>
      </c>
      <c r="J523">
        <f t="shared" ca="1" si="112"/>
        <v>0</v>
      </c>
      <c r="K523">
        <f t="shared" ca="1" si="113"/>
        <v>0</v>
      </c>
      <c r="L523">
        <f t="shared" ca="1" si="114"/>
        <v>0</v>
      </c>
      <c r="M523">
        <f t="shared" ca="1" si="115"/>
        <v>2</v>
      </c>
      <c r="N523">
        <f t="shared" ca="1" si="116"/>
        <v>0</v>
      </c>
    </row>
    <row r="524" spans="1:14" x14ac:dyDescent="0.35">
      <c r="A524" t="s">
        <v>541</v>
      </c>
      <c r="B524" t="str">
        <f t="shared" si="104"/>
        <v>Control</v>
      </c>
      <c r="C524">
        <f t="shared" ca="1" si="105"/>
        <v>18</v>
      </c>
      <c r="D524" t="str">
        <f t="shared" ca="1" si="106"/>
        <v>Female</v>
      </c>
      <c r="E524" t="str">
        <f t="shared" ca="1" si="107"/>
        <v>Jeans</v>
      </c>
      <c r="F524">
        <f t="shared" ca="1" si="108"/>
        <v>7622</v>
      </c>
      <c r="G524">
        <f t="shared" ca="1" si="109"/>
        <v>10</v>
      </c>
      <c r="H524">
        <f t="shared" ca="1" si="110"/>
        <v>6859.8</v>
      </c>
      <c r="I524">
        <f t="shared" ca="1" si="111"/>
        <v>1</v>
      </c>
      <c r="J524">
        <f t="shared" ca="1" si="112"/>
        <v>1</v>
      </c>
      <c r="K524">
        <f t="shared" ca="1" si="113"/>
        <v>1</v>
      </c>
      <c r="L524">
        <f t="shared" ca="1" si="114"/>
        <v>6859.8</v>
      </c>
      <c r="M524">
        <f t="shared" ca="1" si="115"/>
        <v>2</v>
      </c>
      <c r="N524">
        <f t="shared" ca="1" si="116"/>
        <v>0</v>
      </c>
    </row>
    <row r="525" spans="1:14" x14ac:dyDescent="0.35">
      <c r="A525" t="s">
        <v>542</v>
      </c>
      <c r="B525" t="str">
        <f t="shared" si="104"/>
        <v>Control</v>
      </c>
      <c r="C525">
        <f t="shared" ca="1" si="105"/>
        <v>31</v>
      </c>
      <c r="D525" t="str">
        <f t="shared" ca="1" si="106"/>
        <v>Female</v>
      </c>
      <c r="E525" t="str">
        <f t="shared" ca="1" si="107"/>
        <v>Ethnic Wear</v>
      </c>
      <c r="F525">
        <f t="shared" ca="1" si="108"/>
        <v>3044</v>
      </c>
      <c r="G525">
        <f t="shared" ca="1" si="109"/>
        <v>10</v>
      </c>
      <c r="H525">
        <f t="shared" ca="1" si="110"/>
        <v>2739.6</v>
      </c>
      <c r="I525">
        <f t="shared" ca="1" si="111"/>
        <v>1</v>
      </c>
      <c r="J525">
        <f t="shared" ca="1" si="112"/>
        <v>1</v>
      </c>
      <c r="K525">
        <f t="shared" ca="1" si="113"/>
        <v>0</v>
      </c>
      <c r="L525">
        <f t="shared" ca="1" si="114"/>
        <v>0</v>
      </c>
      <c r="M525">
        <f t="shared" ca="1" si="115"/>
        <v>2</v>
      </c>
      <c r="N525">
        <f t="shared" ca="1" si="116"/>
        <v>0</v>
      </c>
    </row>
    <row r="526" spans="1:14" x14ac:dyDescent="0.35">
      <c r="A526" t="s">
        <v>543</v>
      </c>
      <c r="B526" t="str">
        <f t="shared" si="104"/>
        <v>Control</v>
      </c>
      <c r="C526">
        <f t="shared" ca="1" si="105"/>
        <v>26</v>
      </c>
      <c r="D526" t="str">
        <f t="shared" ca="1" si="106"/>
        <v>Female</v>
      </c>
      <c r="E526" t="str">
        <f t="shared" ca="1" si="107"/>
        <v>Dresses</v>
      </c>
      <c r="F526">
        <f t="shared" ca="1" si="108"/>
        <v>6804</v>
      </c>
      <c r="G526">
        <f t="shared" ca="1" si="109"/>
        <v>10</v>
      </c>
      <c r="H526">
        <f t="shared" ca="1" si="110"/>
        <v>6123.6</v>
      </c>
      <c r="I526">
        <f t="shared" ca="1" si="111"/>
        <v>1</v>
      </c>
      <c r="J526">
        <f t="shared" ca="1" si="112"/>
        <v>1</v>
      </c>
      <c r="K526">
        <f t="shared" ca="1" si="113"/>
        <v>0</v>
      </c>
      <c r="L526">
        <f t="shared" ca="1" si="114"/>
        <v>0</v>
      </c>
      <c r="M526">
        <f t="shared" ca="1" si="115"/>
        <v>4</v>
      </c>
      <c r="N526">
        <f t="shared" ca="1" si="116"/>
        <v>0</v>
      </c>
    </row>
    <row r="527" spans="1:14" x14ac:dyDescent="0.35">
      <c r="A527" t="s">
        <v>544</v>
      </c>
      <c r="B527" t="str">
        <f t="shared" si="104"/>
        <v>Control</v>
      </c>
      <c r="C527">
        <f t="shared" ca="1" si="105"/>
        <v>33</v>
      </c>
      <c r="D527" t="str">
        <f t="shared" ca="1" si="106"/>
        <v>Male</v>
      </c>
      <c r="E527" t="str">
        <f t="shared" ca="1" si="107"/>
        <v>T-shirts</v>
      </c>
      <c r="F527">
        <f t="shared" ca="1" si="108"/>
        <v>759</v>
      </c>
      <c r="G527">
        <f t="shared" ca="1" si="109"/>
        <v>10</v>
      </c>
      <c r="H527">
        <f t="shared" ca="1" si="110"/>
        <v>683.1</v>
      </c>
      <c r="I527">
        <f t="shared" ca="1" si="111"/>
        <v>1</v>
      </c>
      <c r="J527">
        <f t="shared" ca="1" si="112"/>
        <v>1</v>
      </c>
      <c r="K527">
        <f t="shared" ca="1" si="113"/>
        <v>0</v>
      </c>
      <c r="L527">
        <f t="shared" ca="1" si="114"/>
        <v>0</v>
      </c>
      <c r="M527">
        <f t="shared" ca="1" si="115"/>
        <v>4</v>
      </c>
      <c r="N527">
        <f t="shared" ca="1" si="116"/>
        <v>0</v>
      </c>
    </row>
    <row r="528" spans="1:14" x14ac:dyDescent="0.35">
      <c r="A528" t="s">
        <v>545</v>
      </c>
      <c r="B528" t="str">
        <f t="shared" si="104"/>
        <v>Control</v>
      </c>
      <c r="C528">
        <f t="shared" ca="1" si="105"/>
        <v>31</v>
      </c>
      <c r="D528" t="str">
        <f t="shared" ca="1" si="106"/>
        <v>Female</v>
      </c>
      <c r="E528" t="str">
        <f t="shared" ca="1" si="107"/>
        <v>Ethnic Wear</v>
      </c>
      <c r="F528">
        <f t="shared" ca="1" si="108"/>
        <v>6453</v>
      </c>
      <c r="G528">
        <f t="shared" ca="1" si="109"/>
        <v>10</v>
      </c>
      <c r="H528">
        <f t="shared" ca="1" si="110"/>
        <v>5807.7</v>
      </c>
      <c r="I528">
        <f t="shared" ca="1" si="111"/>
        <v>0</v>
      </c>
      <c r="J528">
        <f t="shared" ca="1" si="112"/>
        <v>0</v>
      </c>
      <c r="K528">
        <f t="shared" ca="1" si="113"/>
        <v>0</v>
      </c>
      <c r="L528">
        <f t="shared" ca="1" si="114"/>
        <v>0</v>
      </c>
      <c r="M528">
        <f t="shared" ca="1" si="115"/>
        <v>3</v>
      </c>
      <c r="N528">
        <f t="shared" ca="1" si="116"/>
        <v>0</v>
      </c>
    </row>
    <row r="529" spans="1:14" x14ac:dyDescent="0.35">
      <c r="A529" t="s">
        <v>546</v>
      </c>
      <c r="B529" t="str">
        <f t="shared" si="104"/>
        <v>Control</v>
      </c>
      <c r="C529">
        <f t="shared" ca="1" si="105"/>
        <v>33</v>
      </c>
      <c r="D529" t="str">
        <f t="shared" ca="1" si="106"/>
        <v>Other</v>
      </c>
      <c r="E529" t="str">
        <f t="shared" ca="1" si="107"/>
        <v>T-shirts</v>
      </c>
      <c r="F529">
        <f t="shared" ca="1" si="108"/>
        <v>7744</v>
      </c>
      <c r="G529">
        <f t="shared" ca="1" si="109"/>
        <v>10</v>
      </c>
      <c r="H529">
        <f t="shared" ca="1" si="110"/>
        <v>6969.6</v>
      </c>
      <c r="I529">
        <f t="shared" ca="1" si="111"/>
        <v>0</v>
      </c>
      <c r="J529">
        <f t="shared" ca="1" si="112"/>
        <v>0</v>
      </c>
      <c r="K529">
        <f t="shared" ca="1" si="113"/>
        <v>0</v>
      </c>
      <c r="L529">
        <f t="shared" ca="1" si="114"/>
        <v>0</v>
      </c>
      <c r="M529">
        <f t="shared" ca="1" si="115"/>
        <v>3</v>
      </c>
      <c r="N529">
        <f t="shared" ca="1" si="116"/>
        <v>0</v>
      </c>
    </row>
    <row r="530" spans="1:14" x14ac:dyDescent="0.35">
      <c r="A530" t="s">
        <v>547</v>
      </c>
      <c r="B530" t="str">
        <f t="shared" si="104"/>
        <v>Control</v>
      </c>
      <c r="C530">
        <f t="shared" ca="1" si="105"/>
        <v>22</v>
      </c>
      <c r="D530" t="str">
        <f t="shared" ca="1" si="106"/>
        <v>Male</v>
      </c>
      <c r="E530" t="str">
        <f t="shared" ca="1" si="107"/>
        <v>Ethnic Wear</v>
      </c>
      <c r="F530">
        <f t="shared" ca="1" si="108"/>
        <v>2290</v>
      </c>
      <c r="G530">
        <f t="shared" ca="1" si="109"/>
        <v>10</v>
      </c>
      <c r="H530">
        <f t="shared" ca="1" si="110"/>
        <v>2061</v>
      </c>
      <c r="I530">
        <f t="shared" ca="1" si="111"/>
        <v>1</v>
      </c>
      <c r="J530">
        <f t="shared" ca="1" si="112"/>
        <v>0</v>
      </c>
      <c r="K530">
        <f t="shared" ca="1" si="113"/>
        <v>0</v>
      </c>
      <c r="L530">
        <f t="shared" ca="1" si="114"/>
        <v>0</v>
      </c>
      <c r="M530">
        <f t="shared" ca="1" si="115"/>
        <v>6</v>
      </c>
      <c r="N530">
        <f t="shared" ca="1" si="116"/>
        <v>0</v>
      </c>
    </row>
    <row r="531" spans="1:14" x14ac:dyDescent="0.35">
      <c r="A531" t="s">
        <v>548</v>
      </c>
      <c r="B531" t="str">
        <f t="shared" si="104"/>
        <v>Control</v>
      </c>
      <c r="C531">
        <f t="shared" ca="1" si="105"/>
        <v>22</v>
      </c>
      <c r="D531" t="str">
        <f t="shared" ca="1" si="106"/>
        <v>Female</v>
      </c>
      <c r="E531" t="str">
        <f t="shared" ca="1" si="107"/>
        <v>Jeans</v>
      </c>
      <c r="F531">
        <f t="shared" ca="1" si="108"/>
        <v>5913</v>
      </c>
      <c r="G531">
        <f t="shared" ca="1" si="109"/>
        <v>10</v>
      </c>
      <c r="H531">
        <f t="shared" ca="1" si="110"/>
        <v>5321.7</v>
      </c>
      <c r="I531">
        <f t="shared" ca="1" si="111"/>
        <v>0</v>
      </c>
      <c r="J531">
        <f t="shared" ca="1" si="112"/>
        <v>0</v>
      </c>
      <c r="K531">
        <f t="shared" ca="1" si="113"/>
        <v>0</v>
      </c>
      <c r="L531">
        <f t="shared" ca="1" si="114"/>
        <v>0</v>
      </c>
      <c r="M531">
        <f t="shared" ca="1" si="115"/>
        <v>2</v>
      </c>
      <c r="N531">
        <f t="shared" ca="1" si="116"/>
        <v>0</v>
      </c>
    </row>
    <row r="532" spans="1:14" x14ac:dyDescent="0.35">
      <c r="A532" t="s">
        <v>549</v>
      </c>
      <c r="B532" t="str">
        <f t="shared" si="104"/>
        <v>Control</v>
      </c>
      <c r="C532">
        <f t="shared" ca="1" si="105"/>
        <v>39</v>
      </c>
      <c r="D532" t="str">
        <f t="shared" ca="1" si="106"/>
        <v>Female</v>
      </c>
      <c r="E532" t="str">
        <f t="shared" ca="1" si="107"/>
        <v>T-shirts</v>
      </c>
      <c r="F532">
        <f t="shared" ca="1" si="108"/>
        <v>5844</v>
      </c>
      <c r="G532">
        <f t="shared" ca="1" si="109"/>
        <v>10</v>
      </c>
      <c r="H532">
        <f t="shared" ca="1" si="110"/>
        <v>5259.6</v>
      </c>
      <c r="I532">
        <f t="shared" ca="1" si="111"/>
        <v>1</v>
      </c>
      <c r="J532">
        <f t="shared" ca="1" si="112"/>
        <v>0</v>
      </c>
      <c r="K532">
        <f t="shared" ca="1" si="113"/>
        <v>0</v>
      </c>
      <c r="L532">
        <f t="shared" ca="1" si="114"/>
        <v>0</v>
      </c>
      <c r="M532">
        <f t="shared" ca="1" si="115"/>
        <v>7</v>
      </c>
      <c r="N532">
        <f t="shared" ca="1" si="116"/>
        <v>0</v>
      </c>
    </row>
    <row r="533" spans="1:14" x14ac:dyDescent="0.35">
      <c r="A533" t="s">
        <v>550</v>
      </c>
      <c r="B533" t="str">
        <f t="shared" si="104"/>
        <v>Control</v>
      </c>
      <c r="C533">
        <f t="shared" ca="1" si="105"/>
        <v>45</v>
      </c>
      <c r="D533" t="str">
        <f t="shared" ca="1" si="106"/>
        <v>Female</v>
      </c>
      <c r="E533" t="str">
        <f t="shared" ca="1" si="107"/>
        <v>Shoes</v>
      </c>
      <c r="F533">
        <f t="shared" ca="1" si="108"/>
        <v>7984</v>
      </c>
      <c r="G533">
        <f t="shared" ca="1" si="109"/>
        <v>10</v>
      </c>
      <c r="H533">
        <f t="shared" ca="1" si="110"/>
        <v>7185.6</v>
      </c>
      <c r="I533">
        <f t="shared" ca="1" si="111"/>
        <v>1</v>
      </c>
      <c r="J533">
        <f t="shared" ca="1" si="112"/>
        <v>0</v>
      </c>
      <c r="K533">
        <f t="shared" ca="1" si="113"/>
        <v>0</v>
      </c>
      <c r="L533">
        <f t="shared" ca="1" si="114"/>
        <v>0</v>
      </c>
      <c r="M533">
        <f t="shared" ca="1" si="115"/>
        <v>6</v>
      </c>
      <c r="N533">
        <f t="shared" ca="1" si="116"/>
        <v>0</v>
      </c>
    </row>
    <row r="534" spans="1:14" x14ac:dyDescent="0.35">
      <c r="A534" t="s">
        <v>551</v>
      </c>
      <c r="B534" t="str">
        <f t="shared" si="104"/>
        <v>Control</v>
      </c>
      <c r="C534">
        <f t="shared" ca="1" si="105"/>
        <v>39</v>
      </c>
      <c r="D534" t="str">
        <f t="shared" ca="1" si="106"/>
        <v>Female</v>
      </c>
      <c r="E534" t="str">
        <f t="shared" ca="1" si="107"/>
        <v>T-shirts</v>
      </c>
      <c r="F534">
        <f t="shared" ca="1" si="108"/>
        <v>6154</v>
      </c>
      <c r="G534">
        <f t="shared" ca="1" si="109"/>
        <v>10</v>
      </c>
      <c r="H534">
        <f t="shared" ca="1" si="110"/>
        <v>5538.6</v>
      </c>
      <c r="I534">
        <f t="shared" ca="1" si="111"/>
        <v>1</v>
      </c>
      <c r="J534">
        <f t="shared" ca="1" si="112"/>
        <v>1</v>
      </c>
      <c r="K534">
        <f t="shared" ca="1" si="113"/>
        <v>0</v>
      </c>
      <c r="L534">
        <f t="shared" ca="1" si="114"/>
        <v>0</v>
      </c>
      <c r="M534">
        <f t="shared" ca="1" si="115"/>
        <v>2</v>
      </c>
      <c r="N534">
        <f t="shared" ca="1" si="116"/>
        <v>0</v>
      </c>
    </row>
    <row r="535" spans="1:14" x14ac:dyDescent="0.35">
      <c r="A535" t="s">
        <v>552</v>
      </c>
      <c r="B535" t="str">
        <f t="shared" si="104"/>
        <v>Control</v>
      </c>
      <c r="C535">
        <f t="shared" ca="1" si="105"/>
        <v>37</v>
      </c>
      <c r="D535" t="str">
        <f t="shared" ca="1" si="106"/>
        <v>Female</v>
      </c>
      <c r="E535" t="str">
        <f t="shared" ca="1" si="107"/>
        <v>Sportswear</v>
      </c>
      <c r="F535">
        <f t="shared" ca="1" si="108"/>
        <v>1350</v>
      </c>
      <c r="G535">
        <f t="shared" ca="1" si="109"/>
        <v>10</v>
      </c>
      <c r="H535">
        <f t="shared" ca="1" si="110"/>
        <v>1215</v>
      </c>
      <c r="I535">
        <f t="shared" ca="1" si="111"/>
        <v>1</v>
      </c>
      <c r="J535">
        <f t="shared" ca="1" si="112"/>
        <v>0</v>
      </c>
      <c r="K535">
        <f t="shared" ca="1" si="113"/>
        <v>0</v>
      </c>
      <c r="L535">
        <f t="shared" ca="1" si="114"/>
        <v>0</v>
      </c>
      <c r="M535">
        <f t="shared" ca="1" si="115"/>
        <v>7</v>
      </c>
      <c r="N535">
        <f t="shared" ca="1" si="116"/>
        <v>0</v>
      </c>
    </row>
    <row r="536" spans="1:14" x14ac:dyDescent="0.35">
      <c r="A536" t="s">
        <v>553</v>
      </c>
      <c r="B536" t="str">
        <f t="shared" si="104"/>
        <v>Control</v>
      </c>
      <c r="C536">
        <f t="shared" ca="1" si="105"/>
        <v>18</v>
      </c>
      <c r="D536" t="str">
        <f t="shared" ca="1" si="106"/>
        <v>Male</v>
      </c>
      <c r="E536" t="str">
        <f t="shared" ca="1" si="107"/>
        <v>Shoes</v>
      </c>
      <c r="F536">
        <f t="shared" ca="1" si="108"/>
        <v>5571</v>
      </c>
      <c r="G536">
        <f t="shared" ca="1" si="109"/>
        <v>10</v>
      </c>
      <c r="H536">
        <f t="shared" ca="1" si="110"/>
        <v>5013.9000000000005</v>
      </c>
      <c r="I536">
        <f t="shared" ca="1" si="111"/>
        <v>1</v>
      </c>
      <c r="J536">
        <f t="shared" ca="1" si="112"/>
        <v>1</v>
      </c>
      <c r="K536">
        <f t="shared" ca="1" si="113"/>
        <v>0</v>
      </c>
      <c r="L536">
        <f t="shared" ca="1" si="114"/>
        <v>0</v>
      </c>
      <c r="M536">
        <f t="shared" ca="1" si="115"/>
        <v>4</v>
      </c>
      <c r="N536">
        <f t="shared" ca="1" si="116"/>
        <v>0</v>
      </c>
    </row>
    <row r="537" spans="1:14" x14ac:dyDescent="0.35">
      <c r="A537" t="s">
        <v>554</v>
      </c>
      <c r="B537" t="str">
        <f t="shared" si="104"/>
        <v>Control</v>
      </c>
      <c r="C537">
        <f t="shared" ca="1" si="105"/>
        <v>30</v>
      </c>
      <c r="D537" t="str">
        <f t="shared" ca="1" si="106"/>
        <v>Female</v>
      </c>
      <c r="E537" t="str">
        <f t="shared" ca="1" si="107"/>
        <v>Dresses</v>
      </c>
      <c r="F537">
        <f t="shared" ca="1" si="108"/>
        <v>6634</v>
      </c>
      <c r="G537">
        <f t="shared" ca="1" si="109"/>
        <v>10</v>
      </c>
      <c r="H537">
        <f t="shared" ca="1" si="110"/>
        <v>5970.6</v>
      </c>
      <c r="I537">
        <f t="shared" ca="1" si="111"/>
        <v>1</v>
      </c>
      <c r="J537">
        <f t="shared" ca="1" si="112"/>
        <v>1</v>
      </c>
      <c r="K537">
        <f t="shared" ca="1" si="113"/>
        <v>0</v>
      </c>
      <c r="L537">
        <f t="shared" ca="1" si="114"/>
        <v>0</v>
      </c>
      <c r="M537">
        <f t="shared" ca="1" si="115"/>
        <v>6</v>
      </c>
      <c r="N537">
        <f t="shared" ca="1" si="116"/>
        <v>0</v>
      </c>
    </row>
    <row r="538" spans="1:14" x14ac:dyDescent="0.35">
      <c r="A538" t="s">
        <v>555</v>
      </c>
      <c r="B538" t="str">
        <f t="shared" si="104"/>
        <v>Control</v>
      </c>
      <c r="C538">
        <f t="shared" ca="1" si="105"/>
        <v>43</v>
      </c>
      <c r="D538" t="str">
        <f t="shared" ca="1" si="106"/>
        <v>Female</v>
      </c>
      <c r="E538" t="str">
        <f t="shared" ca="1" si="107"/>
        <v>Accessories</v>
      </c>
      <c r="F538">
        <f t="shared" ca="1" si="108"/>
        <v>2051</v>
      </c>
      <c r="G538">
        <f t="shared" ca="1" si="109"/>
        <v>10</v>
      </c>
      <c r="H538">
        <f t="shared" ca="1" si="110"/>
        <v>1845.9</v>
      </c>
      <c r="I538">
        <f t="shared" ca="1" si="111"/>
        <v>1</v>
      </c>
      <c r="J538">
        <f t="shared" ca="1" si="112"/>
        <v>0</v>
      </c>
      <c r="K538">
        <f t="shared" ca="1" si="113"/>
        <v>0</v>
      </c>
      <c r="L538">
        <f t="shared" ca="1" si="114"/>
        <v>0</v>
      </c>
      <c r="M538">
        <f t="shared" ca="1" si="115"/>
        <v>5</v>
      </c>
      <c r="N538">
        <f t="shared" ca="1" si="116"/>
        <v>0</v>
      </c>
    </row>
    <row r="539" spans="1:14" x14ac:dyDescent="0.35">
      <c r="A539" t="s">
        <v>556</v>
      </c>
      <c r="B539" t="str">
        <f t="shared" si="104"/>
        <v>Control</v>
      </c>
      <c r="C539">
        <f t="shared" ca="1" si="105"/>
        <v>43</v>
      </c>
      <c r="D539" t="str">
        <f t="shared" ca="1" si="106"/>
        <v>Male</v>
      </c>
      <c r="E539" t="str">
        <f t="shared" ca="1" si="107"/>
        <v>Sportswear</v>
      </c>
      <c r="F539">
        <f t="shared" ca="1" si="108"/>
        <v>6862</v>
      </c>
      <c r="G539">
        <f t="shared" ca="1" si="109"/>
        <v>10</v>
      </c>
      <c r="H539">
        <f t="shared" ca="1" si="110"/>
        <v>6175.8</v>
      </c>
      <c r="I539">
        <f t="shared" ca="1" si="111"/>
        <v>1</v>
      </c>
      <c r="J539">
        <f t="shared" ca="1" si="112"/>
        <v>1</v>
      </c>
      <c r="K539">
        <f t="shared" ca="1" si="113"/>
        <v>0</v>
      </c>
      <c r="L539">
        <f t="shared" ca="1" si="114"/>
        <v>0</v>
      </c>
      <c r="M539">
        <f t="shared" ca="1" si="115"/>
        <v>3</v>
      </c>
      <c r="N539">
        <f t="shared" ca="1" si="116"/>
        <v>0</v>
      </c>
    </row>
    <row r="540" spans="1:14" x14ac:dyDescent="0.35">
      <c r="A540" t="s">
        <v>557</v>
      </c>
      <c r="B540" t="str">
        <f t="shared" si="104"/>
        <v>Control</v>
      </c>
      <c r="C540">
        <f t="shared" ca="1" si="105"/>
        <v>18</v>
      </c>
      <c r="D540" t="str">
        <f t="shared" ca="1" si="106"/>
        <v>Female</v>
      </c>
      <c r="E540" t="str">
        <f t="shared" ca="1" si="107"/>
        <v>Shoes</v>
      </c>
      <c r="F540">
        <f t="shared" ca="1" si="108"/>
        <v>5781</v>
      </c>
      <c r="G540">
        <f t="shared" ca="1" si="109"/>
        <v>10</v>
      </c>
      <c r="H540">
        <f t="shared" ca="1" si="110"/>
        <v>5202.9000000000005</v>
      </c>
      <c r="I540">
        <f t="shared" ca="1" si="111"/>
        <v>1</v>
      </c>
      <c r="J540">
        <f t="shared" ca="1" si="112"/>
        <v>1</v>
      </c>
      <c r="K540">
        <f t="shared" ca="1" si="113"/>
        <v>1</v>
      </c>
      <c r="L540">
        <f t="shared" ca="1" si="114"/>
        <v>5202.9000000000005</v>
      </c>
      <c r="M540">
        <f t="shared" ca="1" si="115"/>
        <v>3</v>
      </c>
      <c r="N540">
        <f t="shared" ca="1" si="116"/>
        <v>0</v>
      </c>
    </row>
    <row r="541" spans="1:14" x14ac:dyDescent="0.35">
      <c r="A541" t="s">
        <v>558</v>
      </c>
      <c r="B541" t="str">
        <f t="shared" si="104"/>
        <v>Control</v>
      </c>
      <c r="C541">
        <f t="shared" ca="1" si="105"/>
        <v>42</v>
      </c>
      <c r="D541" t="str">
        <f t="shared" ca="1" si="106"/>
        <v>Female</v>
      </c>
      <c r="E541" t="str">
        <f t="shared" ca="1" si="107"/>
        <v>Dresses</v>
      </c>
      <c r="F541">
        <f t="shared" ca="1" si="108"/>
        <v>3564</v>
      </c>
      <c r="G541">
        <f t="shared" ca="1" si="109"/>
        <v>10</v>
      </c>
      <c r="H541">
        <f t="shared" ca="1" si="110"/>
        <v>3207.6</v>
      </c>
      <c r="I541">
        <f t="shared" ca="1" si="111"/>
        <v>1</v>
      </c>
      <c r="J541">
        <f t="shared" ca="1" si="112"/>
        <v>1</v>
      </c>
      <c r="K541">
        <f t="shared" ca="1" si="113"/>
        <v>0</v>
      </c>
      <c r="L541">
        <f t="shared" ca="1" si="114"/>
        <v>0</v>
      </c>
      <c r="M541">
        <f t="shared" ca="1" si="115"/>
        <v>5</v>
      </c>
      <c r="N541">
        <f t="shared" ca="1" si="116"/>
        <v>0</v>
      </c>
    </row>
    <row r="542" spans="1:14" x14ac:dyDescent="0.35">
      <c r="A542" t="s">
        <v>559</v>
      </c>
      <c r="B542" t="str">
        <f t="shared" si="104"/>
        <v>Control</v>
      </c>
      <c r="C542">
        <f t="shared" ca="1" si="105"/>
        <v>30</v>
      </c>
      <c r="D542" t="str">
        <f t="shared" ca="1" si="106"/>
        <v>Male</v>
      </c>
      <c r="E542" t="str">
        <f t="shared" ca="1" si="107"/>
        <v>Ethnic Wear</v>
      </c>
      <c r="F542">
        <f t="shared" ca="1" si="108"/>
        <v>2007</v>
      </c>
      <c r="G542">
        <f t="shared" ca="1" si="109"/>
        <v>10</v>
      </c>
      <c r="H542">
        <f t="shared" ca="1" si="110"/>
        <v>1806.3</v>
      </c>
      <c r="I542">
        <f t="shared" ca="1" si="111"/>
        <v>1</v>
      </c>
      <c r="J542">
        <f t="shared" ca="1" si="112"/>
        <v>0</v>
      </c>
      <c r="K542">
        <f t="shared" ca="1" si="113"/>
        <v>0</v>
      </c>
      <c r="L542">
        <f t="shared" ca="1" si="114"/>
        <v>0</v>
      </c>
      <c r="M542">
        <f t="shared" ca="1" si="115"/>
        <v>6</v>
      </c>
      <c r="N542">
        <f t="shared" ca="1" si="116"/>
        <v>0</v>
      </c>
    </row>
    <row r="543" spans="1:14" x14ac:dyDescent="0.35">
      <c r="A543" t="s">
        <v>560</v>
      </c>
      <c r="B543" t="str">
        <f t="shared" si="104"/>
        <v>Control</v>
      </c>
      <c r="C543">
        <f t="shared" ca="1" si="105"/>
        <v>22</v>
      </c>
      <c r="D543" t="str">
        <f t="shared" ca="1" si="106"/>
        <v>Female</v>
      </c>
      <c r="E543" t="str">
        <f t="shared" ca="1" si="107"/>
        <v>Tops</v>
      </c>
      <c r="F543">
        <f t="shared" ca="1" si="108"/>
        <v>3181</v>
      </c>
      <c r="G543">
        <f t="shared" ca="1" si="109"/>
        <v>10</v>
      </c>
      <c r="H543">
        <f t="shared" ca="1" si="110"/>
        <v>2862.9</v>
      </c>
      <c r="I543">
        <f t="shared" ca="1" si="111"/>
        <v>1</v>
      </c>
      <c r="J543">
        <f t="shared" ca="1" si="112"/>
        <v>0</v>
      </c>
      <c r="K543">
        <f t="shared" ca="1" si="113"/>
        <v>0</v>
      </c>
      <c r="L543">
        <f t="shared" ca="1" si="114"/>
        <v>0</v>
      </c>
      <c r="M543">
        <f t="shared" ca="1" si="115"/>
        <v>3</v>
      </c>
      <c r="N543">
        <f t="shared" ca="1" si="116"/>
        <v>0</v>
      </c>
    </row>
    <row r="544" spans="1:14" x14ac:dyDescent="0.35">
      <c r="A544" t="s">
        <v>561</v>
      </c>
      <c r="B544" t="str">
        <f t="shared" si="104"/>
        <v>Control</v>
      </c>
      <c r="C544">
        <f t="shared" ca="1" si="105"/>
        <v>19</v>
      </c>
      <c r="D544" t="str">
        <f t="shared" ca="1" si="106"/>
        <v>Female</v>
      </c>
      <c r="E544" t="str">
        <f t="shared" ca="1" si="107"/>
        <v>Ethnic Wear</v>
      </c>
      <c r="F544">
        <f t="shared" ca="1" si="108"/>
        <v>3927</v>
      </c>
      <c r="G544">
        <f t="shared" ca="1" si="109"/>
        <v>10</v>
      </c>
      <c r="H544">
        <f t="shared" ca="1" si="110"/>
        <v>3534.3</v>
      </c>
      <c r="I544">
        <f t="shared" ca="1" si="111"/>
        <v>1</v>
      </c>
      <c r="J544">
        <f t="shared" ca="1" si="112"/>
        <v>0</v>
      </c>
      <c r="K544">
        <f t="shared" ca="1" si="113"/>
        <v>0</v>
      </c>
      <c r="L544">
        <f t="shared" ca="1" si="114"/>
        <v>0</v>
      </c>
      <c r="M544">
        <f t="shared" ca="1" si="115"/>
        <v>5</v>
      </c>
      <c r="N544">
        <f t="shared" ca="1" si="116"/>
        <v>0</v>
      </c>
    </row>
    <row r="545" spans="1:14" x14ac:dyDescent="0.35">
      <c r="A545" t="s">
        <v>562</v>
      </c>
      <c r="B545" t="str">
        <f t="shared" si="104"/>
        <v>Control</v>
      </c>
      <c r="C545">
        <f t="shared" ca="1" si="105"/>
        <v>45</v>
      </c>
      <c r="D545" t="str">
        <f t="shared" ca="1" si="106"/>
        <v>Male</v>
      </c>
      <c r="E545" t="str">
        <f t="shared" ca="1" si="107"/>
        <v>Dresses</v>
      </c>
      <c r="F545">
        <f t="shared" ca="1" si="108"/>
        <v>1705</v>
      </c>
      <c r="G545">
        <f t="shared" ca="1" si="109"/>
        <v>10</v>
      </c>
      <c r="H545">
        <f t="shared" ca="1" si="110"/>
        <v>1534.5</v>
      </c>
      <c r="I545">
        <f t="shared" ca="1" si="111"/>
        <v>0</v>
      </c>
      <c r="J545">
        <f t="shared" ca="1" si="112"/>
        <v>0</v>
      </c>
      <c r="K545">
        <f t="shared" ca="1" si="113"/>
        <v>0</v>
      </c>
      <c r="L545">
        <f t="shared" ca="1" si="114"/>
        <v>0</v>
      </c>
      <c r="M545">
        <f t="shared" ca="1" si="115"/>
        <v>3</v>
      </c>
      <c r="N545">
        <f t="shared" ca="1" si="116"/>
        <v>0</v>
      </c>
    </row>
    <row r="546" spans="1:14" x14ac:dyDescent="0.35">
      <c r="A546" t="s">
        <v>563</v>
      </c>
      <c r="B546" t="str">
        <f t="shared" si="104"/>
        <v>Control</v>
      </c>
      <c r="C546">
        <f t="shared" ca="1" si="105"/>
        <v>41</v>
      </c>
      <c r="D546" t="str">
        <f t="shared" ca="1" si="106"/>
        <v>Female</v>
      </c>
      <c r="E546" t="str">
        <f t="shared" ca="1" si="107"/>
        <v>Jeans</v>
      </c>
      <c r="F546">
        <f t="shared" ca="1" si="108"/>
        <v>547</v>
      </c>
      <c r="G546">
        <f t="shared" ca="1" si="109"/>
        <v>10</v>
      </c>
      <c r="H546">
        <f t="shared" ca="1" si="110"/>
        <v>492.3</v>
      </c>
      <c r="I546">
        <f t="shared" ca="1" si="111"/>
        <v>1</v>
      </c>
      <c r="J546">
        <f t="shared" ca="1" si="112"/>
        <v>1</v>
      </c>
      <c r="K546">
        <f t="shared" ca="1" si="113"/>
        <v>1</v>
      </c>
      <c r="L546">
        <f t="shared" ca="1" si="114"/>
        <v>492.3</v>
      </c>
      <c r="M546">
        <f t="shared" ca="1" si="115"/>
        <v>7</v>
      </c>
      <c r="N546">
        <f t="shared" ca="1" si="116"/>
        <v>0</v>
      </c>
    </row>
    <row r="547" spans="1:14" x14ac:dyDescent="0.35">
      <c r="A547" t="s">
        <v>564</v>
      </c>
      <c r="B547" t="str">
        <f t="shared" si="104"/>
        <v>Control</v>
      </c>
      <c r="C547">
        <f t="shared" ca="1" si="105"/>
        <v>44</v>
      </c>
      <c r="D547" t="str">
        <f t="shared" ca="1" si="106"/>
        <v>Female</v>
      </c>
      <c r="E547" t="str">
        <f t="shared" ca="1" si="107"/>
        <v>Accessories</v>
      </c>
      <c r="F547">
        <f t="shared" ca="1" si="108"/>
        <v>7360</v>
      </c>
      <c r="G547">
        <f t="shared" ca="1" si="109"/>
        <v>10</v>
      </c>
      <c r="H547">
        <f t="shared" ca="1" si="110"/>
        <v>6624</v>
      </c>
      <c r="I547">
        <f t="shared" ca="1" si="111"/>
        <v>1</v>
      </c>
      <c r="J547">
        <f t="shared" ca="1" si="112"/>
        <v>0</v>
      </c>
      <c r="K547">
        <f t="shared" ca="1" si="113"/>
        <v>0</v>
      </c>
      <c r="L547">
        <f t="shared" ca="1" si="114"/>
        <v>0</v>
      </c>
      <c r="M547">
        <f t="shared" ca="1" si="115"/>
        <v>3</v>
      </c>
      <c r="N547">
        <f t="shared" ca="1" si="116"/>
        <v>0</v>
      </c>
    </row>
    <row r="548" spans="1:14" x14ac:dyDescent="0.35">
      <c r="A548" t="s">
        <v>565</v>
      </c>
      <c r="B548" t="str">
        <f t="shared" si="104"/>
        <v>Control</v>
      </c>
      <c r="C548">
        <f t="shared" ca="1" si="105"/>
        <v>28</v>
      </c>
      <c r="D548" t="str">
        <f t="shared" ca="1" si="106"/>
        <v>Other</v>
      </c>
      <c r="E548" t="str">
        <f t="shared" ca="1" si="107"/>
        <v>Accessories</v>
      </c>
      <c r="F548">
        <f t="shared" ca="1" si="108"/>
        <v>2256</v>
      </c>
      <c r="G548">
        <f t="shared" ca="1" si="109"/>
        <v>10</v>
      </c>
      <c r="H548">
        <f t="shared" ca="1" si="110"/>
        <v>2030.4</v>
      </c>
      <c r="I548">
        <f t="shared" ca="1" si="111"/>
        <v>1</v>
      </c>
      <c r="J548">
        <f t="shared" ca="1" si="112"/>
        <v>1</v>
      </c>
      <c r="K548">
        <f t="shared" ca="1" si="113"/>
        <v>0</v>
      </c>
      <c r="L548">
        <f t="shared" ca="1" si="114"/>
        <v>0</v>
      </c>
      <c r="M548">
        <f t="shared" ca="1" si="115"/>
        <v>7</v>
      </c>
      <c r="N548">
        <f t="shared" ca="1" si="116"/>
        <v>0</v>
      </c>
    </row>
    <row r="549" spans="1:14" x14ac:dyDescent="0.35">
      <c r="A549" t="s">
        <v>566</v>
      </c>
      <c r="B549" t="str">
        <f t="shared" si="104"/>
        <v>Control</v>
      </c>
      <c r="C549">
        <f t="shared" ca="1" si="105"/>
        <v>36</v>
      </c>
      <c r="D549" t="str">
        <f t="shared" ca="1" si="106"/>
        <v>Female</v>
      </c>
      <c r="E549" t="str">
        <f t="shared" ca="1" si="107"/>
        <v>Tops</v>
      </c>
      <c r="F549">
        <f t="shared" ca="1" si="108"/>
        <v>6643</v>
      </c>
      <c r="G549">
        <f t="shared" ca="1" si="109"/>
        <v>10</v>
      </c>
      <c r="H549">
        <f t="shared" ca="1" si="110"/>
        <v>5978.7</v>
      </c>
      <c r="I549">
        <f t="shared" ca="1" si="111"/>
        <v>1</v>
      </c>
      <c r="J549">
        <f t="shared" ca="1" si="112"/>
        <v>0</v>
      </c>
      <c r="K549">
        <f t="shared" ca="1" si="113"/>
        <v>0</v>
      </c>
      <c r="L549">
        <f t="shared" ca="1" si="114"/>
        <v>0</v>
      </c>
      <c r="M549">
        <f t="shared" ca="1" si="115"/>
        <v>2</v>
      </c>
      <c r="N549">
        <f t="shared" ca="1" si="116"/>
        <v>0</v>
      </c>
    </row>
    <row r="550" spans="1:14" x14ac:dyDescent="0.35">
      <c r="A550" t="s">
        <v>567</v>
      </c>
      <c r="B550" t="str">
        <f t="shared" si="104"/>
        <v>Control</v>
      </c>
      <c r="C550">
        <f t="shared" ca="1" si="105"/>
        <v>33</v>
      </c>
      <c r="D550" t="str">
        <f t="shared" ca="1" si="106"/>
        <v>Other</v>
      </c>
      <c r="E550" t="str">
        <f t="shared" ca="1" si="107"/>
        <v>Accessories</v>
      </c>
      <c r="F550">
        <f t="shared" ca="1" si="108"/>
        <v>1871</v>
      </c>
      <c r="G550">
        <f t="shared" ca="1" si="109"/>
        <v>10</v>
      </c>
      <c r="H550">
        <f t="shared" ca="1" si="110"/>
        <v>1683.9</v>
      </c>
      <c r="I550">
        <f t="shared" ca="1" si="111"/>
        <v>1</v>
      </c>
      <c r="J550">
        <f t="shared" ca="1" si="112"/>
        <v>0</v>
      </c>
      <c r="K550">
        <f t="shared" ca="1" si="113"/>
        <v>0</v>
      </c>
      <c r="L550">
        <f t="shared" ca="1" si="114"/>
        <v>0</v>
      </c>
      <c r="M550">
        <f t="shared" ca="1" si="115"/>
        <v>7</v>
      </c>
      <c r="N550">
        <f t="shared" ca="1" si="116"/>
        <v>0</v>
      </c>
    </row>
    <row r="551" spans="1:14" x14ac:dyDescent="0.35">
      <c r="A551" t="s">
        <v>568</v>
      </c>
      <c r="B551" t="str">
        <f t="shared" si="104"/>
        <v>Control</v>
      </c>
      <c r="C551">
        <f t="shared" ca="1" si="105"/>
        <v>19</v>
      </c>
      <c r="D551" t="str">
        <f t="shared" ca="1" si="106"/>
        <v>Male</v>
      </c>
      <c r="E551" t="str">
        <f t="shared" ca="1" si="107"/>
        <v>Sportswear</v>
      </c>
      <c r="F551">
        <f t="shared" ca="1" si="108"/>
        <v>3358</v>
      </c>
      <c r="G551">
        <f t="shared" ca="1" si="109"/>
        <v>10</v>
      </c>
      <c r="H551">
        <f t="shared" ca="1" si="110"/>
        <v>3022.2000000000003</v>
      </c>
      <c r="I551">
        <f t="shared" ca="1" si="111"/>
        <v>1</v>
      </c>
      <c r="J551">
        <f t="shared" ca="1" si="112"/>
        <v>1</v>
      </c>
      <c r="K551">
        <f t="shared" ca="1" si="113"/>
        <v>1</v>
      </c>
      <c r="L551">
        <f t="shared" ca="1" si="114"/>
        <v>3022.2000000000003</v>
      </c>
      <c r="M551">
        <f t="shared" ca="1" si="115"/>
        <v>1</v>
      </c>
      <c r="N551">
        <f t="shared" ca="1" si="116"/>
        <v>0</v>
      </c>
    </row>
    <row r="552" spans="1:14" x14ac:dyDescent="0.35">
      <c r="A552" t="s">
        <v>569</v>
      </c>
      <c r="B552" t="str">
        <f t="shared" si="104"/>
        <v>Control</v>
      </c>
      <c r="C552">
        <f t="shared" ca="1" si="105"/>
        <v>20</v>
      </c>
      <c r="D552" t="str">
        <f t="shared" ca="1" si="106"/>
        <v>Male</v>
      </c>
      <c r="E552" t="str">
        <f t="shared" ca="1" si="107"/>
        <v>Dresses</v>
      </c>
      <c r="F552">
        <f t="shared" ca="1" si="108"/>
        <v>1413</v>
      </c>
      <c r="G552">
        <f t="shared" ca="1" si="109"/>
        <v>10</v>
      </c>
      <c r="H552">
        <f t="shared" ca="1" si="110"/>
        <v>1271.7</v>
      </c>
      <c r="I552">
        <f t="shared" ca="1" si="111"/>
        <v>1</v>
      </c>
      <c r="J552">
        <f t="shared" ca="1" si="112"/>
        <v>1</v>
      </c>
      <c r="K552">
        <f t="shared" ca="1" si="113"/>
        <v>0</v>
      </c>
      <c r="L552">
        <f t="shared" ca="1" si="114"/>
        <v>0</v>
      </c>
      <c r="M552">
        <f t="shared" ca="1" si="115"/>
        <v>2</v>
      </c>
      <c r="N552">
        <f t="shared" ca="1" si="116"/>
        <v>0</v>
      </c>
    </row>
    <row r="553" spans="1:14" x14ac:dyDescent="0.35">
      <c r="A553" t="s">
        <v>570</v>
      </c>
      <c r="B553" t="str">
        <f t="shared" si="104"/>
        <v>Control</v>
      </c>
      <c r="C553">
        <f t="shared" ca="1" si="105"/>
        <v>20</v>
      </c>
      <c r="D553" t="str">
        <f t="shared" ca="1" si="106"/>
        <v>Female</v>
      </c>
      <c r="E553" t="str">
        <f t="shared" ca="1" si="107"/>
        <v>Shoes</v>
      </c>
      <c r="F553">
        <f t="shared" ca="1" si="108"/>
        <v>1523</v>
      </c>
      <c r="G553">
        <f t="shared" ca="1" si="109"/>
        <v>10</v>
      </c>
      <c r="H553">
        <f t="shared" ca="1" si="110"/>
        <v>1370.7</v>
      </c>
      <c r="I553">
        <f t="shared" ca="1" si="111"/>
        <v>1</v>
      </c>
      <c r="J553">
        <f t="shared" ca="1" si="112"/>
        <v>0</v>
      </c>
      <c r="K553">
        <f t="shared" ca="1" si="113"/>
        <v>0</v>
      </c>
      <c r="L553">
        <f t="shared" ca="1" si="114"/>
        <v>0</v>
      </c>
      <c r="M553">
        <f t="shared" ca="1" si="115"/>
        <v>1</v>
      </c>
      <c r="N553">
        <f t="shared" ca="1" si="116"/>
        <v>0</v>
      </c>
    </row>
    <row r="554" spans="1:14" x14ac:dyDescent="0.35">
      <c r="A554" t="s">
        <v>571</v>
      </c>
      <c r="B554" t="str">
        <f t="shared" si="104"/>
        <v>Control</v>
      </c>
      <c r="C554">
        <f t="shared" ca="1" si="105"/>
        <v>29</v>
      </c>
      <c r="D554" t="str">
        <f t="shared" ca="1" si="106"/>
        <v>Male</v>
      </c>
      <c r="E554" t="str">
        <f t="shared" ca="1" si="107"/>
        <v>Sportswear</v>
      </c>
      <c r="F554">
        <f t="shared" ca="1" si="108"/>
        <v>6844</v>
      </c>
      <c r="G554">
        <f t="shared" ca="1" si="109"/>
        <v>10</v>
      </c>
      <c r="H554">
        <f t="shared" ca="1" si="110"/>
        <v>6159.6</v>
      </c>
      <c r="I554">
        <f t="shared" ca="1" si="111"/>
        <v>1</v>
      </c>
      <c r="J554">
        <f t="shared" ca="1" si="112"/>
        <v>1</v>
      </c>
      <c r="K554">
        <f t="shared" ca="1" si="113"/>
        <v>0</v>
      </c>
      <c r="L554">
        <f t="shared" ca="1" si="114"/>
        <v>0</v>
      </c>
      <c r="M554">
        <f t="shared" ca="1" si="115"/>
        <v>4</v>
      </c>
      <c r="N554">
        <f t="shared" ca="1" si="116"/>
        <v>0</v>
      </c>
    </row>
    <row r="555" spans="1:14" x14ac:dyDescent="0.35">
      <c r="A555" t="s">
        <v>572</v>
      </c>
      <c r="B555" t="str">
        <f t="shared" si="104"/>
        <v>Control</v>
      </c>
      <c r="C555">
        <f t="shared" ca="1" si="105"/>
        <v>45</v>
      </c>
      <c r="D555" t="str">
        <f t="shared" ca="1" si="106"/>
        <v>Female</v>
      </c>
      <c r="E555" t="str">
        <f t="shared" ca="1" si="107"/>
        <v>Accessories</v>
      </c>
      <c r="F555">
        <f t="shared" ca="1" si="108"/>
        <v>5605</v>
      </c>
      <c r="G555">
        <f t="shared" ca="1" si="109"/>
        <v>10</v>
      </c>
      <c r="H555">
        <f t="shared" ca="1" si="110"/>
        <v>5044.5</v>
      </c>
      <c r="I555">
        <f t="shared" ca="1" si="111"/>
        <v>1</v>
      </c>
      <c r="J555">
        <f t="shared" ca="1" si="112"/>
        <v>0</v>
      </c>
      <c r="K555">
        <f t="shared" ca="1" si="113"/>
        <v>0</v>
      </c>
      <c r="L555">
        <f t="shared" ca="1" si="114"/>
        <v>0</v>
      </c>
      <c r="M555">
        <f t="shared" ca="1" si="115"/>
        <v>3</v>
      </c>
      <c r="N555">
        <f t="shared" ca="1" si="116"/>
        <v>0</v>
      </c>
    </row>
    <row r="556" spans="1:14" x14ac:dyDescent="0.35">
      <c r="A556" t="s">
        <v>573</v>
      </c>
      <c r="B556" t="str">
        <f t="shared" si="104"/>
        <v>Control</v>
      </c>
      <c r="C556">
        <f t="shared" ca="1" si="105"/>
        <v>28</v>
      </c>
      <c r="D556" t="str">
        <f t="shared" ca="1" si="106"/>
        <v>Other</v>
      </c>
      <c r="E556" t="str">
        <f t="shared" ca="1" si="107"/>
        <v>T-shirts</v>
      </c>
      <c r="F556">
        <f t="shared" ca="1" si="108"/>
        <v>6832</v>
      </c>
      <c r="G556">
        <f t="shared" ca="1" si="109"/>
        <v>10</v>
      </c>
      <c r="H556">
        <f t="shared" ca="1" si="110"/>
        <v>6148.8</v>
      </c>
      <c r="I556">
        <f t="shared" ca="1" si="111"/>
        <v>1</v>
      </c>
      <c r="J556">
        <f t="shared" ca="1" si="112"/>
        <v>1</v>
      </c>
      <c r="K556">
        <f t="shared" ca="1" si="113"/>
        <v>1</v>
      </c>
      <c r="L556">
        <f t="shared" ca="1" si="114"/>
        <v>6148.8</v>
      </c>
      <c r="M556">
        <f t="shared" ca="1" si="115"/>
        <v>3</v>
      </c>
      <c r="N556">
        <f t="shared" ca="1" si="116"/>
        <v>0</v>
      </c>
    </row>
    <row r="557" spans="1:14" x14ac:dyDescent="0.35">
      <c r="A557" t="s">
        <v>574</v>
      </c>
      <c r="B557" t="str">
        <f t="shared" si="104"/>
        <v>Control</v>
      </c>
      <c r="C557">
        <f t="shared" ca="1" si="105"/>
        <v>39</v>
      </c>
      <c r="D557" t="str">
        <f t="shared" ca="1" si="106"/>
        <v>Female</v>
      </c>
      <c r="E557" t="str">
        <f t="shared" ca="1" si="107"/>
        <v>Jeans</v>
      </c>
      <c r="F557">
        <f t="shared" ca="1" si="108"/>
        <v>4639</v>
      </c>
      <c r="G557">
        <f t="shared" ca="1" si="109"/>
        <v>10</v>
      </c>
      <c r="H557">
        <f t="shared" ca="1" si="110"/>
        <v>4175.1000000000004</v>
      </c>
      <c r="I557">
        <f t="shared" ca="1" si="111"/>
        <v>1</v>
      </c>
      <c r="J557">
        <f t="shared" ca="1" si="112"/>
        <v>0</v>
      </c>
      <c r="K557">
        <f t="shared" ca="1" si="113"/>
        <v>0</v>
      </c>
      <c r="L557">
        <f t="shared" ca="1" si="114"/>
        <v>0</v>
      </c>
      <c r="M557">
        <f t="shared" ca="1" si="115"/>
        <v>4</v>
      </c>
      <c r="N557">
        <f t="shared" ca="1" si="116"/>
        <v>0</v>
      </c>
    </row>
    <row r="558" spans="1:14" x14ac:dyDescent="0.35">
      <c r="A558" t="s">
        <v>575</v>
      </c>
      <c r="B558" t="str">
        <f t="shared" si="104"/>
        <v>Control</v>
      </c>
      <c r="C558">
        <f t="shared" ca="1" si="105"/>
        <v>28</v>
      </c>
      <c r="D558" t="str">
        <f t="shared" ca="1" si="106"/>
        <v>Female</v>
      </c>
      <c r="E558" t="str">
        <f t="shared" ca="1" si="107"/>
        <v>Jeans</v>
      </c>
      <c r="F558">
        <f t="shared" ca="1" si="108"/>
        <v>1310</v>
      </c>
      <c r="G558">
        <f t="shared" ca="1" si="109"/>
        <v>10</v>
      </c>
      <c r="H558">
        <f t="shared" ca="1" si="110"/>
        <v>1179</v>
      </c>
      <c r="I558">
        <f t="shared" ca="1" si="111"/>
        <v>1</v>
      </c>
      <c r="J558">
        <f t="shared" ca="1" si="112"/>
        <v>1</v>
      </c>
      <c r="K558">
        <f t="shared" ca="1" si="113"/>
        <v>1</v>
      </c>
      <c r="L558">
        <f t="shared" ca="1" si="114"/>
        <v>1179</v>
      </c>
      <c r="M558">
        <f t="shared" ca="1" si="115"/>
        <v>6</v>
      </c>
      <c r="N558">
        <f t="shared" ca="1" si="116"/>
        <v>0</v>
      </c>
    </row>
    <row r="559" spans="1:14" x14ac:dyDescent="0.35">
      <c r="A559" t="s">
        <v>576</v>
      </c>
      <c r="B559" t="str">
        <f t="shared" si="104"/>
        <v>Control</v>
      </c>
      <c r="C559">
        <f t="shared" ca="1" si="105"/>
        <v>35</v>
      </c>
      <c r="D559" t="str">
        <f t="shared" ca="1" si="106"/>
        <v>Other</v>
      </c>
      <c r="E559" t="str">
        <f t="shared" ca="1" si="107"/>
        <v>Ethnic Wear</v>
      </c>
      <c r="F559">
        <f t="shared" ca="1" si="108"/>
        <v>2839</v>
      </c>
      <c r="G559">
        <f t="shared" ca="1" si="109"/>
        <v>10</v>
      </c>
      <c r="H559">
        <f t="shared" ca="1" si="110"/>
        <v>2555.1</v>
      </c>
      <c r="I559">
        <f t="shared" ca="1" si="111"/>
        <v>1</v>
      </c>
      <c r="J559">
        <f t="shared" ca="1" si="112"/>
        <v>1</v>
      </c>
      <c r="K559">
        <f t="shared" ca="1" si="113"/>
        <v>0</v>
      </c>
      <c r="L559">
        <f t="shared" ca="1" si="114"/>
        <v>0</v>
      </c>
      <c r="M559">
        <f t="shared" ca="1" si="115"/>
        <v>5</v>
      </c>
      <c r="N559">
        <f t="shared" ca="1" si="116"/>
        <v>0</v>
      </c>
    </row>
    <row r="560" spans="1:14" x14ac:dyDescent="0.35">
      <c r="A560" t="s">
        <v>577</v>
      </c>
      <c r="B560" t="str">
        <f t="shared" si="104"/>
        <v>Control</v>
      </c>
      <c r="C560">
        <f t="shared" ca="1" si="105"/>
        <v>35</v>
      </c>
      <c r="D560" t="str">
        <f t="shared" ca="1" si="106"/>
        <v>Female</v>
      </c>
      <c r="E560" t="str">
        <f t="shared" ca="1" si="107"/>
        <v>Dresses</v>
      </c>
      <c r="F560">
        <f t="shared" ca="1" si="108"/>
        <v>1076</v>
      </c>
      <c r="G560">
        <f t="shared" ca="1" si="109"/>
        <v>10</v>
      </c>
      <c r="H560">
        <f t="shared" ca="1" si="110"/>
        <v>968.4</v>
      </c>
      <c r="I560">
        <f t="shared" ca="1" si="111"/>
        <v>1</v>
      </c>
      <c r="J560">
        <f t="shared" ca="1" si="112"/>
        <v>1</v>
      </c>
      <c r="K560">
        <f t="shared" ca="1" si="113"/>
        <v>1</v>
      </c>
      <c r="L560">
        <f t="shared" ca="1" si="114"/>
        <v>968.4</v>
      </c>
      <c r="M560">
        <f t="shared" ca="1" si="115"/>
        <v>2</v>
      </c>
      <c r="N560">
        <f t="shared" ca="1" si="116"/>
        <v>0</v>
      </c>
    </row>
    <row r="561" spans="1:14" x14ac:dyDescent="0.35">
      <c r="A561" t="s">
        <v>578</v>
      </c>
      <c r="B561" t="str">
        <f t="shared" si="104"/>
        <v>Control</v>
      </c>
      <c r="C561">
        <f t="shared" ca="1" si="105"/>
        <v>31</v>
      </c>
      <c r="D561" t="str">
        <f t="shared" ca="1" si="106"/>
        <v>Male</v>
      </c>
      <c r="E561" t="str">
        <f t="shared" ca="1" si="107"/>
        <v>Accessories</v>
      </c>
      <c r="F561">
        <f t="shared" ca="1" si="108"/>
        <v>3772</v>
      </c>
      <c r="G561">
        <f t="shared" ca="1" si="109"/>
        <v>10</v>
      </c>
      <c r="H561">
        <f t="shared" ca="1" si="110"/>
        <v>3394.8</v>
      </c>
      <c r="I561">
        <f t="shared" ca="1" si="111"/>
        <v>1</v>
      </c>
      <c r="J561">
        <f t="shared" ca="1" si="112"/>
        <v>1</v>
      </c>
      <c r="K561">
        <f t="shared" ca="1" si="113"/>
        <v>0</v>
      </c>
      <c r="L561">
        <f t="shared" ca="1" si="114"/>
        <v>0</v>
      </c>
      <c r="M561">
        <f t="shared" ca="1" si="115"/>
        <v>4</v>
      </c>
      <c r="N561">
        <f t="shared" ca="1" si="116"/>
        <v>0</v>
      </c>
    </row>
    <row r="562" spans="1:14" x14ac:dyDescent="0.35">
      <c r="A562" t="s">
        <v>579</v>
      </c>
      <c r="B562" t="str">
        <f t="shared" si="104"/>
        <v>Control</v>
      </c>
      <c r="C562">
        <f t="shared" ca="1" si="105"/>
        <v>29</v>
      </c>
      <c r="D562" t="str">
        <f t="shared" ca="1" si="106"/>
        <v>Male</v>
      </c>
      <c r="E562" t="str">
        <f t="shared" ca="1" si="107"/>
        <v>Tops</v>
      </c>
      <c r="F562">
        <f t="shared" ca="1" si="108"/>
        <v>7959</v>
      </c>
      <c r="G562">
        <f t="shared" ca="1" si="109"/>
        <v>10</v>
      </c>
      <c r="H562">
        <f t="shared" ca="1" si="110"/>
        <v>7163.1</v>
      </c>
      <c r="I562">
        <f t="shared" ca="1" si="111"/>
        <v>0</v>
      </c>
      <c r="J562">
        <f t="shared" ca="1" si="112"/>
        <v>0</v>
      </c>
      <c r="K562">
        <f t="shared" ca="1" si="113"/>
        <v>0</v>
      </c>
      <c r="L562">
        <f t="shared" ca="1" si="114"/>
        <v>0</v>
      </c>
      <c r="M562">
        <f t="shared" ca="1" si="115"/>
        <v>7</v>
      </c>
      <c r="N562">
        <f t="shared" ca="1" si="116"/>
        <v>0</v>
      </c>
    </row>
    <row r="563" spans="1:14" x14ac:dyDescent="0.35">
      <c r="A563" t="s">
        <v>580</v>
      </c>
      <c r="B563" t="str">
        <f t="shared" si="104"/>
        <v>Control</v>
      </c>
      <c r="C563">
        <f t="shared" ca="1" si="105"/>
        <v>39</v>
      </c>
      <c r="D563" t="str">
        <f t="shared" ca="1" si="106"/>
        <v>Female</v>
      </c>
      <c r="E563" t="str">
        <f t="shared" ca="1" si="107"/>
        <v>Shoes</v>
      </c>
      <c r="F563">
        <f t="shared" ca="1" si="108"/>
        <v>2675</v>
      </c>
      <c r="G563">
        <f t="shared" ca="1" si="109"/>
        <v>10</v>
      </c>
      <c r="H563">
        <f t="shared" ca="1" si="110"/>
        <v>2407.5</v>
      </c>
      <c r="I563">
        <f t="shared" ca="1" si="111"/>
        <v>0</v>
      </c>
      <c r="J563">
        <f t="shared" ca="1" si="112"/>
        <v>0</v>
      </c>
      <c r="K563">
        <f t="shared" ca="1" si="113"/>
        <v>0</v>
      </c>
      <c r="L563">
        <f t="shared" ca="1" si="114"/>
        <v>0</v>
      </c>
      <c r="M563">
        <f t="shared" ca="1" si="115"/>
        <v>7</v>
      </c>
      <c r="N563">
        <f t="shared" ca="1" si="116"/>
        <v>0</v>
      </c>
    </row>
    <row r="564" spans="1:14" x14ac:dyDescent="0.35">
      <c r="A564" t="s">
        <v>581</v>
      </c>
      <c r="B564" t="str">
        <f t="shared" si="104"/>
        <v>Control</v>
      </c>
      <c r="C564">
        <f t="shared" ca="1" si="105"/>
        <v>25</v>
      </c>
      <c r="D564" t="str">
        <f t="shared" ca="1" si="106"/>
        <v>Female</v>
      </c>
      <c r="E564" t="str">
        <f t="shared" ca="1" si="107"/>
        <v>Dresses</v>
      </c>
      <c r="F564">
        <f t="shared" ca="1" si="108"/>
        <v>7387</v>
      </c>
      <c r="G564">
        <f t="shared" ca="1" si="109"/>
        <v>10</v>
      </c>
      <c r="H564">
        <f t="shared" ca="1" si="110"/>
        <v>6648.3</v>
      </c>
      <c r="I564">
        <f t="shared" ca="1" si="111"/>
        <v>1</v>
      </c>
      <c r="J564">
        <f t="shared" ca="1" si="112"/>
        <v>0</v>
      </c>
      <c r="K564">
        <f t="shared" ca="1" si="113"/>
        <v>0</v>
      </c>
      <c r="L564">
        <f t="shared" ca="1" si="114"/>
        <v>0</v>
      </c>
      <c r="M564">
        <f t="shared" ca="1" si="115"/>
        <v>2</v>
      </c>
      <c r="N564">
        <f t="shared" ca="1" si="116"/>
        <v>0</v>
      </c>
    </row>
    <row r="565" spans="1:14" x14ac:dyDescent="0.35">
      <c r="A565" t="s">
        <v>582</v>
      </c>
      <c r="B565" t="str">
        <f t="shared" si="104"/>
        <v>Control</v>
      </c>
      <c r="C565">
        <f t="shared" ca="1" si="105"/>
        <v>25</v>
      </c>
      <c r="D565" t="str">
        <f t="shared" ca="1" si="106"/>
        <v>Male</v>
      </c>
      <c r="E565" t="str">
        <f t="shared" ca="1" si="107"/>
        <v>Dresses</v>
      </c>
      <c r="F565">
        <f t="shared" ca="1" si="108"/>
        <v>7914</v>
      </c>
      <c r="G565">
        <f t="shared" ca="1" si="109"/>
        <v>10</v>
      </c>
      <c r="H565">
        <f t="shared" ca="1" si="110"/>
        <v>7122.6</v>
      </c>
      <c r="I565">
        <f t="shared" ca="1" si="111"/>
        <v>1</v>
      </c>
      <c r="J565">
        <f t="shared" ca="1" si="112"/>
        <v>1</v>
      </c>
      <c r="K565">
        <f t="shared" ca="1" si="113"/>
        <v>0</v>
      </c>
      <c r="L565">
        <f t="shared" ca="1" si="114"/>
        <v>0</v>
      </c>
      <c r="M565">
        <f t="shared" ca="1" si="115"/>
        <v>7</v>
      </c>
      <c r="N565">
        <f t="shared" ca="1" si="116"/>
        <v>0</v>
      </c>
    </row>
    <row r="566" spans="1:14" x14ac:dyDescent="0.35">
      <c r="A566" t="s">
        <v>583</v>
      </c>
      <c r="B566" t="str">
        <f t="shared" si="104"/>
        <v>Control</v>
      </c>
      <c r="C566">
        <f t="shared" ca="1" si="105"/>
        <v>40</v>
      </c>
      <c r="D566" t="str">
        <f t="shared" ca="1" si="106"/>
        <v>Female</v>
      </c>
      <c r="E566" t="str">
        <f t="shared" ca="1" si="107"/>
        <v>T-shirts</v>
      </c>
      <c r="F566">
        <f t="shared" ca="1" si="108"/>
        <v>6911</v>
      </c>
      <c r="G566">
        <f t="shared" ca="1" si="109"/>
        <v>10</v>
      </c>
      <c r="H566">
        <f t="shared" ca="1" si="110"/>
        <v>6219.9000000000005</v>
      </c>
      <c r="I566">
        <f t="shared" ca="1" si="111"/>
        <v>1</v>
      </c>
      <c r="J566">
        <f t="shared" ca="1" si="112"/>
        <v>1</v>
      </c>
      <c r="K566">
        <f t="shared" ca="1" si="113"/>
        <v>0</v>
      </c>
      <c r="L566">
        <f t="shared" ca="1" si="114"/>
        <v>0</v>
      </c>
      <c r="M566">
        <f t="shared" ca="1" si="115"/>
        <v>6</v>
      </c>
      <c r="N566">
        <f t="shared" ca="1" si="116"/>
        <v>0</v>
      </c>
    </row>
    <row r="567" spans="1:14" x14ac:dyDescent="0.35">
      <c r="A567" t="s">
        <v>584</v>
      </c>
      <c r="B567" t="str">
        <f t="shared" si="104"/>
        <v>Control</v>
      </c>
      <c r="C567">
        <f t="shared" ca="1" si="105"/>
        <v>43</v>
      </c>
      <c r="D567" t="str">
        <f t="shared" ca="1" si="106"/>
        <v>Male</v>
      </c>
      <c r="E567" t="str">
        <f t="shared" ca="1" si="107"/>
        <v>T-shirts</v>
      </c>
      <c r="F567">
        <f t="shared" ca="1" si="108"/>
        <v>2803</v>
      </c>
      <c r="G567">
        <f t="shared" ca="1" si="109"/>
        <v>10</v>
      </c>
      <c r="H567">
        <f t="shared" ca="1" si="110"/>
        <v>2522.7000000000003</v>
      </c>
      <c r="I567">
        <f t="shared" ca="1" si="111"/>
        <v>1</v>
      </c>
      <c r="J567">
        <f t="shared" ca="1" si="112"/>
        <v>0</v>
      </c>
      <c r="K567">
        <f t="shared" ca="1" si="113"/>
        <v>0</v>
      </c>
      <c r="L567">
        <f t="shared" ca="1" si="114"/>
        <v>0</v>
      </c>
      <c r="M567">
        <f t="shared" ca="1" si="115"/>
        <v>3</v>
      </c>
      <c r="N567">
        <f t="shared" ca="1" si="116"/>
        <v>0</v>
      </c>
    </row>
    <row r="568" spans="1:14" x14ac:dyDescent="0.35">
      <c r="A568" t="s">
        <v>585</v>
      </c>
      <c r="B568" t="str">
        <f t="shared" si="104"/>
        <v>Control</v>
      </c>
      <c r="C568">
        <f t="shared" ca="1" si="105"/>
        <v>29</v>
      </c>
      <c r="D568" t="str">
        <f t="shared" ca="1" si="106"/>
        <v>Female</v>
      </c>
      <c r="E568" t="str">
        <f t="shared" ca="1" si="107"/>
        <v>T-shirts</v>
      </c>
      <c r="F568">
        <f t="shared" ca="1" si="108"/>
        <v>7362</v>
      </c>
      <c r="G568">
        <f t="shared" ca="1" si="109"/>
        <v>10</v>
      </c>
      <c r="H568">
        <f t="shared" ca="1" si="110"/>
        <v>6625.8</v>
      </c>
      <c r="I568">
        <f t="shared" ca="1" si="111"/>
        <v>1</v>
      </c>
      <c r="J568">
        <f t="shared" ca="1" si="112"/>
        <v>0</v>
      </c>
      <c r="K568">
        <f t="shared" ca="1" si="113"/>
        <v>0</v>
      </c>
      <c r="L568">
        <f t="shared" ca="1" si="114"/>
        <v>0</v>
      </c>
      <c r="M568">
        <f t="shared" ca="1" si="115"/>
        <v>4</v>
      </c>
      <c r="N568">
        <f t="shared" ca="1" si="116"/>
        <v>0</v>
      </c>
    </row>
    <row r="569" spans="1:14" x14ac:dyDescent="0.35">
      <c r="A569" t="s">
        <v>586</v>
      </c>
      <c r="B569" t="str">
        <f t="shared" si="104"/>
        <v>Control</v>
      </c>
      <c r="C569">
        <f t="shared" ca="1" si="105"/>
        <v>29</v>
      </c>
      <c r="D569" t="str">
        <f t="shared" ca="1" si="106"/>
        <v>Other</v>
      </c>
      <c r="E569" t="str">
        <f t="shared" ca="1" si="107"/>
        <v>Tops</v>
      </c>
      <c r="F569">
        <f t="shared" ca="1" si="108"/>
        <v>4268</v>
      </c>
      <c r="G569">
        <f t="shared" ca="1" si="109"/>
        <v>10</v>
      </c>
      <c r="H569">
        <f t="shared" ca="1" si="110"/>
        <v>3841.2000000000003</v>
      </c>
      <c r="I569">
        <f t="shared" ca="1" si="111"/>
        <v>1</v>
      </c>
      <c r="J569">
        <f t="shared" ca="1" si="112"/>
        <v>1</v>
      </c>
      <c r="K569">
        <f t="shared" ca="1" si="113"/>
        <v>1</v>
      </c>
      <c r="L569">
        <f t="shared" ca="1" si="114"/>
        <v>3841.2000000000003</v>
      </c>
      <c r="M569">
        <f t="shared" ca="1" si="115"/>
        <v>1</v>
      </c>
      <c r="N569">
        <f t="shared" ca="1" si="116"/>
        <v>0</v>
      </c>
    </row>
    <row r="570" spans="1:14" x14ac:dyDescent="0.35">
      <c r="A570" t="s">
        <v>587</v>
      </c>
      <c r="B570" t="str">
        <f t="shared" si="104"/>
        <v>Control</v>
      </c>
      <c r="C570">
        <f t="shared" ca="1" si="105"/>
        <v>18</v>
      </c>
      <c r="D570" t="str">
        <f t="shared" ca="1" si="106"/>
        <v>Male</v>
      </c>
      <c r="E570" t="str">
        <f t="shared" ca="1" si="107"/>
        <v>Shoes</v>
      </c>
      <c r="F570">
        <f t="shared" ca="1" si="108"/>
        <v>1595</v>
      </c>
      <c r="G570">
        <f t="shared" ca="1" si="109"/>
        <v>10</v>
      </c>
      <c r="H570">
        <f t="shared" ca="1" si="110"/>
        <v>1435.5</v>
      </c>
      <c r="I570">
        <f t="shared" ca="1" si="111"/>
        <v>1</v>
      </c>
      <c r="J570">
        <f t="shared" ca="1" si="112"/>
        <v>1</v>
      </c>
      <c r="K570">
        <f t="shared" ca="1" si="113"/>
        <v>1</v>
      </c>
      <c r="L570">
        <f t="shared" ca="1" si="114"/>
        <v>1435.5</v>
      </c>
      <c r="M570">
        <f t="shared" ca="1" si="115"/>
        <v>3</v>
      </c>
      <c r="N570">
        <f t="shared" ca="1" si="116"/>
        <v>1</v>
      </c>
    </row>
    <row r="571" spans="1:14" x14ac:dyDescent="0.35">
      <c r="A571" t="s">
        <v>588</v>
      </c>
      <c r="B571" t="str">
        <f t="shared" si="104"/>
        <v>Control</v>
      </c>
      <c r="C571">
        <f t="shared" ca="1" si="105"/>
        <v>21</v>
      </c>
      <c r="D571" t="str">
        <f t="shared" ca="1" si="106"/>
        <v>Male</v>
      </c>
      <c r="E571" t="str">
        <f t="shared" ca="1" si="107"/>
        <v>Shoes</v>
      </c>
      <c r="F571">
        <f t="shared" ca="1" si="108"/>
        <v>5477</v>
      </c>
      <c r="G571">
        <f t="shared" ca="1" si="109"/>
        <v>10</v>
      </c>
      <c r="H571">
        <f t="shared" ca="1" si="110"/>
        <v>4929.3</v>
      </c>
      <c r="I571">
        <f t="shared" ca="1" si="111"/>
        <v>1</v>
      </c>
      <c r="J571">
        <f t="shared" ca="1" si="112"/>
        <v>0</v>
      </c>
      <c r="K571">
        <f t="shared" ca="1" si="113"/>
        <v>0</v>
      </c>
      <c r="L571">
        <f t="shared" ca="1" si="114"/>
        <v>0</v>
      </c>
      <c r="M571">
        <f t="shared" ca="1" si="115"/>
        <v>1</v>
      </c>
      <c r="N571">
        <f t="shared" ca="1" si="116"/>
        <v>0</v>
      </c>
    </row>
    <row r="572" spans="1:14" x14ac:dyDescent="0.35">
      <c r="A572" t="s">
        <v>589</v>
      </c>
      <c r="B572" t="str">
        <f t="shared" si="104"/>
        <v>Control</v>
      </c>
      <c r="C572">
        <f t="shared" ca="1" si="105"/>
        <v>36</v>
      </c>
      <c r="D572" t="str">
        <f t="shared" ca="1" si="106"/>
        <v>Other</v>
      </c>
      <c r="E572" t="str">
        <f t="shared" ca="1" si="107"/>
        <v>Sportswear</v>
      </c>
      <c r="F572">
        <f t="shared" ca="1" si="108"/>
        <v>7684</v>
      </c>
      <c r="G572">
        <f t="shared" ca="1" si="109"/>
        <v>10</v>
      </c>
      <c r="H572">
        <f t="shared" ca="1" si="110"/>
        <v>6915.6</v>
      </c>
      <c r="I572">
        <f t="shared" ca="1" si="111"/>
        <v>1</v>
      </c>
      <c r="J572">
        <f t="shared" ca="1" si="112"/>
        <v>1</v>
      </c>
      <c r="K572">
        <f t="shared" ca="1" si="113"/>
        <v>1</v>
      </c>
      <c r="L572">
        <f t="shared" ca="1" si="114"/>
        <v>6915.6</v>
      </c>
      <c r="M572">
        <f t="shared" ca="1" si="115"/>
        <v>5</v>
      </c>
      <c r="N572">
        <f t="shared" ca="1" si="116"/>
        <v>0</v>
      </c>
    </row>
    <row r="573" spans="1:14" x14ac:dyDescent="0.35">
      <c r="A573" t="s">
        <v>590</v>
      </c>
      <c r="B573" t="str">
        <f t="shared" si="104"/>
        <v>Control</v>
      </c>
      <c r="C573">
        <f t="shared" ca="1" si="105"/>
        <v>34</v>
      </c>
      <c r="D573" t="str">
        <f t="shared" ca="1" si="106"/>
        <v>Female</v>
      </c>
      <c r="E573" t="str">
        <f t="shared" ca="1" si="107"/>
        <v>Tops</v>
      </c>
      <c r="F573">
        <f t="shared" ca="1" si="108"/>
        <v>427</v>
      </c>
      <c r="G573">
        <f t="shared" ca="1" si="109"/>
        <v>10</v>
      </c>
      <c r="H573">
        <f t="shared" ca="1" si="110"/>
        <v>384.3</v>
      </c>
      <c r="I573">
        <f t="shared" ca="1" si="111"/>
        <v>0</v>
      </c>
      <c r="J573">
        <f t="shared" ca="1" si="112"/>
        <v>0</v>
      </c>
      <c r="K573">
        <f t="shared" ca="1" si="113"/>
        <v>0</v>
      </c>
      <c r="L573">
        <f t="shared" ca="1" si="114"/>
        <v>0</v>
      </c>
      <c r="M573">
        <f t="shared" ca="1" si="115"/>
        <v>6</v>
      </c>
      <c r="N573">
        <f t="shared" ca="1" si="116"/>
        <v>0</v>
      </c>
    </row>
    <row r="574" spans="1:14" x14ac:dyDescent="0.35">
      <c r="A574" t="s">
        <v>591</v>
      </c>
      <c r="B574" t="str">
        <f t="shared" si="104"/>
        <v>Control</v>
      </c>
      <c r="C574">
        <f t="shared" ca="1" si="105"/>
        <v>23</v>
      </c>
      <c r="D574" t="str">
        <f t="shared" ca="1" si="106"/>
        <v>Female</v>
      </c>
      <c r="E574" t="str">
        <f t="shared" ca="1" si="107"/>
        <v>Sportswear</v>
      </c>
      <c r="F574">
        <f t="shared" ca="1" si="108"/>
        <v>2962</v>
      </c>
      <c r="G574">
        <f t="shared" ca="1" si="109"/>
        <v>10</v>
      </c>
      <c r="H574">
        <f t="shared" ca="1" si="110"/>
        <v>2665.8</v>
      </c>
      <c r="I574">
        <f t="shared" ca="1" si="111"/>
        <v>1</v>
      </c>
      <c r="J574">
        <f t="shared" ca="1" si="112"/>
        <v>0</v>
      </c>
      <c r="K574">
        <f t="shared" ca="1" si="113"/>
        <v>0</v>
      </c>
      <c r="L574">
        <f t="shared" ca="1" si="114"/>
        <v>0</v>
      </c>
      <c r="M574">
        <f t="shared" ca="1" si="115"/>
        <v>5</v>
      </c>
      <c r="N574">
        <f t="shared" ca="1" si="116"/>
        <v>0</v>
      </c>
    </row>
    <row r="575" spans="1:14" x14ac:dyDescent="0.35">
      <c r="A575" t="s">
        <v>592</v>
      </c>
      <c r="B575" t="str">
        <f t="shared" si="104"/>
        <v>Control</v>
      </c>
      <c r="C575">
        <f t="shared" ca="1" si="105"/>
        <v>27</v>
      </c>
      <c r="D575" t="str">
        <f t="shared" ca="1" si="106"/>
        <v>Male</v>
      </c>
      <c r="E575" t="str">
        <f t="shared" ca="1" si="107"/>
        <v>Ethnic Wear</v>
      </c>
      <c r="F575">
        <f t="shared" ca="1" si="108"/>
        <v>6596</v>
      </c>
      <c r="G575">
        <f t="shared" ca="1" si="109"/>
        <v>10</v>
      </c>
      <c r="H575">
        <f t="shared" ca="1" si="110"/>
        <v>5936.4000000000005</v>
      </c>
      <c r="I575">
        <f t="shared" ca="1" si="111"/>
        <v>1</v>
      </c>
      <c r="J575">
        <f t="shared" ca="1" si="112"/>
        <v>1</v>
      </c>
      <c r="K575">
        <f t="shared" ca="1" si="113"/>
        <v>1</v>
      </c>
      <c r="L575">
        <f t="shared" ca="1" si="114"/>
        <v>5936.4000000000005</v>
      </c>
      <c r="M575">
        <f t="shared" ca="1" si="115"/>
        <v>1</v>
      </c>
      <c r="N575">
        <f t="shared" ca="1" si="116"/>
        <v>0</v>
      </c>
    </row>
    <row r="576" spans="1:14" x14ac:dyDescent="0.35">
      <c r="A576" t="s">
        <v>593</v>
      </c>
      <c r="B576" t="str">
        <f t="shared" si="104"/>
        <v>Control</v>
      </c>
      <c r="C576">
        <f t="shared" ca="1" si="105"/>
        <v>19</v>
      </c>
      <c r="D576" t="str">
        <f t="shared" ca="1" si="106"/>
        <v>Female</v>
      </c>
      <c r="E576" t="str">
        <f t="shared" ca="1" si="107"/>
        <v>T-shirts</v>
      </c>
      <c r="F576">
        <f t="shared" ca="1" si="108"/>
        <v>7370</v>
      </c>
      <c r="G576">
        <f t="shared" ca="1" si="109"/>
        <v>10</v>
      </c>
      <c r="H576">
        <f t="shared" ca="1" si="110"/>
        <v>6633</v>
      </c>
      <c r="I576">
        <f t="shared" ca="1" si="111"/>
        <v>1</v>
      </c>
      <c r="J576">
        <f t="shared" ca="1" si="112"/>
        <v>1</v>
      </c>
      <c r="K576">
        <f t="shared" ca="1" si="113"/>
        <v>0</v>
      </c>
      <c r="L576">
        <f t="shared" ca="1" si="114"/>
        <v>0</v>
      </c>
      <c r="M576">
        <f t="shared" ca="1" si="115"/>
        <v>1</v>
      </c>
      <c r="N576">
        <f t="shared" ca="1" si="116"/>
        <v>0</v>
      </c>
    </row>
    <row r="577" spans="1:14" x14ac:dyDescent="0.35">
      <c r="A577" t="s">
        <v>594</v>
      </c>
      <c r="B577" t="str">
        <f t="shared" si="104"/>
        <v>Control</v>
      </c>
      <c r="C577">
        <f t="shared" ca="1" si="105"/>
        <v>18</v>
      </c>
      <c r="D577" t="str">
        <f t="shared" ca="1" si="106"/>
        <v>Female</v>
      </c>
      <c r="E577" t="str">
        <f t="shared" ca="1" si="107"/>
        <v>T-shirts</v>
      </c>
      <c r="F577">
        <f t="shared" ca="1" si="108"/>
        <v>5583</v>
      </c>
      <c r="G577">
        <f t="shared" ca="1" si="109"/>
        <v>10</v>
      </c>
      <c r="H577">
        <f t="shared" ca="1" si="110"/>
        <v>5024.7</v>
      </c>
      <c r="I577">
        <f t="shared" ca="1" si="111"/>
        <v>1</v>
      </c>
      <c r="J577">
        <f t="shared" ca="1" si="112"/>
        <v>1</v>
      </c>
      <c r="K577">
        <f t="shared" ca="1" si="113"/>
        <v>0</v>
      </c>
      <c r="L577">
        <f t="shared" ca="1" si="114"/>
        <v>0</v>
      </c>
      <c r="M577">
        <f t="shared" ca="1" si="115"/>
        <v>3</v>
      </c>
      <c r="N577">
        <f t="shared" ca="1" si="116"/>
        <v>0</v>
      </c>
    </row>
    <row r="578" spans="1:14" x14ac:dyDescent="0.35">
      <c r="A578" t="s">
        <v>595</v>
      </c>
      <c r="B578" t="str">
        <f t="shared" si="104"/>
        <v>Control</v>
      </c>
      <c r="C578">
        <f t="shared" ca="1" si="105"/>
        <v>25</v>
      </c>
      <c r="D578" t="str">
        <f t="shared" ca="1" si="106"/>
        <v>Female</v>
      </c>
      <c r="E578" t="str">
        <f t="shared" ca="1" si="107"/>
        <v>Shoes</v>
      </c>
      <c r="F578">
        <f t="shared" ca="1" si="108"/>
        <v>7697</v>
      </c>
      <c r="G578">
        <f t="shared" ca="1" si="109"/>
        <v>10</v>
      </c>
      <c r="H578">
        <f t="shared" ca="1" si="110"/>
        <v>6927.3</v>
      </c>
      <c r="I578">
        <f t="shared" ca="1" si="111"/>
        <v>1</v>
      </c>
      <c r="J578">
        <f t="shared" ca="1" si="112"/>
        <v>1</v>
      </c>
      <c r="K578">
        <f t="shared" ca="1" si="113"/>
        <v>1</v>
      </c>
      <c r="L578">
        <f t="shared" ca="1" si="114"/>
        <v>6927.3</v>
      </c>
      <c r="M578">
        <f t="shared" ca="1" si="115"/>
        <v>5</v>
      </c>
      <c r="N578">
        <f t="shared" ca="1" si="116"/>
        <v>0</v>
      </c>
    </row>
    <row r="579" spans="1:14" x14ac:dyDescent="0.35">
      <c r="A579" t="s">
        <v>596</v>
      </c>
      <c r="B579" t="str">
        <f t="shared" si="104"/>
        <v>Control</v>
      </c>
      <c r="C579">
        <f t="shared" ca="1" si="105"/>
        <v>22</v>
      </c>
      <c r="D579" t="str">
        <f t="shared" ca="1" si="106"/>
        <v>Male</v>
      </c>
      <c r="E579" t="str">
        <f t="shared" ca="1" si="107"/>
        <v>Ethnic Wear</v>
      </c>
      <c r="F579">
        <f t="shared" ca="1" si="108"/>
        <v>1100</v>
      </c>
      <c r="G579">
        <f t="shared" ca="1" si="109"/>
        <v>10</v>
      </c>
      <c r="H579">
        <f t="shared" ca="1" si="110"/>
        <v>990</v>
      </c>
      <c r="I579">
        <f t="shared" ca="1" si="111"/>
        <v>0</v>
      </c>
      <c r="J579">
        <f t="shared" ca="1" si="112"/>
        <v>0</v>
      </c>
      <c r="K579">
        <f t="shared" ca="1" si="113"/>
        <v>0</v>
      </c>
      <c r="L579">
        <f t="shared" ca="1" si="114"/>
        <v>0</v>
      </c>
      <c r="M579">
        <f t="shared" ca="1" si="115"/>
        <v>6</v>
      </c>
      <c r="N579">
        <f t="shared" ca="1" si="116"/>
        <v>0</v>
      </c>
    </row>
    <row r="580" spans="1:14" x14ac:dyDescent="0.35">
      <c r="A580" t="s">
        <v>597</v>
      </c>
      <c r="B580" t="str">
        <f t="shared" si="104"/>
        <v>Control</v>
      </c>
      <c r="C580">
        <f t="shared" ca="1" si="105"/>
        <v>35</v>
      </c>
      <c r="D580" t="str">
        <f t="shared" ca="1" si="106"/>
        <v>Male</v>
      </c>
      <c r="E580" t="str">
        <f t="shared" ca="1" si="107"/>
        <v>Tops</v>
      </c>
      <c r="F580">
        <f t="shared" ca="1" si="108"/>
        <v>3456</v>
      </c>
      <c r="G580">
        <f t="shared" ca="1" si="109"/>
        <v>10</v>
      </c>
      <c r="H580">
        <f t="shared" ca="1" si="110"/>
        <v>3110.4</v>
      </c>
      <c r="I580">
        <f t="shared" ca="1" si="111"/>
        <v>0</v>
      </c>
      <c r="J580">
        <f t="shared" ca="1" si="112"/>
        <v>0</v>
      </c>
      <c r="K580">
        <f t="shared" ca="1" si="113"/>
        <v>0</v>
      </c>
      <c r="L580">
        <f t="shared" ca="1" si="114"/>
        <v>0</v>
      </c>
      <c r="M580">
        <f t="shared" ca="1" si="115"/>
        <v>4</v>
      </c>
      <c r="N580">
        <f t="shared" ca="1" si="116"/>
        <v>0</v>
      </c>
    </row>
    <row r="581" spans="1:14" x14ac:dyDescent="0.35">
      <c r="A581" t="s">
        <v>598</v>
      </c>
      <c r="B581" t="str">
        <f t="shared" ref="B581:B644" si="117">IF(ROW()&lt;=1001,"Control","Test")</f>
        <v>Control</v>
      </c>
      <c r="C581">
        <f t="shared" ref="C581:C644" ca="1" si="118">RANDBETWEEN(18,45)</f>
        <v>24</v>
      </c>
      <c r="D581" t="str">
        <f t="shared" ref="D581:D644" ca="1" si="119">CHOOSE(RANDBETWEEN(1,20),"Female","Female","Female","Female","Female","Female","Female","Female","Female","Female","Male","Male","Male","Male","Male","Male","Male","Male","Other","Other")</f>
        <v>Male</v>
      </c>
      <c r="E581" t="str">
        <f t="shared" ref="E581:E644" ca="1" si="120">CHOOSE(RANDBETWEEN(1,8),"T-shirts","Dresses","Jeans","Shoes","Ethnic Wear","Tops","Sportswear","Accessories")</f>
        <v>Dresses</v>
      </c>
      <c r="F581">
        <f t="shared" ref="F581:F644" ca="1" si="121">RANDBETWEEN(300,8000)</f>
        <v>918</v>
      </c>
      <c r="G581">
        <f t="shared" ref="G581:G644" ca="1" si="122">IF(B581="Control",10,CHOOSE(RANDBETWEEN(1,3),15,20,25))</f>
        <v>10</v>
      </c>
      <c r="H581">
        <f t="shared" ref="H581:H644" ca="1" si="123">F581*(1-G581/100)</f>
        <v>826.2</v>
      </c>
      <c r="I581">
        <f t="shared" ref="I581:I644" ca="1" si="124">IF(RAND()&lt;0.85,1,0)</f>
        <v>1</v>
      </c>
      <c r="J581">
        <f t="shared" ref="J581:J644" ca="1" si="125">IF(I581=1,IF(RAND()&lt;0.55,1,0),0)</f>
        <v>1</v>
      </c>
      <c r="K581">
        <f t="shared" ref="K581:K644" ca="1" si="126">IF(J581=1,IF(B581="Test",IF(RAND()&lt;0.4,1,0),IF(RAND()&lt;0.34,1,0)),0)</f>
        <v>0</v>
      </c>
      <c r="L581">
        <f t="shared" ref="L581:L644" ca="1" si="127">IF(K581=1,H581,0)</f>
        <v>0</v>
      </c>
      <c r="M581">
        <f t="shared" ref="M581:M644" ca="1" si="128">RANDBETWEEN(1,7)</f>
        <v>3</v>
      </c>
      <c r="N581">
        <f t="shared" ref="N581:N644" ca="1" si="129">IF(K581=1,IF(RAND()&lt;0.15,1,0),0)</f>
        <v>0</v>
      </c>
    </row>
    <row r="582" spans="1:14" x14ac:dyDescent="0.35">
      <c r="A582" t="s">
        <v>599</v>
      </c>
      <c r="B582" t="str">
        <f t="shared" si="117"/>
        <v>Control</v>
      </c>
      <c r="C582">
        <f t="shared" ca="1" si="118"/>
        <v>18</v>
      </c>
      <c r="D582" t="str">
        <f t="shared" ca="1" si="119"/>
        <v>Female</v>
      </c>
      <c r="E582" t="str">
        <f t="shared" ca="1" si="120"/>
        <v>Sportswear</v>
      </c>
      <c r="F582">
        <f t="shared" ca="1" si="121"/>
        <v>1385</v>
      </c>
      <c r="G582">
        <f t="shared" ca="1" si="122"/>
        <v>10</v>
      </c>
      <c r="H582">
        <f t="shared" ca="1" si="123"/>
        <v>1246.5</v>
      </c>
      <c r="I582">
        <f t="shared" ca="1" si="124"/>
        <v>1</v>
      </c>
      <c r="J582">
        <f t="shared" ca="1" si="125"/>
        <v>0</v>
      </c>
      <c r="K582">
        <f t="shared" ca="1" si="126"/>
        <v>0</v>
      </c>
      <c r="L582">
        <f t="shared" ca="1" si="127"/>
        <v>0</v>
      </c>
      <c r="M582">
        <f t="shared" ca="1" si="128"/>
        <v>3</v>
      </c>
      <c r="N582">
        <f t="shared" ca="1" si="129"/>
        <v>0</v>
      </c>
    </row>
    <row r="583" spans="1:14" x14ac:dyDescent="0.35">
      <c r="A583" t="s">
        <v>600</v>
      </c>
      <c r="B583" t="str">
        <f t="shared" si="117"/>
        <v>Control</v>
      </c>
      <c r="C583">
        <f t="shared" ca="1" si="118"/>
        <v>44</v>
      </c>
      <c r="D583" t="str">
        <f t="shared" ca="1" si="119"/>
        <v>Male</v>
      </c>
      <c r="E583" t="str">
        <f t="shared" ca="1" si="120"/>
        <v>Ethnic Wear</v>
      </c>
      <c r="F583">
        <f t="shared" ca="1" si="121"/>
        <v>4241</v>
      </c>
      <c r="G583">
        <f t="shared" ca="1" si="122"/>
        <v>10</v>
      </c>
      <c r="H583">
        <f t="shared" ca="1" si="123"/>
        <v>3816.9</v>
      </c>
      <c r="I583">
        <f t="shared" ca="1" si="124"/>
        <v>1</v>
      </c>
      <c r="J583">
        <f t="shared" ca="1" si="125"/>
        <v>0</v>
      </c>
      <c r="K583">
        <f t="shared" ca="1" si="126"/>
        <v>0</v>
      </c>
      <c r="L583">
        <f t="shared" ca="1" si="127"/>
        <v>0</v>
      </c>
      <c r="M583">
        <f t="shared" ca="1" si="128"/>
        <v>1</v>
      </c>
      <c r="N583">
        <f t="shared" ca="1" si="129"/>
        <v>0</v>
      </c>
    </row>
    <row r="584" spans="1:14" x14ac:dyDescent="0.35">
      <c r="A584" t="s">
        <v>601</v>
      </c>
      <c r="B584" t="str">
        <f t="shared" si="117"/>
        <v>Control</v>
      </c>
      <c r="C584">
        <f t="shared" ca="1" si="118"/>
        <v>34</v>
      </c>
      <c r="D584" t="str">
        <f t="shared" ca="1" si="119"/>
        <v>Female</v>
      </c>
      <c r="E584" t="str">
        <f t="shared" ca="1" si="120"/>
        <v>Jeans</v>
      </c>
      <c r="F584">
        <f t="shared" ca="1" si="121"/>
        <v>4865</v>
      </c>
      <c r="G584">
        <f t="shared" ca="1" si="122"/>
        <v>10</v>
      </c>
      <c r="H584">
        <f t="shared" ca="1" si="123"/>
        <v>4378.5</v>
      </c>
      <c r="I584">
        <f t="shared" ca="1" si="124"/>
        <v>1</v>
      </c>
      <c r="J584">
        <f t="shared" ca="1" si="125"/>
        <v>1</v>
      </c>
      <c r="K584">
        <f t="shared" ca="1" si="126"/>
        <v>0</v>
      </c>
      <c r="L584">
        <f t="shared" ca="1" si="127"/>
        <v>0</v>
      </c>
      <c r="M584">
        <f t="shared" ca="1" si="128"/>
        <v>6</v>
      </c>
      <c r="N584">
        <f t="shared" ca="1" si="129"/>
        <v>0</v>
      </c>
    </row>
    <row r="585" spans="1:14" x14ac:dyDescent="0.35">
      <c r="A585" t="s">
        <v>602</v>
      </c>
      <c r="B585" t="str">
        <f t="shared" si="117"/>
        <v>Control</v>
      </c>
      <c r="C585">
        <f t="shared" ca="1" si="118"/>
        <v>22</v>
      </c>
      <c r="D585" t="str">
        <f t="shared" ca="1" si="119"/>
        <v>Male</v>
      </c>
      <c r="E585" t="str">
        <f t="shared" ca="1" si="120"/>
        <v>T-shirts</v>
      </c>
      <c r="F585">
        <f t="shared" ca="1" si="121"/>
        <v>4311</v>
      </c>
      <c r="G585">
        <f t="shared" ca="1" si="122"/>
        <v>10</v>
      </c>
      <c r="H585">
        <f t="shared" ca="1" si="123"/>
        <v>3879.9</v>
      </c>
      <c r="I585">
        <f t="shared" ca="1" si="124"/>
        <v>1</v>
      </c>
      <c r="J585">
        <f t="shared" ca="1" si="125"/>
        <v>0</v>
      </c>
      <c r="K585">
        <f t="shared" ca="1" si="126"/>
        <v>0</v>
      </c>
      <c r="L585">
        <f t="shared" ca="1" si="127"/>
        <v>0</v>
      </c>
      <c r="M585">
        <f t="shared" ca="1" si="128"/>
        <v>5</v>
      </c>
      <c r="N585">
        <f t="shared" ca="1" si="129"/>
        <v>0</v>
      </c>
    </row>
    <row r="586" spans="1:14" x14ac:dyDescent="0.35">
      <c r="A586" t="s">
        <v>603</v>
      </c>
      <c r="B586" t="str">
        <f t="shared" si="117"/>
        <v>Control</v>
      </c>
      <c r="C586">
        <f t="shared" ca="1" si="118"/>
        <v>37</v>
      </c>
      <c r="D586" t="str">
        <f t="shared" ca="1" si="119"/>
        <v>Female</v>
      </c>
      <c r="E586" t="str">
        <f t="shared" ca="1" si="120"/>
        <v>Sportswear</v>
      </c>
      <c r="F586">
        <f t="shared" ca="1" si="121"/>
        <v>5683</v>
      </c>
      <c r="G586">
        <f t="shared" ca="1" si="122"/>
        <v>10</v>
      </c>
      <c r="H586">
        <f t="shared" ca="1" si="123"/>
        <v>5114.7</v>
      </c>
      <c r="I586">
        <f t="shared" ca="1" si="124"/>
        <v>1</v>
      </c>
      <c r="J586">
        <f t="shared" ca="1" si="125"/>
        <v>1</v>
      </c>
      <c r="K586">
        <f t="shared" ca="1" si="126"/>
        <v>0</v>
      </c>
      <c r="L586">
        <f t="shared" ca="1" si="127"/>
        <v>0</v>
      </c>
      <c r="M586">
        <f t="shared" ca="1" si="128"/>
        <v>2</v>
      </c>
      <c r="N586">
        <f t="shared" ca="1" si="129"/>
        <v>0</v>
      </c>
    </row>
    <row r="587" spans="1:14" x14ac:dyDescent="0.35">
      <c r="A587" t="s">
        <v>604</v>
      </c>
      <c r="B587" t="str">
        <f t="shared" si="117"/>
        <v>Control</v>
      </c>
      <c r="C587">
        <f t="shared" ca="1" si="118"/>
        <v>21</v>
      </c>
      <c r="D587" t="str">
        <f t="shared" ca="1" si="119"/>
        <v>Other</v>
      </c>
      <c r="E587" t="str">
        <f t="shared" ca="1" si="120"/>
        <v>Ethnic Wear</v>
      </c>
      <c r="F587">
        <f t="shared" ca="1" si="121"/>
        <v>6851</v>
      </c>
      <c r="G587">
        <f t="shared" ca="1" si="122"/>
        <v>10</v>
      </c>
      <c r="H587">
        <f t="shared" ca="1" si="123"/>
        <v>6165.9000000000005</v>
      </c>
      <c r="I587">
        <f t="shared" ca="1" si="124"/>
        <v>1</v>
      </c>
      <c r="J587">
        <f t="shared" ca="1" si="125"/>
        <v>1</v>
      </c>
      <c r="K587">
        <f t="shared" ca="1" si="126"/>
        <v>1</v>
      </c>
      <c r="L587">
        <f t="shared" ca="1" si="127"/>
        <v>6165.9000000000005</v>
      </c>
      <c r="M587">
        <f t="shared" ca="1" si="128"/>
        <v>6</v>
      </c>
      <c r="N587">
        <f t="shared" ca="1" si="129"/>
        <v>0</v>
      </c>
    </row>
    <row r="588" spans="1:14" x14ac:dyDescent="0.35">
      <c r="A588" t="s">
        <v>605</v>
      </c>
      <c r="B588" t="str">
        <f t="shared" si="117"/>
        <v>Control</v>
      </c>
      <c r="C588">
        <f t="shared" ca="1" si="118"/>
        <v>23</v>
      </c>
      <c r="D588" t="str">
        <f t="shared" ca="1" si="119"/>
        <v>Female</v>
      </c>
      <c r="E588" t="str">
        <f t="shared" ca="1" si="120"/>
        <v>Shoes</v>
      </c>
      <c r="F588">
        <f t="shared" ca="1" si="121"/>
        <v>3338</v>
      </c>
      <c r="G588">
        <f t="shared" ca="1" si="122"/>
        <v>10</v>
      </c>
      <c r="H588">
        <f t="shared" ca="1" si="123"/>
        <v>3004.2000000000003</v>
      </c>
      <c r="I588">
        <f t="shared" ca="1" si="124"/>
        <v>1</v>
      </c>
      <c r="J588">
        <f t="shared" ca="1" si="125"/>
        <v>1</v>
      </c>
      <c r="K588">
        <f t="shared" ca="1" si="126"/>
        <v>1</v>
      </c>
      <c r="L588">
        <f t="shared" ca="1" si="127"/>
        <v>3004.2000000000003</v>
      </c>
      <c r="M588">
        <f t="shared" ca="1" si="128"/>
        <v>2</v>
      </c>
      <c r="N588">
        <f t="shared" ca="1" si="129"/>
        <v>0</v>
      </c>
    </row>
    <row r="589" spans="1:14" x14ac:dyDescent="0.35">
      <c r="A589" t="s">
        <v>606</v>
      </c>
      <c r="B589" t="str">
        <f t="shared" si="117"/>
        <v>Control</v>
      </c>
      <c r="C589">
        <f t="shared" ca="1" si="118"/>
        <v>42</v>
      </c>
      <c r="D589" t="str">
        <f t="shared" ca="1" si="119"/>
        <v>Female</v>
      </c>
      <c r="E589" t="str">
        <f t="shared" ca="1" si="120"/>
        <v>Shoes</v>
      </c>
      <c r="F589">
        <f t="shared" ca="1" si="121"/>
        <v>976</v>
      </c>
      <c r="G589">
        <f t="shared" ca="1" si="122"/>
        <v>10</v>
      </c>
      <c r="H589">
        <f t="shared" ca="1" si="123"/>
        <v>878.4</v>
      </c>
      <c r="I589">
        <f t="shared" ca="1" si="124"/>
        <v>1</v>
      </c>
      <c r="J589">
        <f t="shared" ca="1" si="125"/>
        <v>0</v>
      </c>
      <c r="K589">
        <f t="shared" ca="1" si="126"/>
        <v>0</v>
      </c>
      <c r="L589">
        <f t="shared" ca="1" si="127"/>
        <v>0</v>
      </c>
      <c r="M589">
        <f t="shared" ca="1" si="128"/>
        <v>6</v>
      </c>
      <c r="N589">
        <f t="shared" ca="1" si="129"/>
        <v>0</v>
      </c>
    </row>
    <row r="590" spans="1:14" x14ac:dyDescent="0.35">
      <c r="A590" t="s">
        <v>607</v>
      </c>
      <c r="B590" t="str">
        <f t="shared" si="117"/>
        <v>Control</v>
      </c>
      <c r="C590">
        <f t="shared" ca="1" si="118"/>
        <v>37</v>
      </c>
      <c r="D590" t="str">
        <f t="shared" ca="1" si="119"/>
        <v>Male</v>
      </c>
      <c r="E590" t="str">
        <f t="shared" ca="1" si="120"/>
        <v>Tops</v>
      </c>
      <c r="F590">
        <f t="shared" ca="1" si="121"/>
        <v>3795</v>
      </c>
      <c r="G590">
        <f t="shared" ca="1" si="122"/>
        <v>10</v>
      </c>
      <c r="H590">
        <f t="shared" ca="1" si="123"/>
        <v>3415.5</v>
      </c>
      <c r="I590">
        <f t="shared" ca="1" si="124"/>
        <v>1</v>
      </c>
      <c r="J590">
        <f t="shared" ca="1" si="125"/>
        <v>1</v>
      </c>
      <c r="K590">
        <f t="shared" ca="1" si="126"/>
        <v>0</v>
      </c>
      <c r="L590">
        <f t="shared" ca="1" si="127"/>
        <v>0</v>
      </c>
      <c r="M590">
        <f t="shared" ca="1" si="128"/>
        <v>2</v>
      </c>
      <c r="N590">
        <f t="shared" ca="1" si="129"/>
        <v>0</v>
      </c>
    </row>
    <row r="591" spans="1:14" x14ac:dyDescent="0.35">
      <c r="A591" t="s">
        <v>608</v>
      </c>
      <c r="B591" t="str">
        <f t="shared" si="117"/>
        <v>Control</v>
      </c>
      <c r="C591">
        <f t="shared" ca="1" si="118"/>
        <v>35</v>
      </c>
      <c r="D591" t="str">
        <f t="shared" ca="1" si="119"/>
        <v>Male</v>
      </c>
      <c r="E591" t="str">
        <f t="shared" ca="1" si="120"/>
        <v>Ethnic Wear</v>
      </c>
      <c r="F591">
        <f t="shared" ca="1" si="121"/>
        <v>1468</v>
      </c>
      <c r="G591">
        <f t="shared" ca="1" si="122"/>
        <v>10</v>
      </c>
      <c r="H591">
        <f t="shared" ca="1" si="123"/>
        <v>1321.2</v>
      </c>
      <c r="I591">
        <f t="shared" ca="1" si="124"/>
        <v>1</v>
      </c>
      <c r="J591">
        <f t="shared" ca="1" si="125"/>
        <v>0</v>
      </c>
      <c r="K591">
        <f t="shared" ca="1" si="126"/>
        <v>0</v>
      </c>
      <c r="L591">
        <f t="shared" ca="1" si="127"/>
        <v>0</v>
      </c>
      <c r="M591">
        <f t="shared" ca="1" si="128"/>
        <v>6</v>
      </c>
      <c r="N591">
        <f t="shared" ca="1" si="129"/>
        <v>0</v>
      </c>
    </row>
    <row r="592" spans="1:14" x14ac:dyDescent="0.35">
      <c r="A592" t="s">
        <v>609</v>
      </c>
      <c r="B592" t="str">
        <f t="shared" si="117"/>
        <v>Control</v>
      </c>
      <c r="C592">
        <f t="shared" ca="1" si="118"/>
        <v>43</v>
      </c>
      <c r="D592" t="str">
        <f t="shared" ca="1" si="119"/>
        <v>Female</v>
      </c>
      <c r="E592" t="str">
        <f t="shared" ca="1" si="120"/>
        <v>Jeans</v>
      </c>
      <c r="F592">
        <f t="shared" ca="1" si="121"/>
        <v>888</v>
      </c>
      <c r="G592">
        <f t="shared" ca="1" si="122"/>
        <v>10</v>
      </c>
      <c r="H592">
        <f t="shared" ca="1" si="123"/>
        <v>799.2</v>
      </c>
      <c r="I592">
        <f t="shared" ca="1" si="124"/>
        <v>1</v>
      </c>
      <c r="J592">
        <f t="shared" ca="1" si="125"/>
        <v>0</v>
      </c>
      <c r="K592">
        <f t="shared" ca="1" si="126"/>
        <v>0</v>
      </c>
      <c r="L592">
        <f t="shared" ca="1" si="127"/>
        <v>0</v>
      </c>
      <c r="M592">
        <f t="shared" ca="1" si="128"/>
        <v>5</v>
      </c>
      <c r="N592">
        <f t="shared" ca="1" si="129"/>
        <v>0</v>
      </c>
    </row>
    <row r="593" spans="1:14" x14ac:dyDescent="0.35">
      <c r="A593" t="s">
        <v>610</v>
      </c>
      <c r="B593" t="str">
        <f t="shared" si="117"/>
        <v>Control</v>
      </c>
      <c r="C593">
        <f t="shared" ca="1" si="118"/>
        <v>37</v>
      </c>
      <c r="D593" t="str">
        <f t="shared" ca="1" si="119"/>
        <v>Female</v>
      </c>
      <c r="E593" t="str">
        <f t="shared" ca="1" si="120"/>
        <v>T-shirts</v>
      </c>
      <c r="F593">
        <f t="shared" ca="1" si="121"/>
        <v>6316</v>
      </c>
      <c r="G593">
        <f t="shared" ca="1" si="122"/>
        <v>10</v>
      </c>
      <c r="H593">
        <f t="shared" ca="1" si="123"/>
        <v>5684.4000000000005</v>
      </c>
      <c r="I593">
        <f t="shared" ca="1" si="124"/>
        <v>1</v>
      </c>
      <c r="J593">
        <f t="shared" ca="1" si="125"/>
        <v>1</v>
      </c>
      <c r="K593">
        <f t="shared" ca="1" si="126"/>
        <v>0</v>
      </c>
      <c r="L593">
        <f t="shared" ca="1" si="127"/>
        <v>0</v>
      </c>
      <c r="M593">
        <f t="shared" ca="1" si="128"/>
        <v>4</v>
      </c>
      <c r="N593">
        <f t="shared" ca="1" si="129"/>
        <v>0</v>
      </c>
    </row>
    <row r="594" spans="1:14" x14ac:dyDescent="0.35">
      <c r="A594" t="s">
        <v>611</v>
      </c>
      <c r="B594" t="str">
        <f t="shared" si="117"/>
        <v>Control</v>
      </c>
      <c r="C594">
        <f t="shared" ca="1" si="118"/>
        <v>23</v>
      </c>
      <c r="D594" t="str">
        <f t="shared" ca="1" si="119"/>
        <v>Other</v>
      </c>
      <c r="E594" t="str">
        <f t="shared" ca="1" si="120"/>
        <v>Dresses</v>
      </c>
      <c r="F594">
        <f t="shared" ca="1" si="121"/>
        <v>1784</v>
      </c>
      <c r="G594">
        <f t="shared" ca="1" si="122"/>
        <v>10</v>
      </c>
      <c r="H594">
        <f t="shared" ca="1" si="123"/>
        <v>1605.6000000000001</v>
      </c>
      <c r="I594">
        <f t="shared" ca="1" si="124"/>
        <v>1</v>
      </c>
      <c r="J594">
        <f t="shared" ca="1" si="125"/>
        <v>0</v>
      </c>
      <c r="K594">
        <f t="shared" ca="1" si="126"/>
        <v>0</v>
      </c>
      <c r="L594">
        <f t="shared" ca="1" si="127"/>
        <v>0</v>
      </c>
      <c r="M594">
        <f t="shared" ca="1" si="128"/>
        <v>6</v>
      </c>
      <c r="N594">
        <f t="shared" ca="1" si="129"/>
        <v>0</v>
      </c>
    </row>
    <row r="595" spans="1:14" x14ac:dyDescent="0.35">
      <c r="A595" t="s">
        <v>612</v>
      </c>
      <c r="B595" t="str">
        <f t="shared" si="117"/>
        <v>Control</v>
      </c>
      <c r="C595">
        <f t="shared" ca="1" si="118"/>
        <v>29</v>
      </c>
      <c r="D595" t="str">
        <f t="shared" ca="1" si="119"/>
        <v>Female</v>
      </c>
      <c r="E595" t="str">
        <f t="shared" ca="1" si="120"/>
        <v>Ethnic Wear</v>
      </c>
      <c r="F595">
        <f t="shared" ca="1" si="121"/>
        <v>6385</v>
      </c>
      <c r="G595">
        <f t="shared" ca="1" si="122"/>
        <v>10</v>
      </c>
      <c r="H595">
        <f t="shared" ca="1" si="123"/>
        <v>5746.5</v>
      </c>
      <c r="I595">
        <f t="shared" ca="1" si="124"/>
        <v>1</v>
      </c>
      <c r="J595">
        <f t="shared" ca="1" si="125"/>
        <v>1</v>
      </c>
      <c r="K595">
        <f t="shared" ca="1" si="126"/>
        <v>1</v>
      </c>
      <c r="L595">
        <f t="shared" ca="1" si="127"/>
        <v>5746.5</v>
      </c>
      <c r="M595">
        <f t="shared" ca="1" si="128"/>
        <v>7</v>
      </c>
      <c r="N595">
        <f t="shared" ca="1" si="129"/>
        <v>0</v>
      </c>
    </row>
    <row r="596" spans="1:14" x14ac:dyDescent="0.35">
      <c r="A596" t="s">
        <v>613</v>
      </c>
      <c r="B596" t="str">
        <f t="shared" si="117"/>
        <v>Control</v>
      </c>
      <c r="C596">
        <f t="shared" ca="1" si="118"/>
        <v>40</v>
      </c>
      <c r="D596" t="str">
        <f t="shared" ca="1" si="119"/>
        <v>Female</v>
      </c>
      <c r="E596" t="str">
        <f t="shared" ca="1" si="120"/>
        <v>Dresses</v>
      </c>
      <c r="F596">
        <f t="shared" ca="1" si="121"/>
        <v>1673</v>
      </c>
      <c r="G596">
        <f t="shared" ca="1" si="122"/>
        <v>10</v>
      </c>
      <c r="H596">
        <f t="shared" ca="1" si="123"/>
        <v>1505.7</v>
      </c>
      <c r="I596">
        <f t="shared" ca="1" si="124"/>
        <v>1</v>
      </c>
      <c r="J596">
        <f t="shared" ca="1" si="125"/>
        <v>1</v>
      </c>
      <c r="K596">
        <f t="shared" ca="1" si="126"/>
        <v>1</v>
      </c>
      <c r="L596">
        <f t="shared" ca="1" si="127"/>
        <v>1505.7</v>
      </c>
      <c r="M596">
        <f t="shared" ca="1" si="128"/>
        <v>5</v>
      </c>
      <c r="N596">
        <f t="shared" ca="1" si="129"/>
        <v>0</v>
      </c>
    </row>
    <row r="597" spans="1:14" x14ac:dyDescent="0.35">
      <c r="A597" t="s">
        <v>614</v>
      </c>
      <c r="B597" t="str">
        <f t="shared" si="117"/>
        <v>Control</v>
      </c>
      <c r="C597">
        <f t="shared" ca="1" si="118"/>
        <v>30</v>
      </c>
      <c r="D597" t="str">
        <f t="shared" ca="1" si="119"/>
        <v>Female</v>
      </c>
      <c r="E597" t="str">
        <f t="shared" ca="1" si="120"/>
        <v>Tops</v>
      </c>
      <c r="F597">
        <f t="shared" ca="1" si="121"/>
        <v>606</v>
      </c>
      <c r="G597">
        <f t="shared" ca="1" si="122"/>
        <v>10</v>
      </c>
      <c r="H597">
        <f t="shared" ca="1" si="123"/>
        <v>545.4</v>
      </c>
      <c r="I597">
        <f t="shared" ca="1" si="124"/>
        <v>1</v>
      </c>
      <c r="J597">
        <f t="shared" ca="1" si="125"/>
        <v>1</v>
      </c>
      <c r="K597">
        <f t="shared" ca="1" si="126"/>
        <v>1</v>
      </c>
      <c r="L597">
        <f t="shared" ca="1" si="127"/>
        <v>545.4</v>
      </c>
      <c r="M597">
        <f t="shared" ca="1" si="128"/>
        <v>7</v>
      </c>
      <c r="N597">
        <f t="shared" ca="1" si="129"/>
        <v>0</v>
      </c>
    </row>
    <row r="598" spans="1:14" x14ac:dyDescent="0.35">
      <c r="A598" t="s">
        <v>615</v>
      </c>
      <c r="B598" t="str">
        <f t="shared" si="117"/>
        <v>Control</v>
      </c>
      <c r="C598">
        <f t="shared" ca="1" si="118"/>
        <v>35</v>
      </c>
      <c r="D598" t="str">
        <f t="shared" ca="1" si="119"/>
        <v>Male</v>
      </c>
      <c r="E598" t="str">
        <f t="shared" ca="1" si="120"/>
        <v>T-shirts</v>
      </c>
      <c r="F598">
        <f t="shared" ca="1" si="121"/>
        <v>1459</v>
      </c>
      <c r="G598">
        <f t="shared" ca="1" si="122"/>
        <v>10</v>
      </c>
      <c r="H598">
        <f t="shared" ca="1" si="123"/>
        <v>1313.1000000000001</v>
      </c>
      <c r="I598">
        <f t="shared" ca="1" si="124"/>
        <v>1</v>
      </c>
      <c r="J598">
        <f t="shared" ca="1" si="125"/>
        <v>0</v>
      </c>
      <c r="K598">
        <f t="shared" ca="1" si="126"/>
        <v>0</v>
      </c>
      <c r="L598">
        <f t="shared" ca="1" si="127"/>
        <v>0</v>
      </c>
      <c r="M598">
        <f t="shared" ca="1" si="128"/>
        <v>4</v>
      </c>
      <c r="N598">
        <f t="shared" ca="1" si="129"/>
        <v>0</v>
      </c>
    </row>
    <row r="599" spans="1:14" x14ac:dyDescent="0.35">
      <c r="A599" t="s">
        <v>616</v>
      </c>
      <c r="B599" t="str">
        <f t="shared" si="117"/>
        <v>Control</v>
      </c>
      <c r="C599">
        <f t="shared" ca="1" si="118"/>
        <v>20</v>
      </c>
      <c r="D599" t="str">
        <f t="shared" ca="1" si="119"/>
        <v>Male</v>
      </c>
      <c r="E599" t="str">
        <f t="shared" ca="1" si="120"/>
        <v>Shoes</v>
      </c>
      <c r="F599">
        <f t="shared" ca="1" si="121"/>
        <v>6365</v>
      </c>
      <c r="G599">
        <f t="shared" ca="1" si="122"/>
        <v>10</v>
      </c>
      <c r="H599">
        <f t="shared" ca="1" si="123"/>
        <v>5728.5</v>
      </c>
      <c r="I599">
        <f t="shared" ca="1" si="124"/>
        <v>1</v>
      </c>
      <c r="J599">
        <f t="shared" ca="1" si="125"/>
        <v>0</v>
      </c>
      <c r="K599">
        <f t="shared" ca="1" si="126"/>
        <v>0</v>
      </c>
      <c r="L599">
        <f t="shared" ca="1" si="127"/>
        <v>0</v>
      </c>
      <c r="M599">
        <f t="shared" ca="1" si="128"/>
        <v>7</v>
      </c>
      <c r="N599">
        <f t="shared" ca="1" si="129"/>
        <v>0</v>
      </c>
    </row>
    <row r="600" spans="1:14" x14ac:dyDescent="0.35">
      <c r="A600" t="s">
        <v>617</v>
      </c>
      <c r="B600" t="str">
        <f t="shared" si="117"/>
        <v>Control</v>
      </c>
      <c r="C600">
        <f t="shared" ca="1" si="118"/>
        <v>34</v>
      </c>
      <c r="D600" t="str">
        <f t="shared" ca="1" si="119"/>
        <v>Female</v>
      </c>
      <c r="E600" t="str">
        <f t="shared" ca="1" si="120"/>
        <v>Shoes</v>
      </c>
      <c r="F600">
        <f t="shared" ca="1" si="121"/>
        <v>6316</v>
      </c>
      <c r="G600">
        <f t="shared" ca="1" si="122"/>
        <v>10</v>
      </c>
      <c r="H600">
        <f t="shared" ca="1" si="123"/>
        <v>5684.4000000000005</v>
      </c>
      <c r="I600">
        <f t="shared" ca="1" si="124"/>
        <v>1</v>
      </c>
      <c r="J600">
        <f t="shared" ca="1" si="125"/>
        <v>1</v>
      </c>
      <c r="K600">
        <f t="shared" ca="1" si="126"/>
        <v>0</v>
      </c>
      <c r="L600">
        <f t="shared" ca="1" si="127"/>
        <v>0</v>
      </c>
      <c r="M600">
        <f t="shared" ca="1" si="128"/>
        <v>7</v>
      </c>
      <c r="N600">
        <f t="shared" ca="1" si="129"/>
        <v>0</v>
      </c>
    </row>
    <row r="601" spans="1:14" x14ac:dyDescent="0.35">
      <c r="A601" t="s">
        <v>618</v>
      </c>
      <c r="B601" t="str">
        <f t="shared" si="117"/>
        <v>Control</v>
      </c>
      <c r="C601">
        <f t="shared" ca="1" si="118"/>
        <v>29</v>
      </c>
      <c r="D601" t="str">
        <f t="shared" ca="1" si="119"/>
        <v>Male</v>
      </c>
      <c r="E601" t="str">
        <f t="shared" ca="1" si="120"/>
        <v>Accessories</v>
      </c>
      <c r="F601">
        <f t="shared" ca="1" si="121"/>
        <v>2308</v>
      </c>
      <c r="G601">
        <f t="shared" ca="1" si="122"/>
        <v>10</v>
      </c>
      <c r="H601">
        <f t="shared" ca="1" si="123"/>
        <v>2077.2000000000003</v>
      </c>
      <c r="I601">
        <f t="shared" ca="1" si="124"/>
        <v>1</v>
      </c>
      <c r="J601">
        <f t="shared" ca="1" si="125"/>
        <v>1</v>
      </c>
      <c r="K601">
        <f t="shared" ca="1" si="126"/>
        <v>0</v>
      </c>
      <c r="L601">
        <f t="shared" ca="1" si="127"/>
        <v>0</v>
      </c>
      <c r="M601">
        <f t="shared" ca="1" si="128"/>
        <v>5</v>
      </c>
      <c r="N601">
        <f t="shared" ca="1" si="129"/>
        <v>0</v>
      </c>
    </row>
    <row r="602" spans="1:14" x14ac:dyDescent="0.35">
      <c r="A602" t="s">
        <v>619</v>
      </c>
      <c r="B602" t="str">
        <f t="shared" si="117"/>
        <v>Control</v>
      </c>
      <c r="C602">
        <f t="shared" ca="1" si="118"/>
        <v>22</v>
      </c>
      <c r="D602" t="str">
        <f t="shared" ca="1" si="119"/>
        <v>Female</v>
      </c>
      <c r="E602" t="str">
        <f t="shared" ca="1" si="120"/>
        <v>T-shirts</v>
      </c>
      <c r="F602">
        <f t="shared" ca="1" si="121"/>
        <v>1587</v>
      </c>
      <c r="G602">
        <f t="shared" ca="1" si="122"/>
        <v>10</v>
      </c>
      <c r="H602">
        <f t="shared" ca="1" si="123"/>
        <v>1428.3</v>
      </c>
      <c r="I602">
        <f t="shared" ca="1" si="124"/>
        <v>1</v>
      </c>
      <c r="J602">
        <f t="shared" ca="1" si="125"/>
        <v>1</v>
      </c>
      <c r="K602">
        <f t="shared" ca="1" si="126"/>
        <v>1</v>
      </c>
      <c r="L602">
        <f t="shared" ca="1" si="127"/>
        <v>1428.3</v>
      </c>
      <c r="M602">
        <f t="shared" ca="1" si="128"/>
        <v>2</v>
      </c>
      <c r="N602">
        <f t="shared" ca="1" si="129"/>
        <v>0</v>
      </c>
    </row>
    <row r="603" spans="1:14" x14ac:dyDescent="0.35">
      <c r="A603" t="s">
        <v>620</v>
      </c>
      <c r="B603" t="str">
        <f t="shared" si="117"/>
        <v>Control</v>
      </c>
      <c r="C603">
        <f t="shared" ca="1" si="118"/>
        <v>24</v>
      </c>
      <c r="D603" t="str">
        <f t="shared" ca="1" si="119"/>
        <v>Male</v>
      </c>
      <c r="E603" t="str">
        <f t="shared" ca="1" si="120"/>
        <v>Dresses</v>
      </c>
      <c r="F603">
        <f t="shared" ca="1" si="121"/>
        <v>6344</v>
      </c>
      <c r="G603">
        <f t="shared" ca="1" si="122"/>
        <v>10</v>
      </c>
      <c r="H603">
        <f t="shared" ca="1" si="123"/>
        <v>5709.6</v>
      </c>
      <c r="I603">
        <f t="shared" ca="1" si="124"/>
        <v>0</v>
      </c>
      <c r="J603">
        <f t="shared" ca="1" si="125"/>
        <v>0</v>
      </c>
      <c r="K603">
        <f t="shared" ca="1" si="126"/>
        <v>0</v>
      </c>
      <c r="L603">
        <f t="shared" ca="1" si="127"/>
        <v>0</v>
      </c>
      <c r="M603">
        <f t="shared" ca="1" si="128"/>
        <v>4</v>
      </c>
      <c r="N603">
        <f t="shared" ca="1" si="129"/>
        <v>0</v>
      </c>
    </row>
    <row r="604" spans="1:14" x14ac:dyDescent="0.35">
      <c r="A604" t="s">
        <v>621</v>
      </c>
      <c r="B604" t="str">
        <f t="shared" si="117"/>
        <v>Control</v>
      </c>
      <c r="C604">
        <f t="shared" ca="1" si="118"/>
        <v>28</v>
      </c>
      <c r="D604" t="str">
        <f t="shared" ca="1" si="119"/>
        <v>Female</v>
      </c>
      <c r="E604" t="str">
        <f t="shared" ca="1" si="120"/>
        <v>Dresses</v>
      </c>
      <c r="F604">
        <f t="shared" ca="1" si="121"/>
        <v>7912</v>
      </c>
      <c r="G604">
        <f t="shared" ca="1" si="122"/>
        <v>10</v>
      </c>
      <c r="H604">
        <f t="shared" ca="1" si="123"/>
        <v>7120.8</v>
      </c>
      <c r="I604">
        <f t="shared" ca="1" si="124"/>
        <v>1</v>
      </c>
      <c r="J604">
        <f t="shared" ca="1" si="125"/>
        <v>0</v>
      </c>
      <c r="K604">
        <f t="shared" ca="1" si="126"/>
        <v>0</v>
      </c>
      <c r="L604">
        <f t="shared" ca="1" si="127"/>
        <v>0</v>
      </c>
      <c r="M604">
        <f t="shared" ca="1" si="128"/>
        <v>1</v>
      </c>
      <c r="N604">
        <f t="shared" ca="1" si="129"/>
        <v>0</v>
      </c>
    </row>
    <row r="605" spans="1:14" x14ac:dyDescent="0.35">
      <c r="A605" t="s">
        <v>622</v>
      </c>
      <c r="B605" t="str">
        <f t="shared" si="117"/>
        <v>Control</v>
      </c>
      <c r="C605">
        <f t="shared" ca="1" si="118"/>
        <v>40</v>
      </c>
      <c r="D605" t="str">
        <f t="shared" ca="1" si="119"/>
        <v>Other</v>
      </c>
      <c r="E605" t="str">
        <f t="shared" ca="1" si="120"/>
        <v>Ethnic Wear</v>
      </c>
      <c r="F605">
        <f t="shared" ca="1" si="121"/>
        <v>2200</v>
      </c>
      <c r="G605">
        <f t="shared" ca="1" si="122"/>
        <v>10</v>
      </c>
      <c r="H605">
        <f t="shared" ca="1" si="123"/>
        <v>1980</v>
      </c>
      <c r="I605">
        <f t="shared" ca="1" si="124"/>
        <v>1</v>
      </c>
      <c r="J605">
        <f t="shared" ca="1" si="125"/>
        <v>0</v>
      </c>
      <c r="K605">
        <f t="shared" ca="1" si="126"/>
        <v>0</v>
      </c>
      <c r="L605">
        <f t="shared" ca="1" si="127"/>
        <v>0</v>
      </c>
      <c r="M605">
        <f t="shared" ca="1" si="128"/>
        <v>5</v>
      </c>
      <c r="N605">
        <f t="shared" ca="1" si="129"/>
        <v>0</v>
      </c>
    </row>
    <row r="606" spans="1:14" x14ac:dyDescent="0.35">
      <c r="A606" t="s">
        <v>623</v>
      </c>
      <c r="B606" t="str">
        <f t="shared" si="117"/>
        <v>Control</v>
      </c>
      <c r="C606">
        <f t="shared" ca="1" si="118"/>
        <v>42</v>
      </c>
      <c r="D606" t="str">
        <f t="shared" ca="1" si="119"/>
        <v>Male</v>
      </c>
      <c r="E606" t="str">
        <f t="shared" ca="1" si="120"/>
        <v>T-shirts</v>
      </c>
      <c r="F606">
        <f t="shared" ca="1" si="121"/>
        <v>7873</v>
      </c>
      <c r="G606">
        <f t="shared" ca="1" si="122"/>
        <v>10</v>
      </c>
      <c r="H606">
        <f t="shared" ca="1" si="123"/>
        <v>7085.7</v>
      </c>
      <c r="I606">
        <f t="shared" ca="1" si="124"/>
        <v>1</v>
      </c>
      <c r="J606">
        <f t="shared" ca="1" si="125"/>
        <v>0</v>
      </c>
      <c r="K606">
        <f t="shared" ca="1" si="126"/>
        <v>0</v>
      </c>
      <c r="L606">
        <f t="shared" ca="1" si="127"/>
        <v>0</v>
      </c>
      <c r="M606">
        <f t="shared" ca="1" si="128"/>
        <v>5</v>
      </c>
      <c r="N606">
        <f t="shared" ca="1" si="129"/>
        <v>0</v>
      </c>
    </row>
    <row r="607" spans="1:14" x14ac:dyDescent="0.35">
      <c r="A607" t="s">
        <v>624</v>
      </c>
      <c r="B607" t="str">
        <f t="shared" si="117"/>
        <v>Control</v>
      </c>
      <c r="C607">
        <f t="shared" ca="1" si="118"/>
        <v>20</v>
      </c>
      <c r="D607" t="str">
        <f t="shared" ca="1" si="119"/>
        <v>Female</v>
      </c>
      <c r="E607" t="str">
        <f t="shared" ca="1" si="120"/>
        <v>Sportswear</v>
      </c>
      <c r="F607">
        <f t="shared" ca="1" si="121"/>
        <v>4432</v>
      </c>
      <c r="G607">
        <f t="shared" ca="1" si="122"/>
        <v>10</v>
      </c>
      <c r="H607">
        <f t="shared" ca="1" si="123"/>
        <v>3988.8</v>
      </c>
      <c r="I607">
        <f t="shared" ca="1" si="124"/>
        <v>1</v>
      </c>
      <c r="J607">
        <f t="shared" ca="1" si="125"/>
        <v>0</v>
      </c>
      <c r="K607">
        <f t="shared" ca="1" si="126"/>
        <v>0</v>
      </c>
      <c r="L607">
        <f t="shared" ca="1" si="127"/>
        <v>0</v>
      </c>
      <c r="M607">
        <f t="shared" ca="1" si="128"/>
        <v>5</v>
      </c>
      <c r="N607">
        <f t="shared" ca="1" si="129"/>
        <v>0</v>
      </c>
    </row>
    <row r="608" spans="1:14" x14ac:dyDescent="0.35">
      <c r="A608" t="s">
        <v>625</v>
      </c>
      <c r="B608" t="str">
        <f t="shared" si="117"/>
        <v>Control</v>
      </c>
      <c r="C608">
        <f t="shared" ca="1" si="118"/>
        <v>20</v>
      </c>
      <c r="D608" t="str">
        <f t="shared" ca="1" si="119"/>
        <v>Male</v>
      </c>
      <c r="E608" t="str">
        <f t="shared" ca="1" si="120"/>
        <v>Ethnic Wear</v>
      </c>
      <c r="F608">
        <f t="shared" ca="1" si="121"/>
        <v>5727</v>
      </c>
      <c r="G608">
        <f t="shared" ca="1" si="122"/>
        <v>10</v>
      </c>
      <c r="H608">
        <f t="shared" ca="1" si="123"/>
        <v>5154.3</v>
      </c>
      <c r="I608">
        <f t="shared" ca="1" si="124"/>
        <v>1</v>
      </c>
      <c r="J608">
        <f t="shared" ca="1" si="125"/>
        <v>0</v>
      </c>
      <c r="K608">
        <f t="shared" ca="1" si="126"/>
        <v>0</v>
      </c>
      <c r="L608">
        <f t="shared" ca="1" si="127"/>
        <v>0</v>
      </c>
      <c r="M608">
        <f t="shared" ca="1" si="128"/>
        <v>4</v>
      </c>
      <c r="N608">
        <f t="shared" ca="1" si="129"/>
        <v>0</v>
      </c>
    </row>
    <row r="609" spans="1:14" x14ac:dyDescent="0.35">
      <c r="A609" t="s">
        <v>626</v>
      </c>
      <c r="B609" t="str">
        <f t="shared" si="117"/>
        <v>Control</v>
      </c>
      <c r="C609">
        <f t="shared" ca="1" si="118"/>
        <v>29</v>
      </c>
      <c r="D609" t="str">
        <f t="shared" ca="1" si="119"/>
        <v>Male</v>
      </c>
      <c r="E609" t="str">
        <f t="shared" ca="1" si="120"/>
        <v>T-shirts</v>
      </c>
      <c r="F609">
        <f t="shared" ca="1" si="121"/>
        <v>7796</v>
      </c>
      <c r="G609">
        <f t="shared" ca="1" si="122"/>
        <v>10</v>
      </c>
      <c r="H609">
        <f t="shared" ca="1" si="123"/>
        <v>7016.4000000000005</v>
      </c>
      <c r="I609">
        <f t="shared" ca="1" si="124"/>
        <v>0</v>
      </c>
      <c r="J609">
        <f t="shared" ca="1" si="125"/>
        <v>0</v>
      </c>
      <c r="K609">
        <f t="shared" ca="1" si="126"/>
        <v>0</v>
      </c>
      <c r="L609">
        <f t="shared" ca="1" si="127"/>
        <v>0</v>
      </c>
      <c r="M609">
        <f t="shared" ca="1" si="128"/>
        <v>5</v>
      </c>
      <c r="N609">
        <f t="shared" ca="1" si="129"/>
        <v>0</v>
      </c>
    </row>
    <row r="610" spans="1:14" x14ac:dyDescent="0.35">
      <c r="A610" t="s">
        <v>627</v>
      </c>
      <c r="B610" t="str">
        <f t="shared" si="117"/>
        <v>Control</v>
      </c>
      <c r="C610">
        <f t="shared" ca="1" si="118"/>
        <v>28</v>
      </c>
      <c r="D610" t="str">
        <f t="shared" ca="1" si="119"/>
        <v>Female</v>
      </c>
      <c r="E610" t="str">
        <f t="shared" ca="1" si="120"/>
        <v>Sportswear</v>
      </c>
      <c r="F610">
        <f t="shared" ca="1" si="121"/>
        <v>2338</v>
      </c>
      <c r="G610">
        <f t="shared" ca="1" si="122"/>
        <v>10</v>
      </c>
      <c r="H610">
        <f t="shared" ca="1" si="123"/>
        <v>2104.2000000000003</v>
      </c>
      <c r="I610">
        <f t="shared" ca="1" si="124"/>
        <v>0</v>
      </c>
      <c r="J610">
        <f t="shared" ca="1" si="125"/>
        <v>0</v>
      </c>
      <c r="K610">
        <f t="shared" ca="1" si="126"/>
        <v>0</v>
      </c>
      <c r="L610">
        <f t="shared" ca="1" si="127"/>
        <v>0</v>
      </c>
      <c r="M610">
        <f t="shared" ca="1" si="128"/>
        <v>3</v>
      </c>
      <c r="N610">
        <f t="shared" ca="1" si="129"/>
        <v>0</v>
      </c>
    </row>
    <row r="611" spans="1:14" x14ac:dyDescent="0.35">
      <c r="A611" t="s">
        <v>628</v>
      </c>
      <c r="B611" t="str">
        <f t="shared" si="117"/>
        <v>Control</v>
      </c>
      <c r="C611">
        <f t="shared" ca="1" si="118"/>
        <v>28</v>
      </c>
      <c r="D611" t="str">
        <f t="shared" ca="1" si="119"/>
        <v>Male</v>
      </c>
      <c r="E611" t="str">
        <f t="shared" ca="1" si="120"/>
        <v>T-shirts</v>
      </c>
      <c r="F611">
        <f t="shared" ca="1" si="121"/>
        <v>7785</v>
      </c>
      <c r="G611">
        <f t="shared" ca="1" si="122"/>
        <v>10</v>
      </c>
      <c r="H611">
        <f t="shared" ca="1" si="123"/>
        <v>7006.5</v>
      </c>
      <c r="I611">
        <f t="shared" ca="1" si="124"/>
        <v>1</v>
      </c>
      <c r="J611">
        <f t="shared" ca="1" si="125"/>
        <v>1</v>
      </c>
      <c r="K611">
        <f t="shared" ca="1" si="126"/>
        <v>1</v>
      </c>
      <c r="L611">
        <f t="shared" ca="1" si="127"/>
        <v>7006.5</v>
      </c>
      <c r="M611">
        <f t="shared" ca="1" si="128"/>
        <v>5</v>
      </c>
      <c r="N611">
        <f t="shared" ca="1" si="129"/>
        <v>1</v>
      </c>
    </row>
    <row r="612" spans="1:14" x14ac:dyDescent="0.35">
      <c r="A612" t="s">
        <v>629</v>
      </c>
      <c r="B612" t="str">
        <f t="shared" si="117"/>
        <v>Control</v>
      </c>
      <c r="C612">
        <f t="shared" ca="1" si="118"/>
        <v>20</v>
      </c>
      <c r="D612" t="str">
        <f t="shared" ca="1" si="119"/>
        <v>Male</v>
      </c>
      <c r="E612" t="str">
        <f t="shared" ca="1" si="120"/>
        <v>Ethnic Wear</v>
      </c>
      <c r="F612">
        <f t="shared" ca="1" si="121"/>
        <v>1407</v>
      </c>
      <c r="G612">
        <f t="shared" ca="1" si="122"/>
        <v>10</v>
      </c>
      <c r="H612">
        <f t="shared" ca="1" si="123"/>
        <v>1266.3</v>
      </c>
      <c r="I612">
        <f t="shared" ca="1" si="124"/>
        <v>0</v>
      </c>
      <c r="J612">
        <f t="shared" ca="1" si="125"/>
        <v>0</v>
      </c>
      <c r="K612">
        <f t="shared" ca="1" si="126"/>
        <v>0</v>
      </c>
      <c r="L612">
        <f t="shared" ca="1" si="127"/>
        <v>0</v>
      </c>
      <c r="M612">
        <f t="shared" ca="1" si="128"/>
        <v>1</v>
      </c>
      <c r="N612">
        <f t="shared" ca="1" si="129"/>
        <v>0</v>
      </c>
    </row>
    <row r="613" spans="1:14" x14ac:dyDescent="0.35">
      <c r="A613" t="s">
        <v>630</v>
      </c>
      <c r="B613" t="str">
        <f t="shared" si="117"/>
        <v>Control</v>
      </c>
      <c r="C613">
        <f t="shared" ca="1" si="118"/>
        <v>32</v>
      </c>
      <c r="D613" t="str">
        <f t="shared" ca="1" si="119"/>
        <v>Male</v>
      </c>
      <c r="E613" t="str">
        <f t="shared" ca="1" si="120"/>
        <v>Sportswear</v>
      </c>
      <c r="F613">
        <f t="shared" ca="1" si="121"/>
        <v>2078</v>
      </c>
      <c r="G613">
        <f t="shared" ca="1" si="122"/>
        <v>10</v>
      </c>
      <c r="H613">
        <f t="shared" ca="1" si="123"/>
        <v>1870.2</v>
      </c>
      <c r="I613">
        <f t="shared" ca="1" si="124"/>
        <v>0</v>
      </c>
      <c r="J613">
        <f t="shared" ca="1" si="125"/>
        <v>0</v>
      </c>
      <c r="K613">
        <f t="shared" ca="1" si="126"/>
        <v>0</v>
      </c>
      <c r="L613">
        <f t="shared" ca="1" si="127"/>
        <v>0</v>
      </c>
      <c r="M613">
        <f t="shared" ca="1" si="128"/>
        <v>4</v>
      </c>
      <c r="N613">
        <f t="shared" ca="1" si="129"/>
        <v>0</v>
      </c>
    </row>
    <row r="614" spans="1:14" x14ac:dyDescent="0.35">
      <c r="A614" t="s">
        <v>631</v>
      </c>
      <c r="B614" t="str">
        <f t="shared" si="117"/>
        <v>Control</v>
      </c>
      <c r="C614">
        <f t="shared" ca="1" si="118"/>
        <v>36</v>
      </c>
      <c r="D614" t="str">
        <f t="shared" ca="1" si="119"/>
        <v>Female</v>
      </c>
      <c r="E614" t="str">
        <f t="shared" ca="1" si="120"/>
        <v>Accessories</v>
      </c>
      <c r="F614">
        <f t="shared" ca="1" si="121"/>
        <v>4913</v>
      </c>
      <c r="G614">
        <f t="shared" ca="1" si="122"/>
        <v>10</v>
      </c>
      <c r="H614">
        <f t="shared" ca="1" si="123"/>
        <v>4421.7</v>
      </c>
      <c r="I614">
        <f t="shared" ca="1" si="124"/>
        <v>1</v>
      </c>
      <c r="J614">
        <f t="shared" ca="1" si="125"/>
        <v>1</v>
      </c>
      <c r="K614">
        <f t="shared" ca="1" si="126"/>
        <v>0</v>
      </c>
      <c r="L614">
        <f t="shared" ca="1" si="127"/>
        <v>0</v>
      </c>
      <c r="M614">
        <f t="shared" ca="1" si="128"/>
        <v>4</v>
      </c>
      <c r="N614">
        <f t="shared" ca="1" si="129"/>
        <v>0</v>
      </c>
    </row>
    <row r="615" spans="1:14" x14ac:dyDescent="0.35">
      <c r="A615" t="s">
        <v>632</v>
      </c>
      <c r="B615" t="str">
        <f t="shared" si="117"/>
        <v>Control</v>
      </c>
      <c r="C615">
        <f t="shared" ca="1" si="118"/>
        <v>37</v>
      </c>
      <c r="D615" t="str">
        <f t="shared" ca="1" si="119"/>
        <v>Female</v>
      </c>
      <c r="E615" t="str">
        <f t="shared" ca="1" si="120"/>
        <v>Ethnic Wear</v>
      </c>
      <c r="F615">
        <f t="shared" ca="1" si="121"/>
        <v>6622</v>
      </c>
      <c r="G615">
        <f t="shared" ca="1" si="122"/>
        <v>10</v>
      </c>
      <c r="H615">
        <f t="shared" ca="1" si="123"/>
        <v>5959.8</v>
      </c>
      <c r="I615">
        <f t="shared" ca="1" si="124"/>
        <v>0</v>
      </c>
      <c r="J615">
        <f t="shared" ca="1" si="125"/>
        <v>0</v>
      </c>
      <c r="K615">
        <f t="shared" ca="1" si="126"/>
        <v>0</v>
      </c>
      <c r="L615">
        <f t="shared" ca="1" si="127"/>
        <v>0</v>
      </c>
      <c r="M615">
        <f t="shared" ca="1" si="128"/>
        <v>1</v>
      </c>
      <c r="N615">
        <f t="shared" ca="1" si="129"/>
        <v>0</v>
      </c>
    </row>
    <row r="616" spans="1:14" x14ac:dyDescent="0.35">
      <c r="A616" t="s">
        <v>633</v>
      </c>
      <c r="B616" t="str">
        <f t="shared" si="117"/>
        <v>Control</v>
      </c>
      <c r="C616">
        <f t="shared" ca="1" si="118"/>
        <v>28</v>
      </c>
      <c r="D616" t="str">
        <f t="shared" ca="1" si="119"/>
        <v>Male</v>
      </c>
      <c r="E616" t="str">
        <f t="shared" ca="1" si="120"/>
        <v>Tops</v>
      </c>
      <c r="F616">
        <f t="shared" ca="1" si="121"/>
        <v>5672</v>
      </c>
      <c r="G616">
        <f t="shared" ca="1" si="122"/>
        <v>10</v>
      </c>
      <c r="H616">
        <f t="shared" ca="1" si="123"/>
        <v>5104.8</v>
      </c>
      <c r="I616">
        <f t="shared" ca="1" si="124"/>
        <v>1</v>
      </c>
      <c r="J616">
        <f t="shared" ca="1" si="125"/>
        <v>1</v>
      </c>
      <c r="K616">
        <f t="shared" ca="1" si="126"/>
        <v>1</v>
      </c>
      <c r="L616">
        <f t="shared" ca="1" si="127"/>
        <v>5104.8</v>
      </c>
      <c r="M616">
        <f t="shared" ca="1" si="128"/>
        <v>3</v>
      </c>
      <c r="N616">
        <f t="shared" ca="1" si="129"/>
        <v>0</v>
      </c>
    </row>
    <row r="617" spans="1:14" x14ac:dyDescent="0.35">
      <c r="A617" t="s">
        <v>634</v>
      </c>
      <c r="B617" t="str">
        <f t="shared" si="117"/>
        <v>Control</v>
      </c>
      <c r="C617">
        <f t="shared" ca="1" si="118"/>
        <v>24</v>
      </c>
      <c r="D617" t="str">
        <f t="shared" ca="1" si="119"/>
        <v>Male</v>
      </c>
      <c r="E617" t="str">
        <f t="shared" ca="1" si="120"/>
        <v>Ethnic Wear</v>
      </c>
      <c r="F617">
        <f t="shared" ca="1" si="121"/>
        <v>2546</v>
      </c>
      <c r="G617">
        <f t="shared" ca="1" si="122"/>
        <v>10</v>
      </c>
      <c r="H617">
        <f t="shared" ca="1" si="123"/>
        <v>2291.4</v>
      </c>
      <c r="I617">
        <f t="shared" ca="1" si="124"/>
        <v>0</v>
      </c>
      <c r="J617">
        <f t="shared" ca="1" si="125"/>
        <v>0</v>
      </c>
      <c r="K617">
        <f t="shared" ca="1" si="126"/>
        <v>0</v>
      </c>
      <c r="L617">
        <f t="shared" ca="1" si="127"/>
        <v>0</v>
      </c>
      <c r="M617">
        <f t="shared" ca="1" si="128"/>
        <v>2</v>
      </c>
      <c r="N617">
        <f t="shared" ca="1" si="129"/>
        <v>0</v>
      </c>
    </row>
    <row r="618" spans="1:14" x14ac:dyDescent="0.35">
      <c r="A618" t="s">
        <v>635</v>
      </c>
      <c r="B618" t="str">
        <f t="shared" si="117"/>
        <v>Control</v>
      </c>
      <c r="C618">
        <f t="shared" ca="1" si="118"/>
        <v>31</v>
      </c>
      <c r="D618" t="str">
        <f t="shared" ca="1" si="119"/>
        <v>Male</v>
      </c>
      <c r="E618" t="str">
        <f t="shared" ca="1" si="120"/>
        <v>T-shirts</v>
      </c>
      <c r="F618">
        <f t="shared" ca="1" si="121"/>
        <v>1228</v>
      </c>
      <c r="G618">
        <f t="shared" ca="1" si="122"/>
        <v>10</v>
      </c>
      <c r="H618">
        <f t="shared" ca="1" si="123"/>
        <v>1105.2</v>
      </c>
      <c r="I618">
        <f t="shared" ca="1" si="124"/>
        <v>1</v>
      </c>
      <c r="J618">
        <f t="shared" ca="1" si="125"/>
        <v>1</v>
      </c>
      <c r="K618">
        <f t="shared" ca="1" si="126"/>
        <v>0</v>
      </c>
      <c r="L618">
        <f t="shared" ca="1" si="127"/>
        <v>0</v>
      </c>
      <c r="M618">
        <f t="shared" ca="1" si="128"/>
        <v>5</v>
      </c>
      <c r="N618">
        <f t="shared" ca="1" si="129"/>
        <v>0</v>
      </c>
    </row>
    <row r="619" spans="1:14" x14ac:dyDescent="0.35">
      <c r="A619" t="s">
        <v>636</v>
      </c>
      <c r="B619" t="str">
        <f t="shared" si="117"/>
        <v>Control</v>
      </c>
      <c r="C619">
        <f t="shared" ca="1" si="118"/>
        <v>21</v>
      </c>
      <c r="D619" t="str">
        <f t="shared" ca="1" si="119"/>
        <v>Male</v>
      </c>
      <c r="E619" t="str">
        <f t="shared" ca="1" si="120"/>
        <v>T-shirts</v>
      </c>
      <c r="F619">
        <f t="shared" ca="1" si="121"/>
        <v>3507</v>
      </c>
      <c r="G619">
        <f t="shared" ca="1" si="122"/>
        <v>10</v>
      </c>
      <c r="H619">
        <f t="shared" ca="1" si="123"/>
        <v>3156.3</v>
      </c>
      <c r="I619">
        <f t="shared" ca="1" si="124"/>
        <v>1</v>
      </c>
      <c r="J619">
        <f t="shared" ca="1" si="125"/>
        <v>1</v>
      </c>
      <c r="K619">
        <f t="shared" ca="1" si="126"/>
        <v>1</v>
      </c>
      <c r="L619">
        <f t="shared" ca="1" si="127"/>
        <v>3156.3</v>
      </c>
      <c r="M619">
        <f t="shared" ca="1" si="128"/>
        <v>6</v>
      </c>
      <c r="N619">
        <f t="shared" ca="1" si="129"/>
        <v>0</v>
      </c>
    </row>
    <row r="620" spans="1:14" x14ac:dyDescent="0.35">
      <c r="A620" t="s">
        <v>637</v>
      </c>
      <c r="B620" t="str">
        <f t="shared" si="117"/>
        <v>Control</v>
      </c>
      <c r="C620">
        <f t="shared" ca="1" si="118"/>
        <v>37</v>
      </c>
      <c r="D620" t="str">
        <f t="shared" ca="1" si="119"/>
        <v>Male</v>
      </c>
      <c r="E620" t="str">
        <f t="shared" ca="1" si="120"/>
        <v>Accessories</v>
      </c>
      <c r="F620">
        <f t="shared" ca="1" si="121"/>
        <v>3160</v>
      </c>
      <c r="G620">
        <f t="shared" ca="1" si="122"/>
        <v>10</v>
      </c>
      <c r="H620">
        <f t="shared" ca="1" si="123"/>
        <v>2844</v>
      </c>
      <c r="I620">
        <f t="shared" ca="1" si="124"/>
        <v>1</v>
      </c>
      <c r="J620">
        <f t="shared" ca="1" si="125"/>
        <v>1</v>
      </c>
      <c r="K620">
        <f t="shared" ca="1" si="126"/>
        <v>1</v>
      </c>
      <c r="L620">
        <f t="shared" ca="1" si="127"/>
        <v>2844</v>
      </c>
      <c r="M620">
        <f t="shared" ca="1" si="128"/>
        <v>5</v>
      </c>
      <c r="N620">
        <f t="shared" ca="1" si="129"/>
        <v>0</v>
      </c>
    </row>
    <row r="621" spans="1:14" x14ac:dyDescent="0.35">
      <c r="A621" t="s">
        <v>638</v>
      </c>
      <c r="B621" t="str">
        <f t="shared" si="117"/>
        <v>Control</v>
      </c>
      <c r="C621">
        <f t="shared" ca="1" si="118"/>
        <v>29</v>
      </c>
      <c r="D621" t="str">
        <f t="shared" ca="1" si="119"/>
        <v>Female</v>
      </c>
      <c r="E621" t="str">
        <f t="shared" ca="1" si="120"/>
        <v>Dresses</v>
      </c>
      <c r="F621">
        <f t="shared" ca="1" si="121"/>
        <v>6991</v>
      </c>
      <c r="G621">
        <f t="shared" ca="1" si="122"/>
        <v>10</v>
      </c>
      <c r="H621">
        <f t="shared" ca="1" si="123"/>
        <v>6291.9000000000005</v>
      </c>
      <c r="I621">
        <f t="shared" ca="1" si="124"/>
        <v>1</v>
      </c>
      <c r="J621">
        <f t="shared" ca="1" si="125"/>
        <v>0</v>
      </c>
      <c r="K621">
        <f t="shared" ca="1" si="126"/>
        <v>0</v>
      </c>
      <c r="L621">
        <f t="shared" ca="1" si="127"/>
        <v>0</v>
      </c>
      <c r="M621">
        <f t="shared" ca="1" si="128"/>
        <v>4</v>
      </c>
      <c r="N621">
        <f t="shared" ca="1" si="129"/>
        <v>0</v>
      </c>
    </row>
    <row r="622" spans="1:14" x14ac:dyDescent="0.35">
      <c r="A622" t="s">
        <v>639</v>
      </c>
      <c r="B622" t="str">
        <f t="shared" si="117"/>
        <v>Control</v>
      </c>
      <c r="C622">
        <f t="shared" ca="1" si="118"/>
        <v>37</v>
      </c>
      <c r="D622" t="str">
        <f t="shared" ca="1" si="119"/>
        <v>Female</v>
      </c>
      <c r="E622" t="str">
        <f t="shared" ca="1" si="120"/>
        <v>Dresses</v>
      </c>
      <c r="F622">
        <f t="shared" ca="1" si="121"/>
        <v>5976</v>
      </c>
      <c r="G622">
        <f t="shared" ca="1" si="122"/>
        <v>10</v>
      </c>
      <c r="H622">
        <f t="shared" ca="1" si="123"/>
        <v>5378.4000000000005</v>
      </c>
      <c r="I622">
        <f t="shared" ca="1" si="124"/>
        <v>1</v>
      </c>
      <c r="J622">
        <f t="shared" ca="1" si="125"/>
        <v>1</v>
      </c>
      <c r="K622">
        <f t="shared" ca="1" si="126"/>
        <v>0</v>
      </c>
      <c r="L622">
        <f t="shared" ca="1" si="127"/>
        <v>0</v>
      </c>
      <c r="M622">
        <f t="shared" ca="1" si="128"/>
        <v>5</v>
      </c>
      <c r="N622">
        <f t="shared" ca="1" si="129"/>
        <v>0</v>
      </c>
    </row>
    <row r="623" spans="1:14" x14ac:dyDescent="0.35">
      <c r="A623" t="s">
        <v>640</v>
      </c>
      <c r="B623" t="str">
        <f t="shared" si="117"/>
        <v>Control</v>
      </c>
      <c r="C623">
        <f t="shared" ca="1" si="118"/>
        <v>32</v>
      </c>
      <c r="D623" t="str">
        <f t="shared" ca="1" si="119"/>
        <v>Male</v>
      </c>
      <c r="E623" t="str">
        <f t="shared" ca="1" si="120"/>
        <v>Jeans</v>
      </c>
      <c r="F623">
        <f t="shared" ca="1" si="121"/>
        <v>5809</v>
      </c>
      <c r="G623">
        <f t="shared" ca="1" si="122"/>
        <v>10</v>
      </c>
      <c r="H623">
        <f t="shared" ca="1" si="123"/>
        <v>5228.1000000000004</v>
      </c>
      <c r="I623">
        <f t="shared" ca="1" si="124"/>
        <v>1</v>
      </c>
      <c r="J623">
        <f t="shared" ca="1" si="125"/>
        <v>1</v>
      </c>
      <c r="K623">
        <f t="shared" ca="1" si="126"/>
        <v>0</v>
      </c>
      <c r="L623">
        <f t="shared" ca="1" si="127"/>
        <v>0</v>
      </c>
      <c r="M623">
        <f t="shared" ca="1" si="128"/>
        <v>7</v>
      </c>
      <c r="N623">
        <f t="shared" ca="1" si="129"/>
        <v>0</v>
      </c>
    </row>
    <row r="624" spans="1:14" x14ac:dyDescent="0.35">
      <c r="A624" t="s">
        <v>641</v>
      </c>
      <c r="B624" t="str">
        <f t="shared" si="117"/>
        <v>Control</v>
      </c>
      <c r="C624">
        <f t="shared" ca="1" si="118"/>
        <v>24</v>
      </c>
      <c r="D624" t="str">
        <f t="shared" ca="1" si="119"/>
        <v>Female</v>
      </c>
      <c r="E624" t="str">
        <f t="shared" ca="1" si="120"/>
        <v>T-shirts</v>
      </c>
      <c r="F624">
        <f t="shared" ca="1" si="121"/>
        <v>5079</v>
      </c>
      <c r="G624">
        <f t="shared" ca="1" si="122"/>
        <v>10</v>
      </c>
      <c r="H624">
        <f t="shared" ca="1" si="123"/>
        <v>4571.1000000000004</v>
      </c>
      <c r="I624">
        <f t="shared" ca="1" si="124"/>
        <v>1</v>
      </c>
      <c r="J624">
        <f t="shared" ca="1" si="125"/>
        <v>1</v>
      </c>
      <c r="K624">
        <f t="shared" ca="1" si="126"/>
        <v>0</v>
      </c>
      <c r="L624">
        <f t="shared" ca="1" si="127"/>
        <v>0</v>
      </c>
      <c r="M624">
        <f t="shared" ca="1" si="128"/>
        <v>4</v>
      </c>
      <c r="N624">
        <f t="shared" ca="1" si="129"/>
        <v>0</v>
      </c>
    </row>
    <row r="625" spans="1:14" x14ac:dyDescent="0.35">
      <c r="A625" t="s">
        <v>642</v>
      </c>
      <c r="B625" t="str">
        <f t="shared" si="117"/>
        <v>Control</v>
      </c>
      <c r="C625">
        <f t="shared" ca="1" si="118"/>
        <v>21</v>
      </c>
      <c r="D625" t="str">
        <f t="shared" ca="1" si="119"/>
        <v>Male</v>
      </c>
      <c r="E625" t="str">
        <f t="shared" ca="1" si="120"/>
        <v>Sportswear</v>
      </c>
      <c r="F625">
        <f t="shared" ca="1" si="121"/>
        <v>422</v>
      </c>
      <c r="G625">
        <f t="shared" ca="1" si="122"/>
        <v>10</v>
      </c>
      <c r="H625">
        <f t="shared" ca="1" si="123"/>
        <v>379.8</v>
      </c>
      <c r="I625">
        <f t="shared" ca="1" si="124"/>
        <v>1</v>
      </c>
      <c r="J625">
        <f t="shared" ca="1" si="125"/>
        <v>1</v>
      </c>
      <c r="K625">
        <f t="shared" ca="1" si="126"/>
        <v>1</v>
      </c>
      <c r="L625">
        <f t="shared" ca="1" si="127"/>
        <v>379.8</v>
      </c>
      <c r="M625">
        <f t="shared" ca="1" si="128"/>
        <v>6</v>
      </c>
      <c r="N625">
        <f t="shared" ca="1" si="129"/>
        <v>0</v>
      </c>
    </row>
    <row r="626" spans="1:14" x14ac:dyDescent="0.35">
      <c r="A626" t="s">
        <v>643</v>
      </c>
      <c r="B626" t="str">
        <f t="shared" si="117"/>
        <v>Control</v>
      </c>
      <c r="C626">
        <f t="shared" ca="1" si="118"/>
        <v>41</v>
      </c>
      <c r="D626" t="str">
        <f t="shared" ca="1" si="119"/>
        <v>Other</v>
      </c>
      <c r="E626" t="str">
        <f t="shared" ca="1" si="120"/>
        <v>Dresses</v>
      </c>
      <c r="F626">
        <f t="shared" ca="1" si="121"/>
        <v>5211</v>
      </c>
      <c r="G626">
        <f t="shared" ca="1" si="122"/>
        <v>10</v>
      </c>
      <c r="H626">
        <f t="shared" ca="1" si="123"/>
        <v>4689.9000000000005</v>
      </c>
      <c r="I626">
        <f t="shared" ca="1" si="124"/>
        <v>1</v>
      </c>
      <c r="J626">
        <f t="shared" ca="1" si="125"/>
        <v>0</v>
      </c>
      <c r="K626">
        <f t="shared" ca="1" si="126"/>
        <v>0</v>
      </c>
      <c r="L626">
        <f t="shared" ca="1" si="127"/>
        <v>0</v>
      </c>
      <c r="M626">
        <f t="shared" ca="1" si="128"/>
        <v>6</v>
      </c>
      <c r="N626">
        <f t="shared" ca="1" si="129"/>
        <v>0</v>
      </c>
    </row>
    <row r="627" spans="1:14" x14ac:dyDescent="0.35">
      <c r="A627" t="s">
        <v>644</v>
      </c>
      <c r="B627" t="str">
        <f t="shared" si="117"/>
        <v>Control</v>
      </c>
      <c r="C627">
        <f t="shared" ca="1" si="118"/>
        <v>43</v>
      </c>
      <c r="D627" t="str">
        <f t="shared" ca="1" si="119"/>
        <v>Female</v>
      </c>
      <c r="E627" t="str">
        <f t="shared" ca="1" si="120"/>
        <v>Ethnic Wear</v>
      </c>
      <c r="F627">
        <f t="shared" ca="1" si="121"/>
        <v>7843</v>
      </c>
      <c r="G627">
        <f t="shared" ca="1" si="122"/>
        <v>10</v>
      </c>
      <c r="H627">
        <f t="shared" ca="1" si="123"/>
        <v>7058.7</v>
      </c>
      <c r="I627">
        <f t="shared" ca="1" si="124"/>
        <v>1</v>
      </c>
      <c r="J627">
        <f t="shared" ca="1" si="125"/>
        <v>0</v>
      </c>
      <c r="K627">
        <f t="shared" ca="1" si="126"/>
        <v>0</v>
      </c>
      <c r="L627">
        <f t="shared" ca="1" si="127"/>
        <v>0</v>
      </c>
      <c r="M627">
        <f t="shared" ca="1" si="128"/>
        <v>7</v>
      </c>
      <c r="N627">
        <f t="shared" ca="1" si="129"/>
        <v>0</v>
      </c>
    </row>
    <row r="628" spans="1:14" x14ac:dyDescent="0.35">
      <c r="A628" t="s">
        <v>645</v>
      </c>
      <c r="B628" t="str">
        <f t="shared" si="117"/>
        <v>Control</v>
      </c>
      <c r="C628">
        <f t="shared" ca="1" si="118"/>
        <v>31</v>
      </c>
      <c r="D628" t="str">
        <f t="shared" ca="1" si="119"/>
        <v>Female</v>
      </c>
      <c r="E628" t="str">
        <f t="shared" ca="1" si="120"/>
        <v>Shoes</v>
      </c>
      <c r="F628">
        <f t="shared" ca="1" si="121"/>
        <v>3951</v>
      </c>
      <c r="G628">
        <f t="shared" ca="1" si="122"/>
        <v>10</v>
      </c>
      <c r="H628">
        <f t="shared" ca="1" si="123"/>
        <v>3555.9</v>
      </c>
      <c r="I628">
        <f t="shared" ca="1" si="124"/>
        <v>1</v>
      </c>
      <c r="J628">
        <f t="shared" ca="1" si="125"/>
        <v>1</v>
      </c>
      <c r="K628">
        <f t="shared" ca="1" si="126"/>
        <v>0</v>
      </c>
      <c r="L628">
        <f t="shared" ca="1" si="127"/>
        <v>0</v>
      </c>
      <c r="M628">
        <f t="shared" ca="1" si="128"/>
        <v>4</v>
      </c>
      <c r="N628">
        <f t="shared" ca="1" si="129"/>
        <v>0</v>
      </c>
    </row>
    <row r="629" spans="1:14" x14ac:dyDescent="0.35">
      <c r="A629" t="s">
        <v>646</v>
      </c>
      <c r="B629" t="str">
        <f t="shared" si="117"/>
        <v>Control</v>
      </c>
      <c r="C629">
        <f t="shared" ca="1" si="118"/>
        <v>26</v>
      </c>
      <c r="D629" t="str">
        <f t="shared" ca="1" si="119"/>
        <v>Female</v>
      </c>
      <c r="E629" t="str">
        <f t="shared" ca="1" si="120"/>
        <v>Accessories</v>
      </c>
      <c r="F629">
        <f t="shared" ca="1" si="121"/>
        <v>742</v>
      </c>
      <c r="G629">
        <f t="shared" ca="1" si="122"/>
        <v>10</v>
      </c>
      <c r="H629">
        <f t="shared" ca="1" si="123"/>
        <v>667.80000000000007</v>
      </c>
      <c r="I629">
        <f t="shared" ca="1" si="124"/>
        <v>0</v>
      </c>
      <c r="J629">
        <f t="shared" ca="1" si="125"/>
        <v>0</v>
      </c>
      <c r="K629">
        <f t="shared" ca="1" si="126"/>
        <v>0</v>
      </c>
      <c r="L629">
        <f t="shared" ca="1" si="127"/>
        <v>0</v>
      </c>
      <c r="M629">
        <f t="shared" ca="1" si="128"/>
        <v>5</v>
      </c>
      <c r="N629">
        <f t="shared" ca="1" si="129"/>
        <v>0</v>
      </c>
    </row>
    <row r="630" spans="1:14" x14ac:dyDescent="0.35">
      <c r="A630" t="s">
        <v>647</v>
      </c>
      <c r="B630" t="str">
        <f t="shared" si="117"/>
        <v>Control</v>
      </c>
      <c r="C630">
        <f t="shared" ca="1" si="118"/>
        <v>43</v>
      </c>
      <c r="D630" t="str">
        <f t="shared" ca="1" si="119"/>
        <v>Female</v>
      </c>
      <c r="E630" t="str">
        <f t="shared" ca="1" si="120"/>
        <v>Jeans</v>
      </c>
      <c r="F630">
        <f t="shared" ca="1" si="121"/>
        <v>6487</v>
      </c>
      <c r="G630">
        <f t="shared" ca="1" si="122"/>
        <v>10</v>
      </c>
      <c r="H630">
        <f t="shared" ca="1" si="123"/>
        <v>5838.3</v>
      </c>
      <c r="I630">
        <f t="shared" ca="1" si="124"/>
        <v>1</v>
      </c>
      <c r="J630">
        <f t="shared" ca="1" si="125"/>
        <v>1</v>
      </c>
      <c r="K630">
        <f t="shared" ca="1" si="126"/>
        <v>1</v>
      </c>
      <c r="L630">
        <f t="shared" ca="1" si="127"/>
        <v>5838.3</v>
      </c>
      <c r="M630">
        <f t="shared" ca="1" si="128"/>
        <v>5</v>
      </c>
      <c r="N630">
        <f t="shared" ca="1" si="129"/>
        <v>1</v>
      </c>
    </row>
    <row r="631" spans="1:14" x14ac:dyDescent="0.35">
      <c r="A631" t="s">
        <v>648</v>
      </c>
      <c r="B631" t="str">
        <f t="shared" si="117"/>
        <v>Control</v>
      </c>
      <c r="C631">
        <f t="shared" ca="1" si="118"/>
        <v>25</v>
      </c>
      <c r="D631" t="str">
        <f t="shared" ca="1" si="119"/>
        <v>Male</v>
      </c>
      <c r="E631" t="str">
        <f t="shared" ca="1" si="120"/>
        <v>Accessories</v>
      </c>
      <c r="F631">
        <f t="shared" ca="1" si="121"/>
        <v>4433</v>
      </c>
      <c r="G631">
        <f t="shared" ca="1" si="122"/>
        <v>10</v>
      </c>
      <c r="H631">
        <f t="shared" ca="1" si="123"/>
        <v>3989.7000000000003</v>
      </c>
      <c r="I631">
        <f t="shared" ca="1" si="124"/>
        <v>1</v>
      </c>
      <c r="J631">
        <f t="shared" ca="1" si="125"/>
        <v>1</v>
      </c>
      <c r="K631">
        <f t="shared" ca="1" si="126"/>
        <v>0</v>
      </c>
      <c r="L631">
        <f t="shared" ca="1" si="127"/>
        <v>0</v>
      </c>
      <c r="M631">
        <f t="shared" ca="1" si="128"/>
        <v>6</v>
      </c>
      <c r="N631">
        <f t="shared" ca="1" si="129"/>
        <v>0</v>
      </c>
    </row>
    <row r="632" spans="1:14" x14ac:dyDescent="0.35">
      <c r="A632" t="s">
        <v>649</v>
      </c>
      <c r="B632" t="str">
        <f t="shared" si="117"/>
        <v>Control</v>
      </c>
      <c r="C632">
        <f t="shared" ca="1" si="118"/>
        <v>29</v>
      </c>
      <c r="D632" t="str">
        <f t="shared" ca="1" si="119"/>
        <v>Other</v>
      </c>
      <c r="E632" t="str">
        <f t="shared" ca="1" si="120"/>
        <v>Sportswear</v>
      </c>
      <c r="F632">
        <f t="shared" ca="1" si="121"/>
        <v>4030</v>
      </c>
      <c r="G632">
        <f t="shared" ca="1" si="122"/>
        <v>10</v>
      </c>
      <c r="H632">
        <f t="shared" ca="1" si="123"/>
        <v>3627</v>
      </c>
      <c r="I632">
        <f t="shared" ca="1" si="124"/>
        <v>1</v>
      </c>
      <c r="J632">
        <f t="shared" ca="1" si="125"/>
        <v>0</v>
      </c>
      <c r="K632">
        <f t="shared" ca="1" si="126"/>
        <v>0</v>
      </c>
      <c r="L632">
        <f t="shared" ca="1" si="127"/>
        <v>0</v>
      </c>
      <c r="M632">
        <f t="shared" ca="1" si="128"/>
        <v>7</v>
      </c>
      <c r="N632">
        <f t="shared" ca="1" si="129"/>
        <v>0</v>
      </c>
    </row>
    <row r="633" spans="1:14" x14ac:dyDescent="0.35">
      <c r="A633" t="s">
        <v>650</v>
      </c>
      <c r="B633" t="str">
        <f t="shared" si="117"/>
        <v>Control</v>
      </c>
      <c r="C633">
        <f t="shared" ca="1" si="118"/>
        <v>21</v>
      </c>
      <c r="D633" t="str">
        <f t="shared" ca="1" si="119"/>
        <v>Female</v>
      </c>
      <c r="E633" t="str">
        <f t="shared" ca="1" si="120"/>
        <v>Sportswear</v>
      </c>
      <c r="F633">
        <f t="shared" ca="1" si="121"/>
        <v>4883</v>
      </c>
      <c r="G633">
        <f t="shared" ca="1" si="122"/>
        <v>10</v>
      </c>
      <c r="H633">
        <f t="shared" ca="1" si="123"/>
        <v>4394.7</v>
      </c>
      <c r="I633">
        <f t="shared" ca="1" si="124"/>
        <v>1</v>
      </c>
      <c r="J633">
        <f t="shared" ca="1" si="125"/>
        <v>1</v>
      </c>
      <c r="K633">
        <f t="shared" ca="1" si="126"/>
        <v>1</v>
      </c>
      <c r="L633">
        <f t="shared" ca="1" si="127"/>
        <v>4394.7</v>
      </c>
      <c r="M633">
        <f t="shared" ca="1" si="128"/>
        <v>7</v>
      </c>
      <c r="N633">
        <f t="shared" ca="1" si="129"/>
        <v>1</v>
      </c>
    </row>
    <row r="634" spans="1:14" x14ac:dyDescent="0.35">
      <c r="A634" t="s">
        <v>651</v>
      </c>
      <c r="B634" t="str">
        <f t="shared" si="117"/>
        <v>Control</v>
      </c>
      <c r="C634">
        <f t="shared" ca="1" si="118"/>
        <v>40</v>
      </c>
      <c r="D634" t="str">
        <f t="shared" ca="1" si="119"/>
        <v>Female</v>
      </c>
      <c r="E634" t="str">
        <f t="shared" ca="1" si="120"/>
        <v>T-shirts</v>
      </c>
      <c r="F634">
        <f t="shared" ca="1" si="121"/>
        <v>3185</v>
      </c>
      <c r="G634">
        <f t="shared" ca="1" si="122"/>
        <v>10</v>
      </c>
      <c r="H634">
        <f t="shared" ca="1" si="123"/>
        <v>2866.5</v>
      </c>
      <c r="I634">
        <f t="shared" ca="1" si="124"/>
        <v>1</v>
      </c>
      <c r="J634">
        <f t="shared" ca="1" si="125"/>
        <v>1</v>
      </c>
      <c r="K634">
        <f t="shared" ca="1" si="126"/>
        <v>0</v>
      </c>
      <c r="L634">
        <f t="shared" ca="1" si="127"/>
        <v>0</v>
      </c>
      <c r="M634">
        <f t="shared" ca="1" si="128"/>
        <v>2</v>
      </c>
      <c r="N634">
        <f t="shared" ca="1" si="129"/>
        <v>0</v>
      </c>
    </row>
    <row r="635" spans="1:14" x14ac:dyDescent="0.35">
      <c r="A635" t="s">
        <v>652</v>
      </c>
      <c r="B635" t="str">
        <f t="shared" si="117"/>
        <v>Control</v>
      </c>
      <c r="C635">
        <f t="shared" ca="1" si="118"/>
        <v>43</v>
      </c>
      <c r="D635" t="str">
        <f t="shared" ca="1" si="119"/>
        <v>Female</v>
      </c>
      <c r="E635" t="str">
        <f t="shared" ca="1" si="120"/>
        <v>Accessories</v>
      </c>
      <c r="F635">
        <f t="shared" ca="1" si="121"/>
        <v>2313</v>
      </c>
      <c r="G635">
        <f t="shared" ca="1" si="122"/>
        <v>10</v>
      </c>
      <c r="H635">
        <f t="shared" ca="1" si="123"/>
        <v>2081.7000000000003</v>
      </c>
      <c r="I635">
        <f t="shared" ca="1" si="124"/>
        <v>1</v>
      </c>
      <c r="J635">
        <f t="shared" ca="1" si="125"/>
        <v>0</v>
      </c>
      <c r="K635">
        <f t="shared" ca="1" si="126"/>
        <v>0</v>
      </c>
      <c r="L635">
        <f t="shared" ca="1" si="127"/>
        <v>0</v>
      </c>
      <c r="M635">
        <f t="shared" ca="1" si="128"/>
        <v>3</v>
      </c>
      <c r="N635">
        <f t="shared" ca="1" si="129"/>
        <v>0</v>
      </c>
    </row>
    <row r="636" spans="1:14" x14ac:dyDescent="0.35">
      <c r="A636" t="s">
        <v>653</v>
      </c>
      <c r="B636" t="str">
        <f t="shared" si="117"/>
        <v>Control</v>
      </c>
      <c r="C636">
        <f t="shared" ca="1" si="118"/>
        <v>22</v>
      </c>
      <c r="D636" t="str">
        <f t="shared" ca="1" si="119"/>
        <v>Female</v>
      </c>
      <c r="E636" t="str">
        <f t="shared" ca="1" si="120"/>
        <v>Sportswear</v>
      </c>
      <c r="F636">
        <f t="shared" ca="1" si="121"/>
        <v>5460</v>
      </c>
      <c r="G636">
        <f t="shared" ca="1" si="122"/>
        <v>10</v>
      </c>
      <c r="H636">
        <f t="shared" ca="1" si="123"/>
        <v>4914</v>
      </c>
      <c r="I636">
        <f t="shared" ca="1" si="124"/>
        <v>1</v>
      </c>
      <c r="J636">
        <f t="shared" ca="1" si="125"/>
        <v>0</v>
      </c>
      <c r="K636">
        <f t="shared" ca="1" si="126"/>
        <v>0</v>
      </c>
      <c r="L636">
        <f t="shared" ca="1" si="127"/>
        <v>0</v>
      </c>
      <c r="M636">
        <f t="shared" ca="1" si="128"/>
        <v>5</v>
      </c>
      <c r="N636">
        <f t="shared" ca="1" si="129"/>
        <v>0</v>
      </c>
    </row>
    <row r="637" spans="1:14" x14ac:dyDescent="0.35">
      <c r="A637" t="s">
        <v>654</v>
      </c>
      <c r="B637" t="str">
        <f t="shared" si="117"/>
        <v>Control</v>
      </c>
      <c r="C637">
        <f t="shared" ca="1" si="118"/>
        <v>22</v>
      </c>
      <c r="D637" t="str">
        <f t="shared" ca="1" si="119"/>
        <v>Female</v>
      </c>
      <c r="E637" t="str">
        <f t="shared" ca="1" si="120"/>
        <v>Accessories</v>
      </c>
      <c r="F637">
        <f t="shared" ca="1" si="121"/>
        <v>6321</v>
      </c>
      <c r="G637">
        <f t="shared" ca="1" si="122"/>
        <v>10</v>
      </c>
      <c r="H637">
        <f t="shared" ca="1" si="123"/>
        <v>5688.9000000000005</v>
      </c>
      <c r="I637">
        <f t="shared" ca="1" si="124"/>
        <v>1</v>
      </c>
      <c r="J637">
        <f t="shared" ca="1" si="125"/>
        <v>0</v>
      </c>
      <c r="K637">
        <f t="shared" ca="1" si="126"/>
        <v>0</v>
      </c>
      <c r="L637">
        <f t="shared" ca="1" si="127"/>
        <v>0</v>
      </c>
      <c r="M637">
        <f t="shared" ca="1" si="128"/>
        <v>1</v>
      </c>
      <c r="N637">
        <f t="shared" ca="1" si="129"/>
        <v>0</v>
      </c>
    </row>
    <row r="638" spans="1:14" x14ac:dyDescent="0.35">
      <c r="A638" t="s">
        <v>655</v>
      </c>
      <c r="B638" t="str">
        <f t="shared" si="117"/>
        <v>Control</v>
      </c>
      <c r="C638">
        <f t="shared" ca="1" si="118"/>
        <v>21</v>
      </c>
      <c r="D638" t="str">
        <f t="shared" ca="1" si="119"/>
        <v>Male</v>
      </c>
      <c r="E638" t="str">
        <f t="shared" ca="1" si="120"/>
        <v>Jeans</v>
      </c>
      <c r="F638">
        <f t="shared" ca="1" si="121"/>
        <v>1635</v>
      </c>
      <c r="G638">
        <f t="shared" ca="1" si="122"/>
        <v>10</v>
      </c>
      <c r="H638">
        <f t="shared" ca="1" si="123"/>
        <v>1471.5</v>
      </c>
      <c r="I638">
        <f t="shared" ca="1" si="124"/>
        <v>1</v>
      </c>
      <c r="J638">
        <f t="shared" ca="1" si="125"/>
        <v>1</v>
      </c>
      <c r="K638">
        <f t="shared" ca="1" si="126"/>
        <v>0</v>
      </c>
      <c r="L638">
        <f t="shared" ca="1" si="127"/>
        <v>0</v>
      </c>
      <c r="M638">
        <f t="shared" ca="1" si="128"/>
        <v>7</v>
      </c>
      <c r="N638">
        <f t="shared" ca="1" si="129"/>
        <v>0</v>
      </c>
    </row>
    <row r="639" spans="1:14" x14ac:dyDescent="0.35">
      <c r="A639" t="s">
        <v>656</v>
      </c>
      <c r="B639" t="str">
        <f t="shared" si="117"/>
        <v>Control</v>
      </c>
      <c r="C639">
        <f t="shared" ca="1" si="118"/>
        <v>43</v>
      </c>
      <c r="D639" t="str">
        <f t="shared" ca="1" si="119"/>
        <v>Female</v>
      </c>
      <c r="E639" t="str">
        <f t="shared" ca="1" si="120"/>
        <v>Dresses</v>
      </c>
      <c r="F639">
        <f t="shared" ca="1" si="121"/>
        <v>5664</v>
      </c>
      <c r="G639">
        <f t="shared" ca="1" si="122"/>
        <v>10</v>
      </c>
      <c r="H639">
        <f t="shared" ca="1" si="123"/>
        <v>5097.6000000000004</v>
      </c>
      <c r="I639">
        <f t="shared" ca="1" si="124"/>
        <v>0</v>
      </c>
      <c r="J639">
        <f t="shared" ca="1" si="125"/>
        <v>0</v>
      </c>
      <c r="K639">
        <f t="shared" ca="1" si="126"/>
        <v>0</v>
      </c>
      <c r="L639">
        <f t="shared" ca="1" si="127"/>
        <v>0</v>
      </c>
      <c r="M639">
        <f t="shared" ca="1" si="128"/>
        <v>5</v>
      </c>
      <c r="N639">
        <f t="shared" ca="1" si="129"/>
        <v>0</v>
      </c>
    </row>
    <row r="640" spans="1:14" x14ac:dyDescent="0.35">
      <c r="A640" t="s">
        <v>657</v>
      </c>
      <c r="B640" t="str">
        <f t="shared" si="117"/>
        <v>Control</v>
      </c>
      <c r="C640">
        <f t="shared" ca="1" si="118"/>
        <v>29</v>
      </c>
      <c r="D640" t="str">
        <f t="shared" ca="1" si="119"/>
        <v>Female</v>
      </c>
      <c r="E640" t="str">
        <f t="shared" ca="1" si="120"/>
        <v>Ethnic Wear</v>
      </c>
      <c r="F640">
        <f t="shared" ca="1" si="121"/>
        <v>1949</v>
      </c>
      <c r="G640">
        <f t="shared" ca="1" si="122"/>
        <v>10</v>
      </c>
      <c r="H640">
        <f t="shared" ca="1" si="123"/>
        <v>1754.1000000000001</v>
      </c>
      <c r="I640">
        <f t="shared" ca="1" si="124"/>
        <v>0</v>
      </c>
      <c r="J640">
        <f t="shared" ca="1" si="125"/>
        <v>0</v>
      </c>
      <c r="K640">
        <f t="shared" ca="1" si="126"/>
        <v>0</v>
      </c>
      <c r="L640">
        <f t="shared" ca="1" si="127"/>
        <v>0</v>
      </c>
      <c r="M640">
        <f t="shared" ca="1" si="128"/>
        <v>6</v>
      </c>
      <c r="N640">
        <f t="shared" ca="1" si="129"/>
        <v>0</v>
      </c>
    </row>
    <row r="641" spans="1:14" x14ac:dyDescent="0.35">
      <c r="A641" t="s">
        <v>658</v>
      </c>
      <c r="B641" t="str">
        <f t="shared" si="117"/>
        <v>Control</v>
      </c>
      <c r="C641">
        <f t="shared" ca="1" si="118"/>
        <v>19</v>
      </c>
      <c r="D641" t="str">
        <f t="shared" ca="1" si="119"/>
        <v>Female</v>
      </c>
      <c r="E641" t="str">
        <f t="shared" ca="1" si="120"/>
        <v>Accessories</v>
      </c>
      <c r="F641">
        <f t="shared" ca="1" si="121"/>
        <v>4802</v>
      </c>
      <c r="G641">
        <f t="shared" ca="1" si="122"/>
        <v>10</v>
      </c>
      <c r="H641">
        <f t="shared" ca="1" si="123"/>
        <v>4321.8</v>
      </c>
      <c r="I641">
        <f t="shared" ca="1" si="124"/>
        <v>1</v>
      </c>
      <c r="J641">
        <f t="shared" ca="1" si="125"/>
        <v>0</v>
      </c>
      <c r="K641">
        <f t="shared" ca="1" si="126"/>
        <v>0</v>
      </c>
      <c r="L641">
        <f t="shared" ca="1" si="127"/>
        <v>0</v>
      </c>
      <c r="M641">
        <f t="shared" ca="1" si="128"/>
        <v>5</v>
      </c>
      <c r="N641">
        <f t="shared" ca="1" si="129"/>
        <v>0</v>
      </c>
    </row>
    <row r="642" spans="1:14" x14ac:dyDescent="0.35">
      <c r="A642" t="s">
        <v>659</v>
      </c>
      <c r="B642" t="str">
        <f t="shared" si="117"/>
        <v>Control</v>
      </c>
      <c r="C642">
        <f t="shared" ca="1" si="118"/>
        <v>29</v>
      </c>
      <c r="D642" t="str">
        <f t="shared" ca="1" si="119"/>
        <v>Female</v>
      </c>
      <c r="E642" t="str">
        <f t="shared" ca="1" si="120"/>
        <v>Tops</v>
      </c>
      <c r="F642">
        <f t="shared" ca="1" si="121"/>
        <v>6121</v>
      </c>
      <c r="G642">
        <f t="shared" ca="1" si="122"/>
        <v>10</v>
      </c>
      <c r="H642">
        <f t="shared" ca="1" si="123"/>
        <v>5508.9000000000005</v>
      </c>
      <c r="I642">
        <f t="shared" ca="1" si="124"/>
        <v>1</v>
      </c>
      <c r="J642">
        <f t="shared" ca="1" si="125"/>
        <v>0</v>
      </c>
      <c r="K642">
        <f t="shared" ca="1" si="126"/>
        <v>0</v>
      </c>
      <c r="L642">
        <f t="shared" ca="1" si="127"/>
        <v>0</v>
      </c>
      <c r="M642">
        <f t="shared" ca="1" si="128"/>
        <v>6</v>
      </c>
      <c r="N642">
        <f t="shared" ca="1" si="129"/>
        <v>0</v>
      </c>
    </row>
    <row r="643" spans="1:14" x14ac:dyDescent="0.35">
      <c r="A643" t="s">
        <v>660</v>
      </c>
      <c r="B643" t="str">
        <f t="shared" si="117"/>
        <v>Control</v>
      </c>
      <c r="C643">
        <f t="shared" ca="1" si="118"/>
        <v>35</v>
      </c>
      <c r="D643" t="str">
        <f t="shared" ca="1" si="119"/>
        <v>Female</v>
      </c>
      <c r="E643" t="str">
        <f t="shared" ca="1" si="120"/>
        <v>Tops</v>
      </c>
      <c r="F643">
        <f t="shared" ca="1" si="121"/>
        <v>6805</v>
      </c>
      <c r="G643">
        <f t="shared" ca="1" si="122"/>
        <v>10</v>
      </c>
      <c r="H643">
        <f t="shared" ca="1" si="123"/>
        <v>6124.5</v>
      </c>
      <c r="I643">
        <f t="shared" ca="1" si="124"/>
        <v>1</v>
      </c>
      <c r="J643">
        <f t="shared" ca="1" si="125"/>
        <v>1</v>
      </c>
      <c r="K643">
        <f t="shared" ca="1" si="126"/>
        <v>0</v>
      </c>
      <c r="L643">
        <f t="shared" ca="1" si="127"/>
        <v>0</v>
      </c>
      <c r="M643">
        <f t="shared" ca="1" si="128"/>
        <v>3</v>
      </c>
      <c r="N643">
        <f t="shared" ca="1" si="129"/>
        <v>0</v>
      </c>
    </row>
    <row r="644" spans="1:14" x14ac:dyDescent="0.35">
      <c r="A644" t="s">
        <v>661</v>
      </c>
      <c r="B644" t="str">
        <f t="shared" si="117"/>
        <v>Control</v>
      </c>
      <c r="C644">
        <f t="shared" ca="1" si="118"/>
        <v>25</v>
      </c>
      <c r="D644" t="str">
        <f t="shared" ca="1" si="119"/>
        <v>Male</v>
      </c>
      <c r="E644" t="str">
        <f t="shared" ca="1" si="120"/>
        <v>Dresses</v>
      </c>
      <c r="F644">
        <f t="shared" ca="1" si="121"/>
        <v>1372</v>
      </c>
      <c r="G644">
        <f t="shared" ca="1" si="122"/>
        <v>10</v>
      </c>
      <c r="H644">
        <f t="shared" ca="1" si="123"/>
        <v>1234.8</v>
      </c>
      <c r="I644">
        <f t="shared" ca="1" si="124"/>
        <v>0</v>
      </c>
      <c r="J644">
        <f t="shared" ca="1" si="125"/>
        <v>0</v>
      </c>
      <c r="K644">
        <f t="shared" ca="1" si="126"/>
        <v>0</v>
      </c>
      <c r="L644">
        <f t="shared" ca="1" si="127"/>
        <v>0</v>
      </c>
      <c r="M644">
        <f t="shared" ca="1" si="128"/>
        <v>2</v>
      </c>
      <c r="N644">
        <f t="shared" ca="1" si="129"/>
        <v>0</v>
      </c>
    </row>
    <row r="645" spans="1:14" x14ac:dyDescent="0.35">
      <c r="A645" t="s">
        <v>662</v>
      </c>
      <c r="B645" t="str">
        <f t="shared" ref="B645:B708" si="130">IF(ROW()&lt;=1001,"Control","Test")</f>
        <v>Control</v>
      </c>
      <c r="C645">
        <f t="shared" ref="C645:C708" ca="1" si="131">RANDBETWEEN(18,45)</f>
        <v>41</v>
      </c>
      <c r="D645" t="str">
        <f t="shared" ref="D645:D708" ca="1" si="132">CHOOSE(RANDBETWEEN(1,20),"Female","Female","Female","Female","Female","Female","Female","Female","Female","Female","Male","Male","Male","Male","Male","Male","Male","Male","Other","Other")</f>
        <v>Female</v>
      </c>
      <c r="E645" t="str">
        <f t="shared" ref="E645:E708" ca="1" si="133">CHOOSE(RANDBETWEEN(1,8),"T-shirts","Dresses","Jeans","Shoes","Ethnic Wear","Tops","Sportswear","Accessories")</f>
        <v>Sportswear</v>
      </c>
      <c r="F645">
        <f t="shared" ref="F645:F708" ca="1" si="134">RANDBETWEEN(300,8000)</f>
        <v>7912</v>
      </c>
      <c r="G645">
        <f t="shared" ref="G645:G708" ca="1" si="135">IF(B645="Control",10,CHOOSE(RANDBETWEEN(1,3),15,20,25))</f>
        <v>10</v>
      </c>
      <c r="H645">
        <f t="shared" ref="H645:H708" ca="1" si="136">F645*(1-G645/100)</f>
        <v>7120.8</v>
      </c>
      <c r="I645">
        <f t="shared" ref="I645:I708" ca="1" si="137">IF(RAND()&lt;0.85,1,0)</f>
        <v>1</v>
      </c>
      <c r="J645">
        <f t="shared" ref="J645:J708" ca="1" si="138">IF(I645=1,IF(RAND()&lt;0.55,1,0),0)</f>
        <v>1</v>
      </c>
      <c r="K645">
        <f t="shared" ref="K645:K708" ca="1" si="139">IF(J645=1,IF(B645="Test",IF(RAND()&lt;0.4,1,0),IF(RAND()&lt;0.34,1,0)),0)</f>
        <v>1</v>
      </c>
      <c r="L645">
        <f t="shared" ref="L645:L708" ca="1" si="140">IF(K645=1,H645,0)</f>
        <v>7120.8</v>
      </c>
      <c r="M645">
        <f t="shared" ref="M645:M708" ca="1" si="141">RANDBETWEEN(1,7)</f>
        <v>4</v>
      </c>
      <c r="N645">
        <f t="shared" ref="N645:N708" ca="1" si="142">IF(K645=1,IF(RAND()&lt;0.15,1,0),0)</f>
        <v>0</v>
      </c>
    </row>
    <row r="646" spans="1:14" x14ac:dyDescent="0.35">
      <c r="A646" t="s">
        <v>663</v>
      </c>
      <c r="B646" t="str">
        <f t="shared" si="130"/>
        <v>Control</v>
      </c>
      <c r="C646">
        <f t="shared" ca="1" si="131"/>
        <v>19</v>
      </c>
      <c r="D646" t="str">
        <f t="shared" ca="1" si="132"/>
        <v>Other</v>
      </c>
      <c r="E646" t="str">
        <f t="shared" ca="1" si="133"/>
        <v>Shoes</v>
      </c>
      <c r="F646">
        <f t="shared" ca="1" si="134"/>
        <v>7942</v>
      </c>
      <c r="G646">
        <f t="shared" ca="1" si="135"/>
        <v>10</v>
      </c>
      <c r="H646">
        <f t="shared" ca="1" si="136"/>
        <v>7147.8</v>
      </c>
      <c r="I646">
        <f t="shared" ca="1" si="137"/>
        <v>1</v>
      </c>
      <c r="J646">
        <f t="shared" ca="1" si="138"/>
        <v>1</v>
      </c>
      <c r="K646">
        <f t="shared" ca="1" si="139"/>
        <v>0</v>
      </c>
      <c r="L646">
        <f t="shared" ca="1" si="140"/>
        <v>0</v>
      </c>
      <c r="M646">
        <f t="shared" ca="1" si="141"/>
        <v>3</v>
      </c>
      <c r="N646">
        <f t="shared" ca="1" si="142"/>
        <v>0</v>
      </c>
    </row>
    <row r="647" spans="1:14" x14ac:dyDescent="0.35">
      <c r="A647" t="s">
        <v>664</v>
      </c>
      <c r="B647" t="str">
        <f t="shared" si="130"/>
        <v>Control</v>
      </c>
      <c r="C647">
        <f t="shared" ca="1" si="131"/>
        <v>38</v>
      </c>
      <c r="D647" t="str">
        <f t="shared" ca="1" si="132"/>
        <v>Male</v>
      </c>
      <c r="E647" t="str">
        <f t="shared" ca="1" si="133"/>
        <v>Shoes</v>
      </c>
      <c r="F647">
        <f t="shared" ca="1" si="134"/>
        <v>1553</v>
      </c>
      <c r="G647">
        <f t="shared" ca="1" si="135"/>
        <v>10</v>
      </c>
      <c r="H647">
        <f t="shared" ca="1" si="136"/>
        <v>1397.7</v>
      </c>
      <c r="I647">
        <f t="shared" ca="1" si="137"/>
        <v>1</v>
      </c>
      <c r="J647">
        <f t="shared" ca="1" si="138"/>
        <v>1</v>
      </c>
      <c r="K647">
        <f t="shared" ca="1" si="139"/>
        <v>0</v>
      </c>
      <c r="L647">
        <f t="shared" ca="1" si="140"/>
        <v>0</v>
      </c>
      <c r="M647">
        <f t="shared" ca="1" si="141"/>
        <v>5</v>
      </c>
      <c r="N647">
        <f t="shared" ca="1" si="142"/>
        <v>0</v>
      </c>
    </row>
    <row r="648" spans="1:14" x14ac:dyDescent="0.35">
      <c r="A648" t="s">
        <v>665</v>
      </c>
      <c r="B648" t="str">
        <f t="shared" si="130"/>
        <v>Control</v>
      </c>
      <c r="C648">
        <f t="shared" ca="1" si="131"/>
        <v>34</v>
      </c>
      <c r="D648" t="str">
        <f t="shared" ca="1" si="132"/>
        <v>Other</v>
      </c>
      <c r="E648" t="str">
        <f t="shared" ca="1" si="133"/>
        <v>Shoes</v>
      </c>
      <c r="F648">
        <f t="shared" ca="1" si="134"/>
        <v>5031</v>
      </c>
      <c r="G648">
        <f t="shared" ca="1" si="135"/>
        <v>10</v>
      </c>
      <c r="H648">
        <f t="shared" ca="1" si="136"/>
        <v>4527.9000000000005</v>
      </c>
      <c r="I648">
        <f t="shared" ca="1" si="137"/>
        <v>0</v>
      </c>
      <c r="J648">
        <f t="shared" ca="1" si="138"/>
        <v>0</v>
      </c>
      <c r="K648">
        <f t="shared" ca="1" si="139"/>
        <v>0</v>
      </c>
      <c r="L648">
        <f t="shared" ca="1" si="140"/>
        <v>0</v>
      </c>
      <c r="M648">
        <f t="shared" ca="1" si="141"/>
        <v>3</v>
      </c>
      <c r="N648">
        <f t="shared" ca="1" si="142"/>
        <v>0</v>
      </c>
    </row>
    <row r="649" spans="1:14" x14ac:dyDescent="0.35">
      <c r="A649" t="s">
        <v>666</v>
      </c>
      <c r="B649" t="str">
        <f t="shared" si="130"/>
        <v>Control</v>
      </c>
      <c r="C649">
        <f t="shared" ca="1" si="131"/>
        <v>35</v>
      </c>
      <c r="D649" t="str">
        <f t="shared" ca="1" si="132"/>
        <v>Female</v>
      </c>
      <c r="E649" t="str">
        <f t="shared" ca="1" si="133"/>
        <v>Tops</v>
      </c>
      <c r="F649">
        <f t="shared" ca="1" si="134"/>
        <v>6986</v>
      </c>
      <c r="G649">
        <f t="shared" ca="1" si="135"/>
        <v>10</v>
      </c>
      <c r="H649">
        <f t="shared" ca="1" si="136"/>
        <v>6287.4000000000005</v>
      </c>
      <c r="I649">
        <f t="shared" ca="1" si="137"/>
        <v>1</v>
      </c>
      <c r="J649">
        <f t="shared" ca="1" si="138"/>
        <v>0</v>
      </c>
      <c r="K649">
        <f t="shared" ca="1" si="139"/>
        <v>0</v>
      </c>
      <c r="L649">
        <f t="shared" ca="1" si="140"/>
        <v>0</v>
      </c>
      <c r="M649">
        <f t="shared" ca="1" si="141"/>
        <v>4</v>
      </c>
      <c r="N649">
        <f t="shared" ca="1" si="142"/>
        <v>0</v>
      </c>
    </row>
    <row r="650" spans="1:14" x14ac:dyDescent="0.35">
      <c r="A650" t="s">
        <v>667</v>
      </c>
      <c r="B650" t="str">
        <f t="shared" si="130"/>
        <v>Control</v>
      </c>
      <c r="C650">
        <f t="shared" ca="1" si="131"/>
        <v>27</v>
      </c>
      <c r="D650" t="str">
        <f t="shared" ca="1" si="132"/>
        <v>Male</v>
      </c>
      <c r="E650" t="str">
        <f t="shared" ca="1" si="133"/>
        <v>Ethnic Wear</v>
      </c>
      <c r="F650">
        <f t="shared" ca="1" si="134"/>
        <v>1468</v>
      </c>
      <c r="G650">
        <f t="shared" ca="1" si="135"/>
        <v>10</v>
      </c>
      <c r="H650">
        <f t="shared" ca="1" si="136"/>
        <v>1321.2</v>
      </c>
      <c r="I650">
        <f t="shared" ca="1" si="137"/>
        <v>1</v>
      </c>
      <c r="J650">
        <f t="shared" ca="1" si="138"/>
        <v>0</v>
      </c>
      <c r="K650">
        <f t="shared" ca="1" si="139"/>
        <v>0</v>
      </c>
      <c r="L650">
        <f t="shared" ca="1" si="140"/>
        <v>0</v>
      </c>
      <c r="M650">
        <f t="shared" ca="1" si="141"/>
        <v>3</v>
      </c>
      <c r="N650">
        <f t="shared" ca="1" si="142"/>
        <v>0</v>
      </c>
    </row>
    <row r="651" spans="1:14" x14ac:dyDescent="0.35">
      <c r="A651" t="s">
        <v>668</v>
      </c>
      <c r="B651" t="str">
        <f t="shared" si="130"/>
        <v>Control</v>
      </c>
      <c r="C651">
        <f t="shared" ca="1" si="131"/>
        <v>42</v>
      </c>
      <c r="D651" t="str">
        <f t="shared" ca="1" si="132"/>
        <v>Female</v>
      </c>
      <c r="E651" t="str">
        <f t="shared" ca="1" si="133"/>
        <v>Tops</v>
      </c>
      <c r="F651">
        <f t="shared" ca="1" si="134"/>
        <v>6248</v>
      </c>
      <c r="G651">
        <f t="shared" ca="1" si="135"/>
        <v>10</v>
      </c>
      <c r="H651">
        <f t="shared" ca="1" si="136"/>
        <v>5623.2</v>
      </c>
      <c r="I651">
        <f t="shared" ca="1" si="137"/>
        <v>1</v>
      </c>
      <c r="J651">
        <f t="shared" ca="1" si="138"/>
        <v>0</v>
      </c>
      <c r="K651">
        <f t="shared" ca="1" si="139"/>
        <v>0</v>
      </c>
      <c r="L651">
        <f t="shared" ca="1" si="140"/>
        <v>0</v>
      </c>
      <c r="M651">
        <f t="shared" ca="1" si="141"/>
        <v>7</v>
      </c>
      <c r="N651">
        <f t="shared" ca="1" si="142"/>
        <v>0</v>
      </c>
    </row>
    <row r="652" spans="1:14" x14ac:dyDescent="0.35">
      <c r="A652" t="s">
        <v>669</v>
      </c>
      <c r="B652" t="str">
        <f t="shared" si="130"/>
        <v>Control</v>
      </c>
      <c r="C652">
        <f t="shared" ca="1" si="131"/>
        <v>36</v>
      </c>
      <c r="D652" t="str">
        <f t="shared" ca="1" si="132"/>
        <v>Other</v>
      </c>
      <c r="E652" t="str">
        <f t="shared" ca="1" si="133"/>
        <v>Shoes</v>
      </c>
      <c r="F652">
        <f t="shared" ca="1" si="134"/>
        <v>4740</v>
      </c>
      <c r="G652">
        <f t="shared" ca="1" si="135"/>
        <v>10</v>
      </c>
      <c r="H652">
        <f t="shared" ca="1" si="136"/>
        <v>4266</v>
      </c>
      <c r="I652">
        <f t="shared" ca="1" si="137"/>
        <v>1</v>
      </c>
      <c r="J652">
        <f t="shared" ca="1" si="138"/>
        <v>0</v>
      </c>
      <c r="K652">
        <f t="shared" ca="1" si="139"/>
        <v>0</v>
      </c>
      <c r="L652">
        <f t="shared" ca="1" si="140"/>
        <v>0</v>
      </c>
      <c r="M652">
        <f t="shared" ca="1" si="141"/>
        <v>2</v>
      </c>
      <c r="N652">
        <f t="shared" ca="1" si="142"/>
        <v>0</v>
      </c>
    </row>
    <row r="653" spans="1:14" x14ac:dyDescent="0.35">
      <c r="A653" t="s">
        <v>670</v>
      </c>
      <c r="B653" t="str">
        <f t="shared" si="130"/>
        <v>Control</v>
      </c>
      <c r="C653">
        <f t="shared" ca="1" si="131"/>
        <v>41</v>
      </c>
      <c r="D653" t="str">
        <f t="shared" ca="1" si="132"/>
        <v>Female</v>
      </c>
      <c r="E653" t="str">
        <f t="shared" ca="1" si="133"/>
        <v>T-shirts</v>
      </c>
      <c r="F653">
        <f t="shared" ca="1" si="134"/>
        <v>931</v>
      </c>
      <c r="G653">
        <f t="shared" ca="1" si="135"/>
        <v>10</v>
      </c>
      <c r="H653">
        <f t="shared" ca="1" si="136"/>
        <v>837.9</v>
      </c>
      <c r="I653">
        <f t="shared" ca="1" si="137"/>
        <v>1</v>
      </c>
      <c r="J653">
        <f t="shared" ca="1" si="138"/>
        <v>1</v>
      </c>
      <c r="K653">
        <f t="shared" ca="1" si="139"/>
        <v>0</v>
      </c>
      <c r="L653">
        <f t="shared" ca="1" si="140"/>
        <v>0</v>
      </c>
      <c r="M653">
        <f t="shared" ca="1" si="141"/>
        <v>7</v>
      </c>
      <c r="N653">
        <f t="shared" ca="1" si="142"/>
        <v>0</v>
      </c>
    </row>
    <row r="654" spans="1:14" x14ac:dyDescent="0.35">
      <c r="A654" t="s">
        <v>671</v>
      </c>
      <c r="B654" t="str">
        <f t="shared" si="130"/>
        <v>Control</v>
      </c>
      <c r="C654">
        <f t="shared" ca="1" si="131"/>
        <v>38</v>
      </c>
      <c r="D654" t="str">
        <f t="shared" ca="1" si="132"/>
        <v>Other</v>
      </c>
      <c r="E654" t="str">
        <f t="shared" ca="1" si="133"/>
        <v>Shoes</v>
      </c>
      <c r="F654">
        <f t="shared" ca="1" si="134"/>
        <v>4503</v>
      </c>
      <c r="G654">
        <f t="shared" ca="1" si="135"/>
        <v>10</v>
      </c>
      <c r="H654">
        <f t="shared" ca="1" si="136"/>
        <v>4052.7000000000003</v>
      </c>
      <c r="I654">
        <f t="shared" ca="1" si="137"/>
        <v>1</v>
      </c>
      <c r="J654">
        <f t="shared" ca="1" si="138"/>
        <v>1</v>
      </c>
      <c r="K654">
        <f t="shared" ca="1" si="139"/>
        <v>0</v>
      </c>
      <c r="L654">
        <f t="shared" ca="1" si="140"/>
        <v>0</v>
      </c>
      <c r="M654">
        <f t="shared" ca="1" si="141"/>
        <v>3</v>
      </c>
      <c r="N654">
        <f t="shared" ca="1" si="142"/>
        <v>0</v>
      </c>
    </row>
    <row r="655" spans="1:14" x14ac:dyDescent="0.35">
      <c r="A655" t="s">
        <v>672</v>
      </c>
      <c r="B655" t="str">
        <f t="shared" si="130"/>
        <v>Control</v>
      </c>
      <c r="C655">
        <f t="shared" ca="1" si="131"/>
        <v>45</v>
      </c>
      <c r="D655" t="str">
        <f t="shared" ca="1" si="132"/>
        <v>Female</v>
      </c>
      <c r="E655" t="str">
        <f t="shared" ca="1" si="133"/>
        <v>Dresses</v>
      </c>
      <c r="F655">
        <f t="shared" ca="1" si="134"/>
        <v>7311</v>
      </c>
      <c r="G655">
        <f t="shared" ca="1" si="135"/>
        <v>10</v>
      </c>
      <c r="H655">
        <f t="shared" ca="1" si="136"/>
        <v>6579.9000000000005</v>
      </c>
      <c r="I655">
        <f t="shared" ca="1" si="137"/>
        <v>0</v>
      </c>
      <c r="J655">
        <f t="shared" ca="1" si="138"/>
        <v>0</v>
      </c>
      <c r="K655">
        <f t="shared" ca="1" si="139"/>
        <v>0</v>
      </c>
      <c r="L655">
        <f t="shared" ca="1" si="140"/>
        <v>0</v>
      </c>
      <c r="M655">
        <f t="shared" ca="1" si="141"/>
        <v>2</v>
      </c>
      <c r="N655">
        <f t="shared" ca="1" si="142"/>
        <v>0</v>
      </c>
    </row>
    <row r="656" spans="1:14" x14ac:dyDescent="0.35">
      <c r="A656" t="s">
        <v>673</v>
      </c>
      <c r="B656" t="str">
        <f t="shared" si="130"/>
        <v>Control</v>
      </c>
      <c r="C656">
        <f t="shared" ca="1" si="131"/>
        <v>25</v>
      </c>
      <c r="D656" t="str">
        <f t="shared" ca="1" si="132"/>
        <v>Male</v>
      </c>
      <c r="E656" t="str">
        <f t="shared" ca="1" si="133"/>
        <v>Ethnic Wear</v>
      </c>
      <c r="F656">
        <f t="shared" ca="1" si="134"/>
        <v>7979</v>
      </c>
      <c r="G656">
        <f t="shared" ca="1" si="135"/>
        <v>10</v>
      </c>
      <c r="H656">
        <f t="shared" ca="1" si="136"/>
        <v>7181.1</v>
      </c>
      <c r="I656">
        <f t="shared" ca="1" si="137"/>
        <v>1</v>
      </c>
      <c r="J656">
        <f t="shared" ca="1" si="138"/>
        <v>0</v>
      </c>
      <c r="K656">
        <f t="shared" ca="1" si="139"/>
        <v>0</v>
      </c>
      <c r="L656">
        <f t="shared" ca="1" si="140"/>
        <v>0</v>
      </c>
      <c r="M656">
        <f t="shared" ca="1" si="141"/>
        <v>5</v>
      </c>
      <c r="N656">
        <f t="shared" ca="1" si="142"/>
        <v>0</v>
      </c>
    </row>
    <row r="657" spans="1:14" x14ac:dyDescent="0.35">
      <c r="A657" t="s">
        <v>674</v>
      </c>
      <c r="B657" t="str">
        <f t="shared" si="130"/>
        <v>Control</v>
      </c>
      <c r="C657">
        <f t="shared" ca="1" si="131"/>
        <v>30</v>
      </c>
      <c r="D657" t="str">
        <f t="shared" ca="1" si="132"/>
        <v>Female</v>
      </c>
      <c r="E657" t="str">
        <f t="shared" ca="1" si="133"/>
        <v>Accessories</v>
      </c>
      <c r="F657">
        <f t="shared" ca="1" si="134"/>
        <v>6349</v>
      </c>
      <c r="G657">
        <f t="shared" ca="1" si="135"/>
        <v>10</v>
      </c>
      <c r="H657">
        <f t="shared" ca="1" si="136"/>
        <v>5714.1</v>
      </c>
      <c r="I657">
        <f t="shared" ca="1" si="137"/>
        <v>1</v>
      </c>
      <c r="J657">
        <f t="shared" ca="1" si="138"/>
        <v>1</v>
      </c>
      <c r="K657">
        <f t="shared" ca="1" si="139"/>
        <v>0</v>
      </c>
      <c r="L657">
        <f t="shared" ca="1" si="140"/>
        <v>0</v>
      </c>
      <c r="M657">
        <f t="shared" ca="1" si="141"/>
        <v>4</v>
      </c>
      <c r="N657">
        <f t="shared" ca="1" si="142"/>
        <v>0</v>
      </c>
    </row>
    <row r="658" spans="1:14" x14ac:dyDescent="0.35">
      <c r="A658" t="s">
        <v>675</v>
      </c>
      <c r="B658" t="str">
        <f t="shared" si="130"/>
        <v>Control</v>
      </c>
      <c r="C658">
        <f t="shared" ca="1" si="131"/>
        <v>26</v>
      </c>
      <c r="D658" t="str">
        <f t="shared" ca="1" si="132"/>
        <v>Female</v>
      </c>
      <c r="E658" t="str">
        <f t="shared" ca="1" si="133"/>
        <v>Dresses</v>
      </c>
      <c r="F658">
        <f t="shared" ca="1" si="134"/>
        <v>880</v>
      </c>
      <c r="G658">
        <f t="shared" ca="1" si="135"/>
        <v>10</v>
      </c>
      <c r="H658">
        <f t="shared" ca="1" si="136"/>
        <v>792</v>
      </c>
      <c r="I658">
        <f t="shared" ca="1" si="137"/>
        <v>1</v>
      </c>
      <c r="J658">
        <f t="shared" ca="1" si="138"/>
        <v>0</v>
      </c>
      <c r="K658">
        <f t="shared" ca="1" si="139"/>
        <v>0</v>
      </c>
      <c r="L658">
        <f t="shared" ca="1" si="140"/>
        <v>0</v>
      </c>
      <c r="M658">
        <f t="shared" ca="1" si="141"/>
        <v>1</v>
      </c>
      <c r="N658">
        <f t="shared" ca="1" si="142"/>
        <v>0</v>
      </c>
    </row>
    <row r="659" spans="1:14" x14ac:dyDescent="0.35">
      <c r="A659" t="s">
        <v>676</v>
      </c>
      <c r="B659" t="str">
        <f t="shared" si="130"/>
        <v>Control</v>
      </c>
      <c r="C659">
        <f t="shared" ca="1" si="131"/>
        <v>23</v>
      </c>
      <c r="D659" t="str">
        <f t="shared" ca="1" si="132"/>
        <v>Female</v>
      </c>
      <c r="E659" t="str">
        <f t="shared" ca="1" si="133"/>
        <v>Sportswear</v>
      </c>
      <c r="F659">
        <f t="shared" ca="1" si="134"/>
        <v>3565</v>
      </c>
      <c r="G659">
        <f t="shared" ca="1" si="135"/>
        <v>10</v>
      </c>
      <c r="H659">
        <f t="shared" ca="1" si="136"/>
        <v>3208.5</v>
      </c>
      <c r="I659">
        <f t="shared" ca="1" si="137"/>
        <v>1</v>
      </c>
      <c r="J659">
        <f t="shared" ca="1" si="138"/>
        <v>1</v>
      </c>
      <c r="K659">
        <f t="shared" ca="1" si="139"/>
        <v>0</v>
      </c>
      <c r="L659">
        <f t="shared" ca="1" si="140"/>
        <v>0</v>
      </c>
      <c r="M659">
        <f t="shared" ca="1" si="141"/>
        <v>1</v>
      </c>
      <c r="N659">
        <f t="shared" ca="1" si="142"/>
        <v>0</v>
      </c>
    </row>
    <row r="660" spans="1:14" x14ac:dyDescent="0.35">
      <c r="A660" t="s">
        <v>677</v>
      </c>
      <c r="B660" t="str">
        <f t="shared" si="130"/>
        <v>Control</v>
      </c>
      <c r="C660">
        <f t="shared" ca="1" si="131"/>
        <v>24</v>
      </c>
      <c r="D660" t="str">
        <f t="shared" ca="1" si="132"/>
        <v>Female</v>
      </c>
      <c r="E660" t="str">
        <f t="shared" ca="1" si="133"/>
        <v>Ethnic Wear</v>
      </c>
      <c r="F660">
        <f t="shared" ca="1" si="134"/>
        <v>6338</v>
      </c>
      <c r="G660">
        <f t="shared" ca="1" si="135"/>
        <v>10</v>
      </c>
      <c r="H660">
        <f t="shared" ca="1" si="136"/>
        <v>5704.2</v>
      </c>
      <c r="I660">
        <f t="shared" ca="1" si="137"/>
        <v>1</v>
      </c>
      <c r="J660">
        <f t="shared" ca="1" si="138"/>
        <v>1</v>
      </c>
      <c r="K660">
        <f t="shared" ca="1" si="139"/>
        <v>0</v>
      </c>
      <c r="L660">
        <f t="shared" ca="1" si="140"/>
        <v>0</v>
      </c>
      <c r="M660">
        <f t="shared" ca="1" si="141"/>
        <v>4</v>
      </c>
      <c r="N660">
        <f t="shared" ca="1" si="142"/>
        <v>0</v>
      </c>
    </row>
    <row r="661" spans="1:14" x14ac:dyDescent="0.35">
      <c r="A661" t="s">
        <v>678</v>
      </c>
      <c r="B661" t="str">
        <f t="shared" si="130"/>
        <v>Control</v>
      </c>
      <c r="C661">
        <f t="shared" ca="1" si="131"/>
        <v>45</v>
      </c>
      <c r="D661" t="str">
        <f t="shared" ca="1" si="132"/>
        <v>Male</v>
      </c>
      <c r="E661" t="str">
        <f t="shared" ca="1" si="133"/>
        <v>Tops</v>
      </c>
      <c r="F661">
        <f t="shared" ca="1" si="134"/>
        <v>3383</v>
      </c>
      <c r="G661">
        <f t="shared" ca="1" si="135"/>
        <v>10</v>
      </c>
      <c r="H661">
        <f t="shared" ca="1" si="136"/>
        <v>3044.7000000000003</v>
      </c>
      <c r="I661">
        <f t="shared" ca="1" si="137"/>
        <v>1</v>
      </c>
      <c r="J661">
        <f t="shared" ca="1" si="138"/>
        <v>1</v>
      </c>
      <c r="K661">
        <f t="shared" ca="1" si="139"/>
        <v>0</v>
      </c>
      <c r="L661">
        <f t="shared" ca="1" si="140"/>
        <v>0</v>
      </c>
      <c r="M661">
        <f t="shared" ca="1" si="141"/>
        <v>1</v>
      </c>
      <c r="N661">
        <f t="shared" ca="1" si="142"/>
        <v>0</v>
      </c>
    </row>
    <row r="662" spans="1:14" x14ac:dyDescent="0.35">
      <c r="A662" t="s">
        <v>679</v>
      </c>
      <c r="B662" t="str">
        <f t="shared" si="130"/>
        <v>Control</v>
      </c>
      <c r="C662">
        <f t="shared" ca="1" si="131"/>
        <v>30</v>
      </c>
      <c r="D662" t="str">
        <f t="shared" ca="1" si="132"/>
        <v>Female</v>
      </c>
      <c r="E662" t="str">
        <f t="shared" ca="1" si="133"/>
        <v>Accessories</v>
      </c>
      <c r="F662">
        <f t="shared" ca="1" si="134"/>
        <v>4330</v>
      </c>
      <c r="G662">
        <f t="shared" ca="1" si="135"/>
        <v>10</v>
      </c>
      <c r="H662">
        <f t="shared" ca="1" si="136"/>
        <v>3897</v>
      </c>
      <c r="I662">
        <f t="shared" ca="1" si="137"/>
        <v>1</v>
      </c>
      <c r="J662">
        <f t="shared" ca="1" si="138"/>
        <v>1</v>
      </c>
      <c r="K662">
        <f t="shared" ca="1" si="139"/>
        <v>1</v>
      </c>
      <c r="L662">
        <f t="shared" ca="1" si="140"/>
        <v>3897</v>
      </c>
      <c r="M662">
        <f t="shared" ca="1" si="141"/>
        <v>6</v>
      </c>
      <c r="N662">
        <f t="shared" ca="1" si="142"/>
        <v>0</v>
      </c>
    </row>
    <row r="663" spans="1:14" x14ac:dyDescent="0.35">
      <c r="A663" t="s">
        <v>680</v>
      </c>
      <c r="B663" t="str">
        <f t="shared" si="130"/>
        <v>Control</v>
      </c>
      <c r="C663">
        <f t="shared" ca="1" si="131"/>
        <v>35</v>
      </c>
      <c r="D663" t="str">
        <f t="shared" ca="1" si="132"/>
        <v>Female</v>
      </c>
      <c r="E663" t="str">
        <f t="shared" ca="1" si="133"/>
        <v>Ethnic Wear</v>
      </c>
      <c r="F663">
        <f t="shared" ca="1" si="134"/>
        <v>4746</v>
      </c>
      <c r="G663">
        <f t="shared" ca="1" si="135"/>
        <v>10</v>
      </c>
      <c r="H663">
        <f t="shared" ca="1" si="136"/>
        <v>4271.4000000000005</v>
      </c>
      <c r="I663">
        <f t="shared" ca="1" si="137"/>
        <v>1</v>
      </c>
      <c r="J663">
        <f t="shared" ca="1" si="138"/>
        <v>1</v>
      </c>
      <c r="K663">
        <f t="shared" ca="1" si="139"/>
        <v>1</v>
      </c>
      <c r="L663">
        <f t="shared" ca="1" si="140"/>
        <v>4271.4000000000005</v>
      </c>
      <c r="M663">
        <f t="shared" ca="1" si="141"/>
        <v>7</v>
      </c>
      <c r="N663">
        <f t="shared" ca="1" si="142"/>
        <v>0</v>
      </c>
    </row>
    <row r="664" spans="1:14" x14ac:dyDescent="0.35">
      <c r="A664" t="s">
        <v>681</v>
      </c>
      <c r="B664" t="str">
        <f t="shared" si="130"/>
        <v>Control</v>
      </c>
      <c r="C664">
        <f t="shared" ca="1" si="131"/>
        <v>40</v>
      </c>
      <c r="D664" t="str">
        <f t="shared" ca="1" si="132"/>
        <v>Female</v>
      </c>
      <c r="E664" t="str">
        <f t="shared" ca="1" si="133"/>
        <v>T-shirts</v>
      </c>
      <c r="F664">
        <f t="shared" ca="1" si="134"/>
        <v>4173</v>
      </c>
      <c r="G664">
        <f t="shared" ca="1" si="135"/>
        <v>10</v>
      </c>
      <c r="H664">
        <f t="shared" ca="1" si="136"/>
        <v>3755.7000000000003</v>
      </c>
      <c r="I664">
        <f t="shared" ca="1" si="137"/>
        <v>1</v>
      </c>
      <c r="J664">
        <f t="shared" ca="1" si="138"/>
        <v>1</v>
      </c>
      <c r="K664">
        <f t="shared" ca="1" si="139"/>
        <v>0</v>
      </c>
      <c r="L664">
        <f t="shared" ca="1" si="140"/>
        <v>0</v>
      </c>
      <c r="M664">
        <f t="shared" ca="1" si="141"/>
        <v>1</v>
      </c>
      <c r="N664">
        <f t="shared" ca="1" si="142"/>
        <v>0</v>
      </c>
    </row>
    <row r="665" spans="1:14" x14ac:dyDescent="0.35">
      <c r="A665" t="s">
        <v>682</v>
      </c>
      <c r="B665" t="str">
        <f t="shared" si="130"/>
        <v>Control</v>
      </c>
      <c r="C665">
        <f t="shared" ca="1" si="131"/>
        <v>18</v>
      </c>
      <c r="D665" t="str">
        <f t="shared" ca="1" si="132"/>
        <v>Male</v>
      </c>
      <c r="E665" t="str">
        <f t="shared" ca="1" si="133"/>
        <v>Dresses</v>
      </c>
      <c r="F665">
        <f t="shared" ca="1" si="134"/>
        <v>6775</v>
      </c>
      <c r="G665">
        <f t="shared" ca="1" si="135"/>
        <v>10</v>
      </c>
      <c r="H665">
        <f t="shared" ca="1" si="136"/>
        <v>6097.5</v>
      </c>
      <c r="I665">
        <f t="shared" ca="1" si="137"/>
        <v>1</v>
      </c>
      <c r="J665">
        <f t="shared" ca="1" si="138"/>
        <v>1</v>
      </c>
      <c r="K665">
        <f t="shared" ca="1" si="139"/>
        <v>0</v>
      </c>
      <c r="L665">
        <f t="shared" ca="1" si="140"/>
        <v>0</v>
      </c>
      <c r="M665">
        <f t="shared" ca="1" si="141"/>
        <v>5</v>
      </c>
      <c r="N665">
        <f t="shared" ca="1" si="142"/>
        <v>0</v>
      </c>
    </row>
    <row r="666" spans="1:14" x14ac:dyDescent="0.35">
      <c r="A666" t="s">
        <v>683</v>
      </c>
      <c r="B666" t="str">
        <f t="shared" si="130"/>
        <v>Control</v>
      </c>
      <c r="C666">
        <f t="shared" ca="1" si="131"/>
        <v>22</v>
      </c>
      <c r="D666" t="str">
        <f t="shared" ca="1" si="132"/>
        <v>Female</v>
      </c>
      <c r="E666" t="str">
        <f t="shared" ca="1" si="133"/>
        <v>Shoes</v>
      </c>
      <c r="F666">
        <f t="shared" ca="1" si="134"/>
        <v>1440</v>
      </c>
      <c r="G666">
        <f t="shared" ca="1" si="135"/>
        <v>10</v>
      </c>
      <c r="H666">
        <f t="shared" ca="1" si="136"/>
        <v>1296</v>
      </c>
      <c r="I666">
        <f t="shared" ca="1" si="137"/>
        <v>1</v>
      </c>
      <c r="J666">
        <f t="shared" ca="1" si="138"/>
        <v>0</v>
      </c>
      <c r="K666">
        <f t="shared" ca="1" si="139"/>
        <v>0</v>
      </c>
      <c r="L666">
        <f t="shared" ca="1" si="140"/>
        <v>0</v>
      </c>
      <c r="M666">
        <f t="shared" ca="1" si="141"/>
        <v>6</v>
      </c>
      <c r="N666">
        <f t="shared" ca="1" si="142"/>
        <v>0</v>
      </c>
    </row>
    <row r="667" spans="1:14" x14ac:dyDescent="0.35">
      <c r="A667" t="s">
        <v>684</v>
      </c>
      <c r="B667" t="str">
        <f t="shared" si="130"/>
        <v>Control</v>
      </c>
      <c r="C667">
        <f t="shared" ca="1" si="131"/>
        <v>27</v>
      </c>
      <c r="D667" t="str">
        <f t="shared" ca="1" si="132"/>
        <v>Female</v>
      </c>
      <c r="E667" t="str">
        <f t="shared" ca="1" si="133"/>
        <v>Ethnic Wear</v>
      </c>
      <c r="F667">
        <f t="shared" ca="1" si="134"/>
        <v>3315</v>
      </c>
      <c r="G667">
        <f t="shared" ca="1" si="135"/>
        <v>10</v>
      </c>
      <c r="H667">
        <f t="shared" ca="1" si="136"/>
        <v>2983.5</v>
      </c>
      <c r="I667">
        <f t="shared" ca="1" si="137"/>
        <v>1</v>
      </c>
      <c r="J667">
        <f t="shared" ca="1" si="138"/>
        <v>1</v>
      </c>
      <c r="K667">
        <f t="shared" ca="1" si="139"/>
        <v>1</v>
      </c>
      <c r="L667">
        <f t="shared" ca="1" si="140"/>
        <v>2983.5</v>
      </c>
      <c r="M667">
        <f t="shared" ca="1" si="141"/>
        <v>7</v>
      </c>
      <c r="N667">
        <f t="shared" ca="1" si="142"/>
        <v>1</v>
      </c>
    </row>
    <row r="668" spans="1:14" x14ac:dyDescent="0.35">
      <c r="A668" t="s">
        <v>685</v>
      </c>
      <c r="B668" t="str">
        <f t="shared" si="130"/>
        <v>Control</v>
      </c>
      <c r="C668">
        <f t="shared" ca="1" si="131"/>
        <v>37</v>
      </c>
      <c r="D668" t="str">
        <f t="shared" ca="1" si="132"/>
        <v>Female</v>
      </c>
      <c r="E668" t="str">
        <f t="shared" ca="1" si="133"/>
        <v>Jeans</v>
      </c>
      <c r="F668">
        <f t="shared" ca="1" si="134"/>
        <v>5517</v>
      </c>
      <c r="G668">
        <f t="shared" ca="1" si="135"/>
        <v>10</v>
      </c>
      <c r="H668">
        <f t="shared" ca="1" si="136"/>
        <v>4965.3</v>
      </c>
      <c r="I668">
        <f t="shared" ca="1" si="137"/>
        <v>0</v>
      </c>
      <c r="J668">
        <f t="shared" ca="1" si="138"/>
        <v>0</v>
      </c>
      <c r="K668">
        <f t="shared" ca="1" si="139"/>
        <v>0</v>
      </c>
      <c r="L668">
        <f t="shared" ca="1" si="140"/>
        <v>0</v>
      </c>
      <c r="M668">
        <f t="shared" ca="1" si="141"/>
        <v>3</v>
      </c>
      <c r="N668">
        <f t="shared" ca="1" si="142"/>
        <v>0</v>
      </c>
    </row>
    <row r="669" spans="1:14" x14ac:dyDescent="0.35">
      <c r="A669" t="s">
        <v>686</v>
      </c>
      <c r="B669" t="str">
        <f t="shared" si="130"/>
        <v>Control</v>
      </c>
      <c r="C669">
        <f t="shared" ca="1" si="131"/>
        <v>35</v>
      </c>
      <c r="D669" t="str">
        <f t="shared" ca="1" si="132"/>
        <v>Other</v>
      </c>
      <c r="E669" t="str">
        <f t="shared" ca="1" si="133"/>
        <v>Shoes</v>
      </c>
      <c r="F669">
        <f t="shared" ca="1" si="134"/>
        <v>960</v>
      </c>
      <c r="G669">
        <f t="shared" ca="1" si="135"/>
        <v>10</v>
      </c>
      <c r="H669">
        <f t="shared" ca="1" si="136"/>
        <v>864</v>
      </c>
      <c r="I669">
        <f t="shared" ca="1" si="137"/>
        <v>1</v>
      </c>
      <c r="J669">
        <f t="shared" ca="1" si="138"/>
        <v>1</v>
      </c>
      <c r="K669">
        <f t="shared" ca="1" si="139"/>
        <v>0</v>
      </c>
      <c r="L669">
        <f t="shared" ca="1" si="140"/>
        <v>0</v>
      </c>
      <c r="M669">
        <f t="shared" ca="1" si="141"/>
        <v>7</v>
      </c>
      <c r="N669">
        <f t="shared" ca="1" si="142"/>
        <v>0</v>
      </c>
    </row>
    <row r="670" spans="1:14" x14ac:dyDescent="0.35">
      <c r="A670" t="s">
        <v>687</v>
      </c>
      <c r="B670" t="str">
        <f t="shared" si="130"/>
        <v>Control</v>
      </c>
      <c r="C670">
        <f t="shared" ca="1" si="131"/>
        <v>40</v>
      </c>
      <c r="D670" t="str">
        <f t="shared" ca="1" si="132"/>
        <v>Female</v>
      </c>
      <c r="E670" t="str">
        <f t="shared" ca="1" si="133"/>
        <v>Jeans</v>
      </c>
      <c r="F670">
        <f t="shared" ca="1" si="134"/>
        <v>2577</v>
      </c>
      <c r="G670">
        <f t="shared" ca="1" si="135"/>
        <v>10</v>
      </c>
      <c r="H670">
        <f t="shared" ca="1" si="136"/>
        <v>2319.3000000000002</v>
      </c>
      <c r="I670">
        <f t="shared" ca="1" si="137"/>
        <v>1</v>
      </c>
      <c r="J670">
        <f t="shared" ca="1" si="138"/>
        <v>0</v>
      </c>
      <c r="K670">
        <f t="shared" ca="1" si="139"/>
        <v>0</v>
      </c>
      <c r="L670">
        <f t="shared" ca="1" si="140"/>
        <v>0</v>
      </c>
      <c r="M670">
        <f t="shared" ca="1" si="141"/>
        <v>6</v>
      </c>
      <c r="N670">
        <f t="shared" ca="1" si="142"/>
        <v>0</v>
      </c>
    </row>
    <row r="671" spans="1:14" x14ac:dyDescent="0.35">
      <c r="A671" t="s">
        <v>688</v>
      </c>
      <c r="B671" t="str">
        <f t="shared" si="130"/>
        <v>Control</v>
      </c>
      <c r="C671">
        <f t="shared" ca="1" si="131"/>
        <v>28</v>
      </c>
      <c r="D671" t="str">
        <f t="shared" ca="1" si="132"/>
        <v>Male</v>
      </c>
      <c r="E671" t="str">
        <f t="shared" ca="1" si="133"/>
        <v>Dresses</v>
      </c>
      <c r="F671">
        <f t="shared" ca="1" si="134"/>
        <v>1496</v>
      </c>
      <c r="G671">
        <f t="shared" ca="1" si="135"/>
        <v>10</v>
      </c>
      <c r="H671">
        <f t="shared" ca="1" si="136"/>
        <v>1346.4</v>
      </c>
      <c r="I671">
        <f t="shared" ca="1" si="137"/>
        <v>1</v>
      </c>
      <c r="J671">
        <f t="shared" ca="1" si="138"/>
        <v>0</v>
      </c>
      <c r="K671">
        <f t="shared" ca="1" si="139"/>
        <v>0</v>
      </c>
      <c r="L671">
        <f t="shared" ca="1" si="140"/>
        <v>0</v>
      </c>
      <c r="M671">
        <f t="shared" ca="1" si="141"/>
        <v>6</v>
      </c>
      <c r="N671">
        <f t="shared" ca="1" si="142"/>
        <v>0</v>
      </c>
    </row>
    <row r="672" spans="1:14" x14ac:dyDescent="0.35">
      <c r="A672" t="s">
        <v>689</v>
      </c>
      <c r="B672" t="str">
        <f t="shared" si="130"/>
        <v>Control</v>
      </c>
      <c r="C672">
        <f t="shared" ca="1" si="131"/>
        <v>43</v>
      </c>
      <c r="D672" t="str">
        <f t="shared" ca="1" si="132"/>
        <v>Female</v>
      </c>
      <c r="E672" t="str">
        <f t="shared" ca="1" si="133"/>
        <v>Dresses</v>
      </c>
      <c r="F672">
        <f t="shared" ca="1" si="134"/>
        <v>2922</v>
      </c>
      <c r="G672">
        <f t="shared" ca="1" si="135"/>
        <v>10</v>
      </c>
      <c r="H672">
        <f t="shared" ca="1" si="136"/>
        <v>2629.8</v>
      </c>
      <c r="I672">
        <f t="shared" ca="1" si="137"/>
        <v>1</v>
      </c>
      <c r="J672">
        <f t="shared" ca="1" si="138"/>
        <v>0</v>
      </c>
      <c r="K672">
        <f t="shared" ca="1" si="139"/>
        <v>0</v>
      </c>
      <c r="L672">
        <f t="shared" ca="1" si="140"/>
        <v>0</v>
      </c>
      <c r="M672">
        <f t="shared" ca="1" si="141"/>
        <v>4</v>
      </c>
      <c r="N672">
        <f t="shared" ca="1" si="142"/>
        <v>0</v>
      </c>
    </row>
    <row r="673" spans="1:14" x14ac:dyDescent="0.35">
      <c r="A673" t="s">
        <v>690</v>
      </c>
      <c r="B673" t="str">
        <f t="shared" si="130"/>
        <v>Control</v>
      </c>
      <c r="C673">
        <f t="shared" ca="1" si="131"/>
        <v>27</v>
      </c>
      <c r="D673" t="str">
        <f t="shared" ca="1" si="132"/>
        <v>Male</v>
      </c>
      <c r="E673" t="str">
        <f t="shared" ca="1" si="133"/>
        <v>Accessories</v>
      </c>
      <c r="F673">
        <f t="shared" ca="1" si="134"/>
        <v>7994</v>
      </c>
      <c r="G673">
        <f t="shared" ca="1" si="135"/>
        <v>10</v>
      </c>
      <c r="H673">
        <f t="shared" ca="1" si="136"/>
        <v>7194.6</v>
      </c>
      <c r="I673">
        <f t="shared" ca="1" si="137"/>
        <v>1</v>
      </c>
      <c r="J673">
        <f t="shared" ca="1" si="138"/>
        <v>1</v>
      </c>
      <c r="K673">
        <f t="shared" ca="1" si="139"/>
        <v>0</v>
      </c>
      <c r="L673">
        <f t="shared" ca="1" si="140"/>
        <v>0</v>
      </c>
      <c r="M673">
        <f t="shared" ca="1" si="141"/>
        <v>4</v>
      </c>
      <c r="N673">
        <f t="shared" ca="1" si="142"/>
        <v>0</v>
      </c>
    </row>
    <row r="674" spans="1:14" x14ac:dyDescent="0.35">
      <c r="A674" t="s">
        <v>691</v>
      </c>
      <c r="B674" t="str">
        <f t="shared" si="130"/>
        <v>Control</v>
      </c>
      <c r="C674">
        <f t="shared" ca="1" si="131"/>
        <v>43</v>
      </c>
      <c r="D674" t="str">
        <f t="shared" ca="1" si="132"/>
        <v>Male</v>
      </c>
      <c r="E674" t="str">
        <f t="shared" ca="1" si="133"/>
        <v>T-shirts</v>
      </c>
      <c r="F674">
        <f t="shared" ca="1" si="134"/>
        <v>5033</v>
      </c>
      <c r="G674">
        <f t="shared" ca="1" si="135"/>
        <v>10</v>
      </c>
      <c r="H674">
        <f t="shared" ca="1" si="136"/>
        <v>4529.7</v>
      </c>
      <c r="I674">
        <f t="shared" ca="1" si="137"/>
        <v>0</v>
      </c>
      <c r="J674">
        <f t="shared" ca="1" si="138"/>
        <v>0</v>
      </c>
      <c r="K674">
        <f t="shared" ca="1" si="139"/>
        <v>0</v>
      </c>
      <c r="L674">
        <f t="shared" ca="1" si="140"/>
        <v>0</v>
      </c>
      <c r="M674">
        <f t="shared" ca="1" si="141"/>
        <v>3</v>
      </c>
      <c r="N674">
        <f t="shared" ca="1" si="142"/>
        <v>0</v>
      </c>
    </row>
    <row r="675" spans="1:14" x14ac:dyDescent="0.35">
      <c r="A675" t="s">
        <v>692</v>
      </c>
      <c r="B675" t="str">
        <f t="shared" si="130"/>
        <v>Control</v>
      </c>
      <c r="C675">
        <f t="shared" ca="1" si="131"/>
        <v>30</v>
      </c>
      <c r="D675" t="str">
        <f t="shared" ca="1" si="132"/>
        <v>Other</v>
      </c>
      <c r="E675" t="str">
        <f t="shared" ca="1" si="133"/>
        <v>Shoes</v>
      </c>
      <c r="F675">
        <f t="shared" ca="1" si="134"/>
        <v>6014</v>
      </c>
      <c r="G675">
        <f t="shared" ca="1" si="135"/>
        <v>10</v>
      </c>
      <c r="H675">
        <f t="shared" ca="1" si="136"/>
        <v>5412.6</v>
      </c>
      <c r="I675">
        <f t="shared" ca="1" si="137"/>
        <v>1</v>
      </c>
      <c r="J675">
        <f t="shared" ca="1" si="138"/>
        <v>1</v>
      </c>
      <c r="K675">
        <f t="shared" ca="1" si="139"/>
        <v>0</v>
      </c>
      <c r="L675">
        <f t="shared" ca="1" si="140"/>
        <v>0</v>
      </c>
      <c r="M675">
        <f t="shared" ca="1" si="141"/>
        <v>1</v>
      </c>
      <c r="N675">
        <f t="shared" ca="1" si="142"/>
        <v>0</v>
      </c>
    </row>
    <row r="676" spans="1:14" x14ac:dyDescent="0.35">
      <c r="A676" t="s">
        <v>693</v>
      </c>
      <c r="B676" t="str">
        <f t="shared" si="130"/>
        <v>Control</v>
      </c>
      <c r="C676">
        <f t="shared" ca="1" si="131"/>
        <v>21</v>
      </c>
      <c r="D676" t="str">
        <f t="shared" ca="1" si="132"/>
        <v>Male</v>
      </c>
      <c r="E676" t="str">
        <f t="shared" ca="1" si="133"/>
        <v>T-shirts</v>
      </c>
      <c r="F676">
        <f t="shared" ca="1" si="134"/>
        <v>5958</v>
      </c>
      <c r="G676">
        <f t="shared" ca="1" si="135"/>
        <v>10</v>
      </c>
      <c r="H676">
        <f t="shared" ca="1" si="136"/>
        <v>5362.2</v>
      </c>
      <c r="I676">
        <f t="shared" ca="1" si="137"/>
        <v>1</v>
      </c>
      <c r="J676">
        <f t="shared" ca="1" si="138"/>
        <v>1</v>
      </c>
      <c r="K676">
        <f t="shared" ca="1" si="139"/>
        <v>1</v>
      </c>
      <c r="L676">
        <f t="shared" ca="1" si="140"/>
        <v>5362.2</v>
      </c>
      <c r="M676">
        <f t="shared" ca="1" si="141"/>
        <v>6</v>
      </c>
      <c r="N676">
        <f t="shared" ca="1" si="142"/>
        <v>0</v>
      </c>
    </row>
    <row r="677" spans="1:14" x14ac:dyDescent="0.35">
      <c r="A677" t="s">
        <v>694</v>
      </c>
      <c r="B677" t="str">
        <f t="shared" si="130"/>
        <v>Control</v>
      </c>
      <c r="C677">
        <f t="shared" ca="1" si="131"/>
        <v>44</v>
      </c>
      <c r="D677" t="str">
        <f t="shared" ca="1" si="132"/>
        <v>Female</v>
      </c>
      <c r="E677" t="str">
        <f t="shared" ca="1" si="133"/>
        <v>T-shirts</v>
      </c>
      <c r="F677">
        <f t="shared" ca="1" si="134"/>
        <v>582</v>
      </c>
      <c r="G677">
        <f t="shared" ca="1" si="135"/>
        <v>10</v>
      </c>
      <c r="H677">
        <f t="shared" ca="1" si="136"/>
        <v>523.80000000000007</v>
      </c>
      <c r="I677">
        <f t="shared" ca="1" si="137"/>
        <v>1</v>
      </c>
      <c r="J677">
        <f t="shared" ca="1" si="138"/>
        <v>1</v>
      </c>
      <c r="K677">
        <f t="shared" ca="1" si="139"/>
        <v>0</v>
      </c>
      <c r="L677">
        <f t="shared" ca="1" si="140"/>
        <v>0</v>
      </c>
      <c r="M677">
        <f t="shared" ca="1" si="141"/>
        <v>6</v>
      </c>
      <c r="N677">
        <f t="shared" ca="1" si="142"/>
        <v>0</v>
      </c>
    </row>
    <row r="678" spans="1:14" x14ac:dyDescent="0.35">
      <c r="A678" t="s">
        <v>695</v>
      </c>
      <c r="B678" t="str">
        <f t="shared" si="130"/>
        <v>Control</v>
      </c>
      <c r="C678">
        <f t="shared" ca="1" si="131"/>
        <v>44</v>
      </c>
      <c r="D678" t="str">
        <f t="shared" ca="1" si="132"/>
        <v>Male</v>
      </c>
      <c r="E678" t="str">
        <f t="shared" ca="1" si="133"/>
        <v>Dresses</v>
      </c>
      <c r="F678">
        <f t="shared" ca="1" si="134"/>
        <v>1628</v>
      </c>
      <c r="G678">
        <f t="shared" ca="1" si="135"/>
        <v>10</v>
      </c>
      <c r="H678">
        <f t="shared" ca="1" si="136"/>
        <v>1465.2</v>
      </c>
      <c r="I678">
        <f t="shared" ca="1" si="137"/>
        <v>1</v>
      </c>
      <c r="J678">
        <f t="shared" ca="1" si="138"/>
        <v>0</v>
      </c>
      <c r="K678">
        <f t="shared" ca="1" si="139"/>
        <v>0</v>
      </c>
      <c r="L678">
        <f t="shared" ca="1" si="140"/>
        <v>0</v>
      </c>
      <c r="M678">
        <f t="shared" ca="1" si="141"/>
        <v>4</v>
      </c>
      <c r="N678">
        <f t="shared" ca="1" si="142"/>
        <v>0</v>
      </c>
    </row>
    <row r="679" spans="1:14" x14ac:dyDescent="0.35">
      <c r="A679" t="s">
        <v>696</v>
      </c>
      <c r="B679" t="str">
        <f t="shared" si="130"/>
        <v>Control</v>
      </c>
      <c r="C679">
        <f t="shared" ca="1" si="131"/>
        <v>39</v>
      </c>
      <c r="D679" t="str">
        <f t="shared" ca="1" si="132"/>
        <v>Female</v>
      </c>
      <c r="E679" t="str">
        <f t="shared" ca="1" si="133"/>
        <v>T-shirts</v>
      </c>
      <c r="F679">
        <f t="shared" ca="1" si="134"/>
        <v>1631</v>
      </c>
      <c r="G679">
        <f t="shared" ca="1" si="135"/>
        <v>10</v>
      </c>
      <c r="H679">
        <f t="shared" ca="1" si="136"/>
        <v>1467.9</v>
      </c>
      <c r="I679">
        <f t="shared" ca="1" si="137"/>
        <v>1</v>
      </c>
      <c r="J679">
        <f t="shared" ca="1" si="138"/>
        <v>1</v>
      </c>
      <c r="K679">
        <f t="shared" ca="1" si="139"/>
        <v>0</v>
      </c>
      <c r="L679">
        <f t="shared" ca="1" si="140"/>
        <v>0</v>
      </c>
      <c r="M679">
        <f t="shared" ca="1" si="141"/>
        <v>3</v>
      </c>
      <c r="N679">
        <f t="shared" ca="1" si="142"/>
        <v>0</v>
      </c>
    </row>
    <row r="680" spans="1:14" x14ac:dyDescent="0.35">
      <c r="A680" t="s">
        <v>697</v>
      </c>
      <c r="B680" t="str">
        <f t="shared" si="130"/>
        <v>Control</v>
      </c>
      <c r="C680">
        <f t="shared" ca="1" si="131"/>
        <v>40</v>
      </c>
      <c r="D680" t="str">
        <f t="shared" ca="1" si="132"/>
        <v>Male</v>
      </c>
      <c r="E680" t="str">
        <f t="shared" ca="1" si="133"/>
        <v>T-shirts</v>
      </c>
      <c r="F680">
        <f t="shared" ca="1" si="134"/>
        <v>5137</v>
      </c>
      <c r="G680">
        <f t="shared" ca="1" si="135"/>
        <v>10</v>
      </c>
      <c r="H680">
        <f t="shared" ca="1" si="136"/>
        <v>4623.3</v>
      </c>
      <c r="I680">
        <f t="shared" ca="1" si="137"/>
        <v>1</v>
      </c>
      <c r="J680">
        <f t="shared" ca="1" si="138"/>
        <v>1</v>
      </c>
      <c r="K680">
        <f t="shared" ca="1" si="139"/>
        <v>1</v>
      </c>
      <c r="L680">
        <f t="shared" ca="1" si="140"/>
        <v>4623.3</v>
      </c>
      <c r="M680">
        <f t="shared" ca="1" si="141"/>
        <v>2</v>
      </c>
      <c r="N680">
        <f t="shared" ca="1" si="142"/>
        <v>0</v>
      </c>
    </row>
    <row r="681" spans="1:14" x14ac:dyDescent="0.35">
      <c r="A681" t="s">
        <v>698</v>
      </c>
      <c r="B681" t="str">
        <f t="shared" si="130"/>
        <v>Control</v>
      </c>
      <c r="C681">
        <f t="shared" ca="1" si="131"/>
        <v>20</v>
      </c>
      <c r="D681" t="str">
        <f t="shared" ca="1" si="132"/>
        <v>Male</v>
      </c>
      <c r="E681" t="str">
        <f t="shared" ca="1" si="133"/>
        <v>T-shirts</v>
      </c>
      <c r="F681">
        <f t="shared" ca="1" si="134"/>
        <v>4544</v>
      </c>
      <c r="G681">
        <f t="shared" ca="1" si="135"/>
        <v>10</v>
      </c>
      <c r="H681">
        <f t="shared" ca="1" si="136"/>
        <v>4089.6</v>
      </c>
      <c r="I681">
        <f t="shared" ca="1" si="137"/>
        <v>0</v>
      </c>
      <c r="J681">
        <f t="shared" ca="1" si="138"/>
        <v>0</v>
      </c>
      <c r="K681">
        <f t="shared" ca="1" si="139"/>
        <v>0</v>
      </c>
      <c r="L681">
        <f t="shared" ca="1" si="140"/>
        <v>0</v>
      </c>
      <c r="M681">
        <f t="shared" ca="1" si="141"/>
        <v>3</v>
      </c>
      <c r="N681">
        <f t="shared" ca="1" si="142"/>
        <v>0</v>
      </c>
    </row>
    <row r="682" spans="1:14" x14ac:dyDescent="0.35">
      <c r="A682" t="s">
        <v>699</v>
      </c>
      <c r="B682" t="str">
        <f t="shared" si="130"/>
        <v>Control</v>
      </c>
      <c r="C682">
        <f t="shared" ca="1" si="131"/>
        <v>21</v>
      </c>
      <c r="D682" t="str">
        <f t="shared" ca="1" si="132"/>
        <v>Male</v>
      </c>
      <c r="E682" t="str">
        <f t="shared" ca="1" si="133"/>
        <v>T-shirts</v>
      </c>
      <c r="F682">
        <f t="shared" ca="1" si="134"/>
        <v>5601</v>
      </c>
      <c r="G682">
        <f t="shared" ca="1" si="135"/>
        <v>10</v>
      </c>
      <c r="H682">
        <f t="shared" ca="1" si="136"/>
        <v>5040.9000000000005</v>
      </c>
      <c r="I682">
        <f t="shared" ca="1" si="137"/>
        <v>0</v>
      </c>
      <c r="J682">
        <f t="shared" ca="1" si="138"/>
        <v>0</v>
      </c>
      <c r="K682">
        <f t="shared" ca="1" si="139"/>
        <v>0</v>
      </c>
      <c r="L682">
        <f t="shared" ca="1" si="140"/>
        <v>0</v>
      </c>
      <c r="M682">
        <f t="shared" ca="1" si="141"/>
        <v>5</v>
      </c>
      <c r="N682">
        <f t="shared" ca="1" si="142"/>
        <v>0</v>
      </c>
    </row>
    <row r="683" spans="1:14" x14ac:dyDescent="0.35">
      <c r="A683" t="s">
        <v>700</v>
      </c>
      <c r="B683" t="str">
        <f t="shared" si="130"/>
        <v>Control</v>
      </c>
      <c r="C683">
        <f t="shared" ca="1" si="131"/>
        <v>25</v>
      </c>
      <c r="D683" t="str">
        <f t="shared" ca="1" si="132"/>
        <v>Female</v>
      </c>
      <c r="E683" t="str">
        <f t="shared" ca="1" si="133"/>
        <v>Accessories</v>
      </c>
      <c r="F683">
        <f t="shared" ca="1" si="134"/>
        <v>5638</v>
      </c>
      <c r="G683">
        <f t="shared" ca="1" si="135"/>
        <v>10</v>
      </c>
      <c r="H683">
        <f t="shared" ca="1" si="136"/>
        <v>5074.2</v>
      </c>
      <c r="I683">
        <f t="shared" ca="1" si="137"/>
        <v>1</v>
      </c>
      <c r="J683">
        <f t="shared" ca="1" si="138"/>
        <v>0</v>
      </c>
      <c r="K683">
        <f t="shared" ca="1" si="139"/>
        <v>0</v>
      </c>
      <c r="L683">
        <f t="shared" ca="1" si="140"/>
        <v>0</v>
      </c>
      <c r="M683">
        <f t="shared" ca="1" si="141"/>
        <v>4</v>
      </c>
      <c r="N683">
        <f t="shared" ca="1" si="142"/>
        <v>0</v>
      </c>
    </row>
    <row r="684" spans="1:14" x14ac:dyDescent="0.35">
      <c r="A684" t="s">
        <v>701</v>
      </c>
      <c r="B684" t="str">
        <f t="shared" si="130"/>
        <v>Control</v>
      </c>
      <c r="C684">
        <f t="shared" ca="1" si="131"/>
        <v>25</v>
      </c>
      <c r="D684" t="str">
        <f t="shared" ca="1" si="132"/>
        <v>Male</v>
      </c>
      <c r="E684" t="str">
        <f t="shared" ca="1" si="133"/>
        <v>T-shirts</v>
      </c>
      <c r="F684">
        <f t="shared" ca="1" si="134"/>
        <v>1870</v>
      </c>
      <c r="G684">
        <f t="shared" ca="1" si="135"/>
        <v>10</v>
      </c>
      <c r="H684">
        <f t="shared" ca="1" si="136"/>
        <v>1683</v>
      </c>
      <c r="I684">
        <f t="shared" ca="1" si="137"/>
        <v>1</v>
      </c>
      <c r="J684">
        <f t="shared" ca="1" si="138"/>
        <v>1</v>
      </c>
      <c r="K684">
        <f t="shared" ca="1" si="139"/>
        <v>1</v>
      </c>
      <c r="L684">
        <f t="shared" ca="1" si="140"/>
        <v>1683</v>
      </c>
      <c r="M684">
        <f t="shared" ca="1" si="141"/>
        <v>1</v>
      </c>
      <c r="N684">
        <f t="shared" ca="1" si="142"/>
        <v>0</v>
      </c>
    </row>
    <row r="685" spans="1:14" x14ac:dyDescent="0.35">
      <c r="A685" t="s">
        <v>702</v>
      </c>
      <c r="B685" t="str">
        <f t="shared" si="130"/>
        <v>Control</v>
      </c>
      <c r="C685">
        <f t="shared" ca="1" si="131"/>
        <v>38</v>
      </c>
      <c r="D685" t="str">
        <f t="shared" ca="1" si="132"/>
        <v>Female</v>
      </c>
      <c r="E685" t="str">
        <f t="shared" ca="1" si="133"/>
        <v>Sportswear</v>
      </c>
      <c r="F685">
        <f t="shared" ca="1" si="134"/>
        <v>3381</v>
      </c>
      <c r="G685">
        <f t="shared" ca="1" si="135"/>
        <v>10</v>
      </c>
      <c r="H685">
        <f t="shared" ca="1" si="136"/>
        <v>3042.9</v>
      </c>
      <c r="I685">
        <f t="shared" ca="1" si="137"/>
        <v>1</v>
      </c>
      <c r="J685">
        <f t="shared" ca="1" si="138"/>
        <v>0</v>
      </c>
      <c r="K685">
        <f t="shared" ca="1" si="139"/>
        <v>0</v>
      </c>
      <c r="L685">
        <f t="shared" ca="1" si="140"/>
        <v>0</v>
      </c>
      <c r="M685">
        <f t="shared" ca="1" si="141"/>
        <v>4</v>
      </c>
      <c r="N685">
        <f t="shared" ca="1" si="142"/>
        <v>0</v>
      </c>
    </row>
    <row r="686" spans="1:14" x14ac:dyDescent="0.35">
      <c r="A686" t="s">
        <v>703</v>
      </c>
      <c r="B686" t="str">
        <f t="shared" si="130"/>
        <v>Control</v>
      </c>
      <c r="C686">
        <f t="shared" ca="1" si="131"/>
        <v>28</v>
      </c>
      <c r="D686" t="str">
        <f t="shared" ca="1" si="132"/>
        <v>Male</v>
      </c>
      <c r="E686" t="str">
        <f t="shared" ca="1" si="133"/>
        <v>Ethnic Wear</v>
      </c>
      <c r="F686">
        <f t="shared" ca="1" si="134"/>
        <v>5193</v>
      </c>
      <c r="G686">
        <f t="shared" ca="1" si="135"/>
        <v>10</v>
      </c>
      <c r="H686">
        <f t="shared" ca="1" si="136"/>
        <v>4673.7</v>
      </c>
      <c r="I686">
        <f t="shared" ca="1" si="137"/>
        <v>1</v>
      </c>
      <c r="J686">
        <f t="shared" ca="1" si="138"/>
        <v>1</v>
      </c>
      <c r="K686">
        <f t="shared" ca="1" si="139"/>
        <v>1</v>
      </c>
      <c r="L686">
        <f t="shared" ca="1" si="140"/>
        <v>4673.7</v>
      </c>
      <c r="M686">
        <f t="shared" ca="1" si="141"/>
        <v>7</v>
      </c>
      <c r="N686">
        <f t="shared" ca="1" si="142"/>
        <v>0</v>
      </c>
    </row>
    <row r="687" spans="1:14" x14ac:dyDescent="0.35">
      <c r="A687" t="s">
        <v>704</v>
      </c>
      <c r="B687" t="str">
        <f t="shared" si="130"/>
        <v>Control</v>
      </c>
      <c r="C687">
        <f t="shared" ca="1" si="131"/>
        <v>41</v>
      </c>
      <c r="D687" t="str">
        <f t="shared" ca="1" si="132"/>
        <v>Male</v>
      </c>
      <c r="E687" t="str">
        <f t="shared" ca="1" si="133"/>
        <v>Dresses</v>
      </c>
      <c r="F687">
        <f t="shared" ca="1" si="134"/>
        <v>4769</v>
      </c>
      <c r="G687">
        <f t="shared" ca="1" si="135"/>
        <v>10</v>
      </c>
      <c r="H687">
        <f t="shared" ca="1" si="136"/>
        <v>4292.1000000000004</v>
      </c>
      <c r="I687">
        <f t="shared" ca="1" si="137"/>
        <v>1</v>
      </c>
      <c r="J687">
        <f t="shared" ca="1" si="138"/>
        <v>0</v>
      </c>
      <c r="K687">
        <f t="shared" ca="1" si="139"/>
        <v>0</v>
      </c>
      <c r="L687">
        <f t="shared" ca="1" si="140"/>
        <v>0</v>
      </c>
      <c r="M687">
        <f t="shared" ca="1" si="141"/>
        <v>2</v>
      </c>
      <c r="N687">
        <f t="shared" ca="1" si="142"/>
        <v>0</v>
      </c>
    </row>
    <row r="688" spans="1:14" x14ac:dyDescent="0.35">
      <c r="A688" t="s">
        <v>705</v>
      </c>
      <c r="B688" t="str">
        <f t="shared" si="130"/>
        <v>Control</v>
      </c>
      <c r="C688">
        <f t="shared" ca="1" si="131"/>
        <v>41</v>
      </c>
      <c r="D688" t="str">
        <f t="shared" ca="1" si="132"/>
        <v>Male</v>
      </c>
      <c r="E688" t="str">
        <f t="shared" ca="1" si="133"/>
        <v>Jeans</v>
      </c>
      <c r="F688">
        <f t="shared" ca="1" si="134"/>
        <v>6462</v>
      </c>
      <c r="G688">
        <f t="shared" ca="1" si="135"/>
        <v>10</v>
      </c>
      <c r="H688">
        <f t="shared" ca="1" si="136"/>
        <v>5815.8</v>
      </c>
      <c r="I688">
        <f t="shared" ca="1" si="137"/>
        <v>0</v>
      </c>
      <c r="J688">
        <f t="shared" ca="1" si="138"/>
        <v>0</v>
      </c>
      <c r="K688">
        <f t="shared" ca="1" si="139"/>
        <v>0</v>
      </c>
      <c r="L688">
        <f t="shared" ca="1" si="140"/>
        <v>0</v>
      </c>
      <c r="M688">
        <f t="shared" ca="1" si="141"/>
        <v>5</v>
      </c>
      <c r="N688">
        <f t="shared" ca="1" si="142"/>
        <v>0</v>
      </c>
    </row>
    <row r="689" spans="1:14" x14ac:dyDescent="0.35">
      <c r="A689" t="s">
        <v>706</v>
      </c>
      <c r="B689" t="str">
        <f t="shared" si="130"/>
        <v>Control</v>
      </c>
      <c r="C689">
        <f t="shared" ca="1" si="131"/>
        <v>35</v>
      </c>
      <c r="D689" t="str">
        <f t="shared" ca="1" si="132"/>
        <v>Female</v>
      </c>
      <c r="E689" t="str">
        <f t="shared" ca="1" si="133"/>
        <v>T-shirts</v>
      </c>
      <c r="F689">
        <f t="shared" ca="1" si="134"/>
        <v>1195</v>
      </c>
      <c r="G689">
        <f t="shared" ca="1" si="135"/>
        <v>10</v>
      </c>
      <c r="H689">
        <f t="shared" ca="1" si="136"/>
        <v>1075.5</v>
      </c>
      <c r="I689">
        <f t="shared" ca="1" si="137"/>
        <v>0</v>
      </c>
      <c r="J689">
        <f t="shared" ca="1" si="138"/>
        <v>0</v>
      </c>
      <c r="K689">
        <f t="shared" ca="1" si="139"/>
        <v>0</v>
      </c>
      <c r="L689">
        <f t="shared" ca="1" si="140"/>
        <v>0</v>
      </c>
      <c r="M689">
        <f t="shared" ca="1" si="141"/>
        <v>6</v>
      </c>
      <c r="N689">
        <f t="shared" ca="1" si="142"/>
        <v>0</v>
      </c>
    </row>
    <row r="690" spans="1:14" x14ac:dyDescent="0.35">
      <c r="A690" t="s">
        <v>707</v>
      </c>
      <c r="B690" t="str">
        <f t="shared" si="130"/>
        <v>Control</v>
      </c>
      <c r="C690">
        <f t="shared" ca="1" si="131"/>
        <v>35</v>
      </c>
      <c r="D690" t="str">
        <f t="shared" ca="1" si="132"/>
        <v>Male</v>
      </c>
      <c r="E690" t="str">
        <f t="shared" ca="1" si="133"/>
        <v>Jeans</v>
      </c>
      <c r="F690">
        <f t="shared" ca="1" si="134"/>
        <v>633</v>
      </c>
      <c r="G690">
        <f t="shared" ca="1" si="135"/>
        <v>10</v>
      </c>
      <c r="H690">
        <f t="shared" ca="1" si="136"/>
        <v>569.70000000000005</v>
      </c>
      <c r="I690">
        <f t="shared" ca="1" si="137"/>
        <v>1</v>
      </c>
      <c r="J690">
        <f t="shared" ca="1" si="138"/>
        <v>1</v>
      </c>
      <c r="K690">
        <f t="shared" ca="1" si="139"/>
        <v>0</v>
      </c>
      <c r="L690">
        <f t="shared" ca="1" si="140"/>
        <v>0</v>
      </c>
      <c r="M690">
        <f t="shared" ca="1" si="141"/>
        <v>4</v>
      </c>
      <c r="N690">
        <f t="shared" ca="1" si="142"/>
        <v>0</v>
      </c>
    </row>
    <row r="691" spans="1:14" x14ac:dyDescent="0.35">
      <c r="A691" t="s">
        <v>708</v>
      </c>
      <c r="B691" t="str">
        <f t="shared" si="130"/>
        <v>Control</v>
      </c>
      <c r="C691">
        <f t="shared" ca="1" si="131"/>
        <v>20</v>
      </c>
      <c r="D691" t="str">
        <f t="shared" ca="1" si="132"/>
        <v>Other</v>
      </c>
      <c r="E691" t="str">
        <f t="shared" ca="1" si="133"/>
        <v>Jeans</v>
      </c>
      <c r="F691">
        <f t="shared" ca="1" si="134"/>
        <v>5229</v>
      </c>
      <c r="G691">
        <f t="shared" ca="1" si="135"/>
        <v>10</v>
      </c>
      <c r="H691">
        <f t="shared" ca="1" si="136"/>
        <v>4706.1000000000004</v>
      </c>
      <c r="I691">
        <f t="shared" ca="1" si="137"/>
        <v>0</v>
      </c>
      <c r="J691">
        <f t="shared" ca="1" si="138"/>
        <v>0</v>
      </c>
      <c r="K691">
        <f t="shared" ca="1" si="139"/>
        <v>0</v>
      </c>
      <c r="L691">
        <f t="shared" ca="1" si="140"/>
        <v>0</v>
      </c>
      <c r="M691">
        <f t="shared" ca="1" si="141"/>
        <v>4</v>
      </c>
      <c r="N691">
        <f t="shared" ca="1" si="142"/>
        <v>0</v>
      </c>
    </row>
    <row r="692" spans="1:14" x14ac:dyDescent="0.35">
      <c r="A692" t="s">
        <v>709</v>
      </c>
      <c r="B692" t="str">
        <f t="shared" si="130"/>
        <v>Control</v>
      </c>
      <c r="C692">
        <f t="shared" ca="1" si="131"/>
        <v>39</v>
      </c>
      <c r="D692" t="str">
        <f t="shared" ca="1" si="132"/>
        <v>Male</v>
      </c>
      <c r="E692" t="str">
        <f t="shared" ca="1" si="133"/>
        <v>Dresses</v>
      </c>
      <c r="F692">
        <f t="shared" ca="1" si="134"/>
        <v>2989</v>
      </c>
      <c r="G692">
        <f t="shared" ca="1" si="135"/>
        <v>10</v>
      </c>
      <c r="H692">
        <f t="shared" ca="1" si="136"/>
        <v>2690.1</v>
      </c>
      <c r="I692">
        <f t="shared" ca="1" si="137"/>
        <v>0</v>
      </c>
      <c r="J692">
        <f t="shared" ca="1" si="138"/>
        <v>0</v>
      </c>
      <c r="K692">
        <f t="shared" ca="1" si="139"/>
        <v>0</v>
      </c>
      <c r="L692">
        <f t="shared" ca="1" si="140"/>
        <v>0</v>
      </c>
      <c r="M692">
        <f t="shared" ca="1" si="141"/>
        <v>5</v>
      </c>
      <c r="N692">
        <f t="shared" ca="1" si="142"/>
        <v>0</v>
      </c>
    </row>
    <row r="693" spans="1:14" x14ac:dyDescent="0.35">
      <c r="A693" t="s">
        <v>710</v>
      </c>
      <c r="B693" t="str">
        <f t="shared" si="130"/>
        <v>Control</v>
      </c>
      <c r="C693">
        <f t="shared" ca="1" si="131"/>
        <v>34</v>
      </c>
      <c r="D693" t="str">
        <f t="shared" ca="1" si="132"/>
        <v>Female</v>
      </c>
      <c r="E693" t="str">
        <f t="shared" ca="1" si="133"/>
        <v>Ethnic Wear</v>
      </c>
      <c r="F693">
        <f t="shared" ca="1" si="134"/>
        <v>3598</v>
      </c>
      <c r="G693">
        <f t="shared" ca="1" si="135"/>
        <v>10</v>
      </c>
      <c r="H693">
        <f t="shared" ca="1" si="136"/>
        <v>3238.2000000000003</v>
      </c>
      <c r="I693">
        <f t="shared" ca="1" si="137"/>
        <v>1</v>
      </c>
      <c r="J693">
        <f t="shared" ca="1" si="138"/>
        <v>1</v>
      </c>
      <c r="K693">
        <f t="shared" ca="1" si="139"/>
        <v>0</v>
      </c>
      <c r="L693">
        <f t="shared" ca="1" si="140"/>
        <v>0</v>
      </c>
      <c r="M693">
        <f t="shared" ca="1" si="141"/>
        <v>5</v>
      </c>
      <c r="N693">
        <f t="shared" ca="1" si="142"/>
        <v>0</v>
      </c>
    </row>
    <row r="694" spans="1:14" x14ac:dyDescent="0.35">
      <c r="A694" t="s">
        <v>711</v>
      </c>
      <c r="B694" t="str">
        <f t="shared" si="130"/>
        <v>Control</v>
      </c>
      <c r="C694">
        <f t="shared" ca="1" si="131"/>
        <v>23</v>
      </c>
      <c r="D694" t="str">
        <f t="shared" ca="1" si="132"/>
        <v>Male</v>
      </c>
      <c r="E694" t="str">
        <f t="shared" ca="1" si="133"/>
        <v>T-shirts</v>
      </c>
      <c r="F694">
        <f t="shared" ca="1" si="134"/>
        <v>1577</v>
      </c>
      <c r="G694">
        <f t="shared" ca="1" si="135"/>
        <v>10</v>
      </c>
      <c r="H694">
        <f t="shared" ca="1" si="136"/>
        <v>1419.3</v>
      </c>
      <c r="I694">
        <f t="shared" ca="1" si="137"/>
        <v>1</v>
      </c>
      <c r="J694">
        <f t="shared" ca="1" si="138"/>
        <v>1</v>
      </c>
      <c r="K694">
        <f t="shared" ca="1" si="139"/>
        <v>1</v>
      </c>
      <c r="L694">
        <f t="shared" ca="1" si="140"/>
        <v>1419.3</v>
      </c>
      <c r="M694">
        <f t="shared" ca="1" si="141"/>
        <v>3</v>
      </c>
      <c r="N694">
        <f t="shared" ca="1" si="142"/>
        <v>0</v>
      </c>
    </row>
    <row r="695" spans="1:14" x14ac:dyDescent="0.35">
      <c r="A695" t="s">
        <v>712</v>
      </c>
      <c r="B695" t="str">
        <f t="shared" si="130"/>
        <v>Control</v>
      </c>
      <c r="C695">
        <f t="shared" ca="1" si="131"/>
        <v>23</v>
      </c>
      <c r="D695" t="str">
        <f t="shared" ca="1" si="132"/>
        <v>Female</v>
      </c>
      <c r="E695" t="str">
        <f t="shared" ca="1" si="133"/>
        <v>Sportswear</v>
      </c>
      <c r="F695">
        <f t="shared" ca="1" si="134"/>
        <v>5153</v>
      </c>
      <c r="G695">
        <f t="shared" ca="1" si="135"/>
        <v>10</v>
      </c>
      <c r="H695">
        <f t="shared" ca="1" si="136"/>
        <v>4637.7</v>
      </c>
      <c r="I695">
        <f t="shared" ca="1" si="137"/>
        <v>0</v>
      </c>
      <c r="J695">
        <f t="shared" ca="1" si="138"/>
        <v>0</v>
      </c>
      <c r="K695">
        <f t="shared" ca="1" si="139"/>
        <v>0</v>
      </c>
      <c r="L695">
        <f t="shared" ca="1" si="140"/>
        <v>0</v>
      </c>
      <c r="M695">
        <f t="shared" ca="1" si="141"/>
        <v>6</v>
      </c>
      <c r="N695">
        <f t="shared" ca="1" si="142"/>
        <v>0</v>
      </c>
    </row>
    <row r="696" spans="1:14" x14ac:dyDescent="0.35">
      <c r="A696" t="s">
        <v>713</v>
      </c>
      <c r="B696" t="str">
        <f t="shared" si="130"/>
        <v>Control</v>
      </c>
      <c r="C696">
        <f t="shared" ca="1" si="131"/>
        <v>37</v>
      </c>
      <c r="D696" t="str">
        <f t="shared" ca="1" si="132"/>
        <v>Male</v>
      </c>
      <c r="E696" t="str">
        <f t="shared" ca="1" si="133"/>
        <v>T-shirts</v>
      </c>
      <c r="F696">
        <f t="shared" ca="1" si="134"/>
        <v>5682</v>
      </c>
      <c r="G696">
        <f t="shared" ca="1" si="135"/>
        <v>10</v>
      </c>
      <c r="H696">
        <f t="shared" ca="1" si="136"/>
        <v>5113.8</v>
      </c>
      <c r="I696">
        <f t="shared" ca="1" si="137"/>
        <v>1</v>
      </c>
      <c r="J696">
        <f t="shared" ca="1" si="138"/>
        <v>0</v>
      </c>
      <c r="K696">
        <f t="shared" ca="1" si="139"/>
        <v>0</v>
      </c>
      <c r="L696">
        <f t="shared" ca="1" si="140"/>
        <v>0</v>
      </c>
      <c r="M696">
        <f t="shared" ca="1" si="141"/>
        <v>6</v>
      </c>
      <c r="N696">
        <f t="shared" ca="1" si="142"/>
        <v>0</v>
      </c>
    </row>
    <row r="697" spans="1:14" x14ac:dyDescent="0.35">
      <c r="A697" t="s">
        <v>714</v>
      </c>
      <c r="B697" t="str">
        <f t="shared" si="130"/>
        <v>Control</v>
      </c>
      <c r="C697">
        <f t="shared" ca="1" si="131"/>
        <v>20</v>
      </c>
      <c r="D697" t="str">
        <f t="shared" ca="1" si="132"/>
        <v>Female</v>
      </c>
      <c r="E697" t="str">
        <f t="shared" ca="1" si="133"/>
        <v>Dresses</v>
      </c>
      <c r="F697">
        <f t="shared" ca="1" si="134"/>
        <v>1212</v>
      </c>
      <c r="G697">
        <f t="shared" ca="1" si="135"/>
        <v>10</v>
      </c>
      <c r="H697">
        <f t="shared" ca="1" si="136"/>
        <v>1090.8</v>
      </c>
      <c r="I697">
        <f t="shared" ca="1" si="137"/>
        <v>1</v>
      </c>
      <c r="J697">
        <f t="shared" ca="1" si="138"/>
        <v>1</v>
      </c>
      <c r="K697">
        <f t="shared" ca="1" si="139"/>
        <v>1</v>
      </c>
      <c r="L697">
        <f t="shared" ca="1" si="140"/>
        <v>1090.8</v>
      </c>
      <c r="M697">
        <f t="shared" ca="1" si="141"/>
        <v>7</v>
      </c>
      <c r="N697">
        <f t="shared" ca="1" si="142"/>
        <v>0</v>
      </c>
    </row>
    <row r="698" spans="1:14" x14ac:dyDescent="0.35">
      <c r="A698" t="s">
        <v>715</v>
      </c>
      <c r="B698" t="str">
        <f t="shared" si="130"/>
        <v>Control</v>
      </c>
      <c r="C698">
        <f t="shared" ca="1" si="131"/>
        <v>30</v>
      </c>
      <c r="D698" t="str">
        <f t="shared" ca="1" si="132"/>
        <v>Male</v>
      </c>
      <c r="E698" t="str">
        <f t="shared" ca="1" si="133"/>
        <v>Sportswear</v>
      </c>
      <c r="F698">
        <f t="shared" ca="1" si="134"/>
        <v>6829</v>
      </c>
      <c r="G698">
        <f t="shared" ca="1" si="135"/>
        <v>10</v>
      </c>
      <c r="H698">
        <f t="shared" ca="1" si="136"/>
        <v>6146.1</v>
      </c>
      <c r="I698">
        <f t="shared" ca="1" si="137"/>
        <v>1</v>
      </c>
      <c r="J698">
        <f t="shared" ca="1" si="138"/>
        <v>1</v>
      </c>
      <c r="K698">
        <f t="shared" ca="1" si="139"/>
        <v>0</v>
      </c>
      <c r="L698">
        <f t="shared" ca="1" si="140"/>
        <v>0</v>
      </c>
      <c r="M698">
        <f t="shared" ca="1" si="141"/>
        <v>6</v>
      </c>
      <c r="N698">
        <f t="shared" ca="1" si="142"/>
        <v>0</v>
      </c>
    </row>
    <row r="699" spans="1:14" x14ac:dyDescent="0.35">
      <c r="A699" t="s">
        <v>716</v>
      </c>
      <c r="B699" t="str">
        <f t="shared" si="130"/>
        <v>Control</v>
      </c>
      <c r="C699">
        <f t="shared" ca="1" si="131"/>
        <v>33</v>
      </c>
      <c r="D699" t="str">
        <f t="shared" ca="1" si="132"/>
        <v>Female</v>
      </c>
      <c r="E699" t="str">
        <f t="shared" ca="1" si="133"/>
        <v>Tops</v>
      </c>
      <c r="F699">
        <f t="shared" ca="1" si="134"/>
        <v>1379</v>
      </c>
      <c r="G699">
        <f t="shared" ca="1" si="135"/>
        <v>10</v>
      </c>
      <c r="H699">
        <f t="shared" ca="1" si="136"/>
        <v>1241.1000000000001</v>
      </c>
      <c r="I699">
        <f t="shared" ca="1" si="137"/>
        <v>0</v>
      </c>
      <c r="J699">
        <f t="shared" ca="1" si="138"/>
        <v>0</v>
      </c>
      <c r="K699">
        <f t="shared" ca="1" si="139"/>
        <v>0</v>
      </c>
      <c r="L699">
        <f t="shared" ca="1" si="140"/>
        <v>0</v>
      </c>
      <c r="M699">
        <f t="shared" ca="1" si="141"/>
        <v>4</v>
      </c>
      <c r="N699">
        <f t="shared" ca="1" si="142"/>
        <v>0</v>
      </c>
    </row>
    <row r="700" spans="1:14" x14ac:dyDescent="0.35">
      <c r="A700" t="s">
        <v>717</v>
      </c>
      <c r="B700" t="str">
        <f t="shared" si="130"/>
        <v>Control</v>
      </c>
      <c r="C700">
        <f t="shared" ca="1" si="131"/>
        <v>42</v>
      </c>
      <c r="D700" t="str">
        <f t="shared" ca="1" si="132"/>
        <v>Female</v>
      </c>
      <c r="E700" t="str">
        <f t="shared" ca="1" si="133"/>
        <v>Shoes</v>
      </c>
      <c r="F700">
        <f t="shared" ca="1" si="134"/>
        <v>7482</v>
      </c>
      <c r="G700">
        <f t="shared" ca="1" si="135"/>
        <v>10</v>
      </c>
      <c r="H700">
        <f t="shared" ca="1" si="136"/>
        <v>6733.8</v>
      </c>
      <c r="I700">
        <f t="shared" ca="1" si="137"/>
        <v>1</v>
      </c>
      <c r="J700">
        <f t="shared" ca="1" si="138"/>
        <v>1</v>
      </c>
      <c r="K700">
        <f t="shared" ca="1" si="139"/>
        <v>0</v>
      </c>
      <c r="L700">
        <f t="shared" ca="1" si="140"/>
        <v>0</v>
      </c>
      <c r="M700">
        <f t="shared" ca="1" si="141"/>
        <v>1</v>
      </c>
      <c r="N700">
        <f t="shared" ca="1" si="142"/>
        <v>0</v>
      </c>
    </row>
    <row r="701" spans="1:14" x14ac:dyDescent="0.35">
      <c r="A701" t="s">
        <v>718</v>
      </c>
      <c r="B701" t="str">
        <f t="shared" si="130"/>
        <v>Control</v>
      </c>
      <c r="C701">
        <f t="shared" ca="1" si="131"/>
        <v>22</v>
      </c>
      <c r="D701" t="str">
        <f t="shared" ca="1" si="132"/>
        <v>Female</v>
      </c>
      <c r="E701" t="str">
        <f t="shared" ca="1" si="133"/>
        <v>Shoes</v>
      </c>
      <c r="F701">
        <f t="shared" ca="1" si="134"/>
        <v>527</v>
      </c>
      <c r="G701">
        <f t="shared" ca="1" si="135"/>
        <v>10</v>
      </c>
      <c r="H701">
        <f t="shared" ca="1" si="136"/>
        <v>474.3</v>
      </c>
      <c r="I701">
        <f t="shared" ca="1" si="137"/>
        <v>1</v>
      </c>
      <c r="J701">
        <f t="shared" ca="1" si="138"/>
        <v>1</v>
      </c>
      <c r="K701">
        <f t="shared" ca="1" si="139"/>
        <v>0</v>
      </c>
      <c r="L701">
        <f t="shared" ca="1" si="140"/>
        <v>0</v>
      </c>
      <c r="M701">
        <f t="shared" ca="1" si="141"/>
        <v>1</v>
      </c>
      <c r="N701">
        <f t="shared" ca="1" si="142"/>
        <v>0</v>
      </c>
    </row>
    <row r="702" spans="1:14" x14ac:dyDescent="0.35">
      <c r="A702" t="s">
        <v>719</v>
      </c>
      <c r="B702" t="str">
        <f t="shared" si="130"/>
        <v>Control</v>
      </c>
      <c r="C702">
        <f t="shared" ca="1" si="131"/>
        <v>32</v>
      </c>
      <c r="D702" t="str">
        <f t="shared" ca="1" si="132"/>
        <v>Male</v>
      </c>
      <c r="E702" t="str">
        <f t="shared" ca="1" si="133"/>
        <v>T-shirts</v>
      </c>
      <c r="F702">
        <f t="shared" ca="1" si="134"/>
        <v>4876</v>
      </c>
      <c r="G702">
        <f t="shared" ca="1" si="135"/>
        <v>10</v>
      </c>
      <c r="H702">
        <f t="shared" ca="1" si="136"/>
        <v>4388.4000000000005</v>
      </c>
      <c r="I702">
        <f t="shared" ca="1" si="137"/>
        <v>1</v>
      </c>
      <c r="J702">
        <f t="shared" ca="1" si="138"/>
        <v>0</v>
      </c>
      <c r="K702">
        <f t="shared" ca="1" si="139"/>
        <v>0</v>
      </c>
      <c r="L702">
        <f t="shared" ca="1" si="140"/>
        <v>0</v>
      </c>
      <c r="M702">
        <f t="shared" ca="1" si="141"/>
        <v>7</v>
      </c>
      <c r="N702">
        <f t="shared" ca="1" si="142"/>
        <v>0</v>
      </c>
    </row>
    <row r="703" spans="1:14" x14ac:dyDescent="0.35">
      <c r="A703" t="s">
        <v>720</v>
      </c>
      <c r="B703" t="str">
        <f t="shared" si="130"/>
        <v>Control</v>
      </c>
      <c r="C703">
        <f t="shared" ca="1" si="131"/>
        <v>40</v>
      </c>
      <c r="D703" t="str">
        <f t="shared" ca="1" si="132"/>
        <v>Male</v>
      </c>
      <c r="E703" t="str">
        <f t="shared" ca="1" si="133"/>
        <v>T-shirts</v>
      </c>
      <c r="F703">
        <f t="shared" ca="1" si="134"/>
        <v>6734</v>
      </c>
      <c r="G703">
        <f t="shared" ca="1" si="135"/>
        <v>10</v>
      </c>
      <c r="H703">
        <f t="shared" ca="1" si="136"/>
        <v>6060.6</v>
      </c>
      <c r="I703">
        <f t="shared" ca="1" si="137"/>
        <v>1</v>
      </c>
      <c r="J703">
        <f t="shared" ca="1" si="138"/>
        <v>0</v>
      </c>
      <c r="K703">
        <f t="shared" ca="1" si="139"/>
        <v>0</v>
      </c>
      <c r="L703">
        <f t="shared" ca="1" si="140"/>
        <v>0</v>
      </c>
      <c r="M703">
        <f t="shared" ca="1" si="141"/>
        <v>1</v>
      </c>
      <c r="N703">
        <f t="shared" ca="1" si="142"/>
        <v>0</v>
      </c>
    </row>
    <row r="704" spans="1:14" x14ac:dyDescent="0.35">
      <c r="A704" t="s">
        <v>721</v>
      </c>
      <c r="B704" t="str">
        <f t="shared" si="130"/>
        <v>Control</v>
      </c>
      <c r="C704">
        <f t="shared" ca="1" si="131"/>
        <v>22</v>
      </c>
      <c r="D704" t="str">
        <f t="shared" ca="1" si="132"/>
        <v>Male</v>
      </c>
      <c r="E704" t="str">
        <f t="shared" ca="1" si="133"/>
        <v>Jeans</v>
      </c>
      <c r="F704">
        <f t="shared" ca="1" si="134"/>
        <v>1164</v>
      </c>
      <c r="G704">
        <f t="shared" ca="1" si="135"/>
        <v>10</v>
      </c>
      <c r="H704">
        <f t="shared" ca="1" si="136"/>
        <v>1047.6000000000001</v>
      </c>
      <c r="I704">
        <f t="shared" ca="1" si="137"/>
        <v>1</v>
      </c>
      <c r="J704">
        <f t="shared" ca="1" si="138"/>
        <v>0</v>
      </c>
      <c r="K704">
        <f t="shared" ca="1" si="139"/>
        <v>0</v>
      </c>
      <c r="L704">
        <f t="shared" ca="1" si="140"/>
        <v>0</v>
      </c>
      <c r="M704">
        <f t="shared" ca="1" si="141"/>
        <v>6</v>
      </c>
      <c r="N704">
        <f t="shared" ca="1" si="142"/>
        <v>0</v>
      </c>
    </row>
    <row r="705" spans="1:14" x14ac:dyDescent="0.35">
      <c r="A705" t="s">
        <v>722</v>
      </c>
      <c r="B705" t="str">
        <f t="shared" si="130"/>
        <v>Control</v>
      </c>
      <c r="C705">
        <f t="shared" ca="1" si="131"/>
        <v>19</v>
      </c>
      <c r="D705" t="str">
        <f t="shared" ca="1" si="132"/>
        <v>Male</v>
      </c>
      <c r="E705" t="str">
        <f t="shared" ca="1" si="133"/>
        <v>Ethnic Wear</v>
      </c>
      <c r="F705">
        <f t="shared" ca="1" si="134"/>
        <v>2762</v>
      </c>
      <c r="G705">
        <f t="shared" ca="1" si="135"/>
        <v>10</v>
      </c>
      <c r="H705">
        <f t="shared" ca="1" si="136"/>
        <v>2485.8000000000002</v>
      </c>
      <c r="I705">
        <f t="shared" ca="1" si="137"/>
        <v>1</v>
      </c>
      <c r="J705">
        <f t="shared" ca="1" si="138"/>
        <v>0</v>
      </c>
      <c r="K705">
        <f t="shared" ca="1" si="139"/>
        <v>0</v>
      </c>
      <c r="L705">
        <f t="shared" ca="1" si="140"/>
        <v>0</v>
      </c>
      <c r="M705">
        <f t="shared" ca="1" si="141"/>
        <v>4</v>
      </c>
      <c r="N705">
        <f t="shared" ca="1" si="142"/>
        <v>0</v>
      </c>
    </row>
    <row r="706" spans="1:14" x14ac:dyDescent="0.35">
      <c r="A706" t="s">
        <v>723</v>
      </c>
      <c r="B706" t="str">
        <f t="shared" si="130"/>
        <v>Control</v>
      </c>
      <c r="C706">
        <f t="shared" ca="1" si="131"/>
        <v>23</v>
      </c>
      <c r="D706" t="str">
        <f t="shared" ca="1" si="132"/>
        <v>Male</v>
      </c>
      <c r="E706" t="str">
        <f t="shared" ca="1" si="133"/>
        <v>Sportswear</v>
      </c>
      <c r="F706">
        <f t="shared" ca="1" si="134"/>
        <v>4901</v>
      </c>
      <c r="G706">
        <f t="shared" ca="1" si="135"/>
        <v>10</v>
      </c>
      <c r="H706">
        <f t="shared" ca="1" si="136"/>
        <v>4410.9000000000005</v>
      </c>
      <c r="I706">
        <f t="shared" ca="1" si="137"/>
        <v>1</v>
      </c>
      <c r="J706">
        <f t="shared" ca="1" si="138"/>
        <v>0</v>
      </c>
      <c r="K706">
        <f t="shared" ca="1" si="139"/>
        <v>0</v>
      </c>
      <c r="L706">
        <f t="shared" ca="1" si="140"/>
        <v>0</v>
      </c>
      <c r="M706">
        <f t="shared" ca="1" si="141"/>
        <v>6</v>
      </c>
      <c r="N706">
        <f t="shared" ca="1" si="142"/>
        <v>0</v>
      </c>
    </row>
    <row r="707" spans="1:14" x14ac:dyDescent="0.35">
      <c r="A707" t="s">
        <v>724</v>
      </c>
      <c r="B707" t="str">
        <f t="shared" si="130"/>
        <v>Control</v>
      </c>
      <c r="C707">
        <f t="shared" ca="1" si="131"/>
        <v>24</v>
      </c>
      <c r="D707" t="str">
        <f t="shared" ca="1" si="132"/>
        <v>Female</v>
      </c>
      <c r="E707" t="str">
        <f t="shared" ca="1" si="133"/>
        <v>Dresses</v>
      </c>
      <c r="F707">
        <f t="shared" ca="1" si="134"/>
        <v>4655</v>
      </c>
      <c r="G707">
        <f t="shared" ca="1" si="135"/>
        <v>10</v>
      </c>
      <c r="H707">
        <f t="shared" ca="1" si="136"/>
        <v>4189.5</v>
      </c>
      <c r="I707">
        <f t="shared" ca="1" si="137"/>
        <v>1</v>
      </c>
      <c r="J707">
        <f t="shared" ca="1" si="138"/>
        <v>1</v>
      </c>
      <c r="K707">
        <f t="shared" ca="1" si="139"/>
        <v>0</v>
      </c>
      <c r="L707">
        <f t="shared" ca="1" si="140"/>
        <v>0</v>
      </c>
      <c r="M707">
        <f t="shared" ca="1" si="141"/>
        <v>3</v>
      </c>
      <c r="N707">
        <f t="shared" ca="1" si="142"/>
        <v>0</v>
      </c>
    </row>
    <row r="708" spans="1:14" x14ac:dyDescent="0.35">
      <c r="A708" t="s">
        <v>725</v>
      </c>
      <c r="B708" t="str">
        <f t="shared" si="130"/>
        <v>Control</v>
      </c>
      <c r="C708">
        <f t="shared" ca="1" si="131"/>
        <v>41</v>
      </c>
      <c r="D708" t="str">
        <f t="shared" ca="1" si="132"/>
        <v>Other</v>
      </c>
      <c r="E708" t="str">
        <f t="shared" ca="1" si="133"/>
        <v>Ethnic Wear</v>
      </c>
      <c r="F708">
        <f t="shared" ca="1" si="134"/>
        <v>2595</v>
      </c>
      <c r="G708">
        <f t="shared" ca="1" si="135"/>
        <v>10</v>
      </c>
      <c r="H708">
        <f t="shared" ca="1" si="136"/>
        <v>2335.5</v>
      </c>
      <c r="I708">
        <f t="shared" ca="1" si="137"/>
        <v>0</v>
      </c>
      <c r="J708">
        <f t="shared" ca="1" si="138"/>
        <v>0</v>
      </c>
      <c r="K708">
        <f t="shared" ca="1" si="139"/>
        <v>0</v>
      </c>
      <c r="L708">
        <f t="shared" ca="1" si="140"/>
        <v>0</v>
      </c>
      <c r="M708">
        <f t="shared" ca="1" si="141"/>
        <v>4</v>
      </c>
      <c r="N708">
        <f t="shared" ca="1" si="142"/>
        <v>0</v>
      </c>
    </row>
    <row r="709" spans="1:14" x14ac:dyDescent="0.35">
      <c r="A709" t="s">
        <v>726</v>
      </c>
      <c r="B709" t="str">
        <f t="shared" ref="B709:B772" si="143">IF(ROW()&lt;=1001,"Control","Test")</f>
        <v>Control</v>
      </c>
      <c r="C709">
        <f t="shared" ref="C709:C772" ca="1" si="144">RANDBETWEEN(18,45)</f>
        <v>37</v>
      </c>
      <c r="D709" t="str">
        <f t="shared" ref="D709:D772" ca="1" si="145">CHOOSE(RANDBETWEEN(1,20),"Female","Female","Female","Female","Female","Female","Female","Female","Female","Female","Male","Male","Male","Male","Male","Male","Male","Male","Other","Other")</f>
        <v>Female</v>
      </c>
      <c r="E709" t="str">
        <f t="shared" ref="E709:E772" ca="1" si="146">CHOOSE(RANDBETWEEN(1,8),"T-shirts","Dresses","Jeans","Shoes","Ethnic Wear","Tops","Sportswear","Accessories")</f>
        <v>Jeans</v>
      </c>
      <c r="F709">
        <f t="shared" ref="F709:F772" ca="1" si="147">RANDBETWEEN(300,8000)</f>
        <v>4455</v>
      </c>
      <c r="G709">
        <f t="shared" ref="G709:G772" ca="1" si="148">IF(B709="Control",10,CHOOSE(RANDBETWEEN(1,3),15,20,25))</f>
        <v>10</v>
      </c>
      <c r="H709">
        <f t="shared" ref="H709:H772" ca="1" si="149">F709*(1-G709/100)</f>
        <v>4009.5</v>
      </c>
      <c r="I709">
        <f t="shared" ref="I709:I772" ca="1" si="150">IF(RAND()&lt;0.85,1,0)</f>
        <v>1</v>
      </c>
      <c r="J709">
        <f t="shared" ref="J709:J772" ca="1" si="151">IF(I709=1,IF(RAND()&lt;0.55,1,0),0)</f>
        <v>0</v>
      </c>
      <c r="K709">
        <f t="shared" ref="K709:K772" ca="1" si="152">IF(J709=1,IF(B709="Test",IF(RAND()&lt;0.4,1,0),IF(RAND()&lt;0.34,1,0)),0)</f>
        <v>0</v>
      </c>
      <c r="L709">
        <f t="shared" ref="L709:L772" ca="1" si="153">IF(K709=1,H709,0)</f>
        <v>0</v>
      </c>
      <c r="M709">
        <f t="shared" ref="M709:M772" ca="1" si="154">RANDBETWEEN(1,7)</f>
        <v>3</v>
      </c>
      <c r="N709">
        <f t="shared" ref="N709:N772" ca="1" si="155">IF(K709=1,IF(RAND()&lt;0.15,1,0),0)</f>
        <v>0</v>
      </c>
    </row>
    <row r="710" spans="1:14" x14ac:dyDescent="0.35">
      <c r="A710" t="s">
        <v>727</v>
      </c>
      <c r="B710" t="str">
        <f t="shared" si="143"/>
        <v>Control</v>
      </c>
      <c r="C710">
        <f t="shared" ca="1" si="144"/>
        <v>33</v>
      </c>
      <c r="D710" t="str">
        <f t="shared" ca="1" si="145"/>
        <v>Female</v>
      </c>
      <c r="E710" t="str">
        <f t="shared" ca="1" si="146"/>
        <v>Accessories</v>
      </c>
      <c r="F710">
        <f t="shared" ca="1" si="147"/>
        <v>7954</v>
      </c>
      <c r="G710">
        <f t="shared" ca="1" si="148"/>
        <v>10</v>
      </c>
      <c r="H710">
        <f t="shared" ca="1" si="149"/>
        <v>7158.6</v>
      </c>
      <c r="I710">
        <f t="shared" ca="1" si="150"/>
        <v>1</v>
      </c>
      <c r="J710">
        <f t="shared" ca="1" si="151"/>
        <v>0</v>
      </c>
      <c r="K710">
        <f t="shared" ca="1" si="152"/>
        <v>0</v>
      </c>
      <c r="L710">
        <f t="shared" ca="1" si="153"/>
        <v>0</v>
      </c>
      <c r="M710">
        <f t="shared" ca="1" si="154"/>
        <v>5</v>
      </c>
      <c r="N710">
        <f t="shared" ca="1" si="155"/>
        <v>0</v>
      </c>
    </row>
    <row r="711" spans="1:14" x14ac:dyDescent="0.35">
      <c r="A711" t="s">
        <v>728</v>
      </c>
      <c r="B711" t="str">
        <f t="shared" si="143"/>
        <v>Control</v>
      </c>
      <c r="C711">
        <f t="shared" ca="1" si="144"/>
        <v>39</v>
      </c>
      <c r="D711" t="str">
        <f t="shared" ca="1" si="145"/>
        <v>Male</v>
      </c>
      <c r="E711" t="str">
        <f t="shared" ca="1" si="146"/>
        <v>Dresses</v>
      </c>
      <c r="F711">
        <f t="shared" ca="1" si="147"/>
        <v>3773</v>
      </c>
      <c r="G711">
        <f t="shared" ca="1" si="148"/>
        <v>10</v>
      </c>
      <c r="H711">
        <f t="shared" ca="1" si="149"/>
        <v>3395.7000000000003</v>
      </c>
      <c r="I711">
        <f t="shared" ca="1" si="150"/>
        <v>1</v>
      </c>
      <c r="J711">
        <f t="shared" ca="1" si="151"/>
        <v>0</v>
      </c>
      <c r="K711">
        <f t="shared" ca="1" si="152"/>
        <v>0</v>
      </c>
      <c r="L711">
        <f t="shared" ca="1" si="153"/>
        <v>0</v>
      </c>
      <c r="M711">
        <f t="shared" ca="1" si="154"/>
        <v>1</v>
      </c>
      <c r="N711">
        <f t="shared" ca="1" si="155"/>
        <v>0</v>
      </c>
    </row>
    <row r="712" spans="1:14" x14ac:dyDescent="0.35">
      <c r="A712" t="s">
        <v>729</v>
      </c>
      <c r="B712" t="str">
        <f t="shared" si="143"/>
        <v>Control</v>
      </c>
      <c r="C712">
        <f t="shared" ca="1" si="144"/>
        <v>33</v>
      </c>
      <c r="D712" t="str">
        <f t="shared" ca="1" si="145"/>
        <v>Female</v>
      </c>
      <c r="E712" t="str">
        <f t="shared" ca="1" si="146"/>
        <v>Ethnic Wear</v>
      </c>
      <c r="F712">
        <f t="shared" ca="1" si="147"/>
        <v>1111</v>
      </c>
      <c r="G712">
        <f t="shared" ca="1" si="148"/>
        <v>10</v>
      </c>
      <c r="H712">
        <f t="shared" ca="1" si="149"/>
        <v>999.9</v>
      </c>
      <c r="I712">
        <f t="shared" ca="1" si="150"/>
        <v>1</v>
      </c>
      <c r="J712">
        <f t="shared" ca="1" si="151"/>
        <v>1</v>
      </c>
      <c r="K712">
        <f t="shared" ca="1" si="152"/>
        <v>0</v>
      </c>
      <c r="L712">
        <f t="shared" ca="1" si="153"/>
        <v>0</v>
      </c>
      <c r="M712">
        <f t="shared" ca="1" si="154"/>
        <v>1</v>
      </c>
      <c r="N712">
        <f t="shared" ca="1" si="155"/>
        <v>0</v>
      </c>
    </row>
    <row r="713" spans="1:14" x14ac:dyDescent="0.35">
      <c r="A713" t="s">
        <v>730</v>
      </c>
      <c r="B713" t="str">
        <f t="shared" si="143"/>
        <v>Control</v>
      </c>
      <c r="C713">
        <f t="shared" ca="1" si="144"/>
        <v>38</v>
      </c>
      <c r="D713" t="str">
        <f t="shared" ca="1" si="145"/>
        <v>Female</v>
      </c>
      <c r="E713" t="str">
        <f t="shared" ca="1" si="146"/>
        <v>Tops</v>
      </c>
      <c r="F713">
        <f t="shared" ca="1" si="147"/>
        <v>2722</v>
      </c>
      <c r="G713">
        <f t="shared" ca="1" si="148"/>
        <v>10</v>
      </c>
      <c r="H713">
        <f t="shared" ca="1" si="149"/>
        <v>2449.8000000000002</v>
      </c>
      <c r="I713">
        <f t="shared" ca="1" si="150"/>
        <v>0</v>
      </c>
      <c r="J713">
        <f t="shared" ca="1" si="151"/>
        <v>0</v>
      </c>
      <c r="K713">
        <f t="shared" ca="1" si="152"/>
        <v>0</v>
      </c>
      <c r="L713">
        <f t="shared" ca="1" si="153"/>
        <v>0</v>
      </c>
      <c r="M713">
        <f t="shared" ca="1" si="154"/>
        <v>2</v>
      </c>
      <c r="N713">
        <f t="shared" ca="1" si="155"/>
        <v>0</v>
      </c>
    </row>
    <row r="714" spans="1:14" x14ac:dyDescent="0.35">
      <c r="A714" t="s">
        <v>731</v>
      </c>
      <c r="B714" t="str">
        <f t="shared" si="143"/>
        <v>Control</v>
      </c>
      <c r="C714">
        <f t="shared" ca="1" si="144"/>
        <v>25</v>
      </c>
      <c r="D714" t="str">
        <f t="shared" ca="1" si="145"/>
        <v>Female</v>
      </c>
      <c r="E714" t="str">
        <f t="shared" ca="1" si="146"/>
        <v>Dresses</v>
      </c>
      <c r="F714">
        <f t="shared" ca="1" si="147"/>
        <v>3470</v>
      </c>
      <c r="G714">
        <f t="shared" ca="1" si="148"/>
        <v>10</v>
      </c>
      <c r="H714">
        <f t="shared" ca="1" si="149"/>
        <v>3123</v>
      </c>
      <c r="I714">
        <f t="shared" ca="1" si="150"/>
        <v>1</v>
      </c>
      <c r="J714">
        <f t="shared" ca="1" si="151"/>
        <v>0</v>
      </c>
      <c r="K714">
        <f t="shared" ca="1" si="152"/>
        <v>0</v>
      </c>
      <c r="L714">
        <f t="shared" ca="1" si="153"/>
        <v>0</v>
      </c>
      <c r="M714">
        <f t="shared" ca="1" si="154"/>
        <v>4</v>
      </c>
      <c r="N714">
        <f t="shared" ca="1" si="155"/>
        <v>0</v>
      </c>
    </row>
    <row r="715" spans="1:14" x14ac:dyDescent="0.35">
      <c r="A715" t="s">
        <v>732</v>
      </c>
      <c r="B715" t="str">
        <f t="shared" si="143"/>
        <v>Control</v>
      </c>
      <c r="C715">
        <f t="shared" ca="1" si="144"/>
        <v>23</v>
      </c>
      <c r="D715" t="str">
        <f t="shared" ca="1" si="145"/>
        <v>Female</v>
      </c>
      <c r="E715" t="str">
        <f t="shared" ca="1" si="146"/>
        <v>Dresses</v>
      </c>
      <c r="F715">
        <f t="shared" ca="1" si="147"/>
        <v>6042</v>
      </c>
      <c r="G715">
        <f t="shared" ca="1" si="148"/>
        <v>10</v>
      </c>
      <c r="H715">
        <f t="shared" ca="1" si="149"/>
        <v>5437.8</v>
      </c>
      <c r="I715">
        <f t="shared" ca="1" si="150"/>
        <v>1</v>
      </c>
      <c r="J715">
        <f t="shared" ca="1" si="151"/>
        <v>0</v>
      </c>
      <c r="K715">
        <f t="shared" ca="1" si="152"/>
        <v>0</v>
      </c>
      <c r="L715">
        <f t="shared" ca="1" si="153"/>
        <v>0</v>
      </c>
      <c r="M715">
        <f t="shared" ca="1" si="154"/>
        <v>7</v>
      </c>
      <c r="N715">
        <f t="shared" ca="1" si="155"/>
        <v>0</v>
      </c>
    </row>
    <row r="716" spans="1:14" x14ac:dyDescent="0.35">
      <c r="A716" t="s">
        <v>733</v>
      </c>
      <c r="B716" t="str">
        <f t="shared" si="143"/>
        <v>Control</v>
      </c>
      <c r="C716">
        <f t="shared" ca="1" si="144"/>
        <v>44</v>
      </c>
      <c r="D716" t="str">
        <f t="shared" ca="1" si="145"/>
        <v>Other</v>
      </c>
      <c r="E716" t="str">
        <f t="shared" ca="1" si="146"/>
        <v>Jeans</v>
      </c>
      <c r="F716">
        <f t="shared" ca="1" si="147"/>
        <v>603</v>
      </c>
      <c r="G716">
        <f t="shared" ca="1" si="148"/>
        <v>10</v>
      </c>
      <c r="H716">
        <f t="shared" ca="1" si="149"/>
        <v>542.70000000000005</v>
      </c>
      <c r="I716">
        <f t="shared" ca="1" si="150"/>
        <v>1</v>
      </c>
      <c r="J716">
        <f t="shared" ca="1" si="151"/>
        <v>1</v>
      </c>
      <c r="K716">
        <f t="shared" ca="1" si="152"/>
        <v>1</v>
      </c>
      <c r="L716">
        <f t="shared" ca="1" si="153"/>
        <v>542.70000000000005</v>
      </c>
      <c r="M716">
        <f t="shared" ca="1" si="154"/>
        <v>4</v>
      </c>
      <c r="N716">
        <f t="shared" ca="1" si="155"/>
        <v>0</v>
      </c>
    </row>
    <row r="717" spans="1:14" x14ac:dyDescent="0.35">
      <c r="A717" t="s">
        <v>734</v>
      </c>
      <c r="B717" t="str">
        <f t="shared" si="143"/>
        <v>Control</v>
      </c>
      <c r="C717">
        <f t="shared" ca="1" si="144"/>
        <v>27</v>
      </c>
      <c r="D717" t="str">
        <f t="shared" ca="1" si="145"/>
        <v>Other</v>
      </c>
      <c r="E717" t="str">
        <f t="shared" ca="1" si="146"/>
        <v>Ethnic Wear</v>
      </c>
      <c r="F717">
        <f t="shared" ca="1" si="147"/>
        <v>6364</v>
      </c>
      <c r="G717">
        <f t="shared" ca="1" si="148"/>
        <v>10</v>
      </c>
      <c r="H717">
        <f t="shared" ca="1" si="149"/>
        <v>5727.6</v>
      </c>
      <c r="I717">
        <f t="shared" ca="1" si="150"/>
        <v>1</v>
      </c>
      <c r="J717">
        <f t="shared" ca="1" si="151"/>
        <v>1</v>
      </c>
      <c r="K717">
        <f t="shared" ca="1" si="152"/>
        <v>0</v>
      </c>
      <c r="L717">
        <f t="shared" ca="1" si="153"/>
        <v>0</v>
      </c>
      <c r="M717">
        <f t="shared" ca="1" si="154"/>
        <v>3</v>
      </c>
      <c r="N717">
        <f t="shared" ca="1" si="155"/>
        <v>0</v>
      </c>
    </row>
    <row r="718" spans="1:14" x14ac:dyDescent="0.35">
      <c r="A718" t="s">
        <v>735</v>
      </c>
      <c r="B718" t="str">
        <f t="shared" si="143"/>
        <v>Control</v>
      </c>
      <c r="C718">
        <f t="shared" ca="1" si="144"/>
        <v>35</v>
      </c>
      <c r="D718" t="str">
        <f t="shared" ca="1" si="145"/>
        <v>Female</v>
      </c>
      <c r="E718" t="str">
        <f t="shared" ca="1" si="146"/>
        <v>Sportswear</v>
      </c>
      <c r="F718">
        <f t="shared" ca="1" si="147"/>
        <v>3043</v>
      </c>
      <c r="G718">
        <f t="shared" ca="1" si="148"/>
        <v>10</v>
      </c>
      <c r="H718">
        <f t="shared" ca="1" si="149"/>
        <v>2738.7000000000003</v>
      </c>
      <c r="I718">
        <f t="shared" ca="1" si="150"/>
        <v>1</v>
      </c>
      <c r="J718">
        <f t="shared" ca="1" si="151"/>
        <v>0</v>
      </c>
      <c r="K718">
        <f t="shared" ca="1" si="152"/>
        <v>0</v>
      </c>
      <c r="L718">
        <f t="shared" ca="1" si="153"/>
        <v>0</v>
      </c>
      <c r="M718">
        <f t="shared" ca="1" si="154"/>
        <v>4</v>
      </c>
      <c r="N718">
        <f t="shared" ca="1" si="155"/>
        <v>0</v>
      </c>
    </row>
    <row r="719" spans="1:14" x14ac:dyDescent="0.35">
      <c r="A719" t="s">
        <v>736</v>
      </c>
      <c r="B719" t="str">
        <f t="shared" si="143"/>
        <v>Control</v>
      </c>
      <c r="C719">
        <f t="shared" ca="1" si="144"/>
        <v>45</v>
      </c>
      <c r="D719" t="str">
        <f t="shared" ca="1" si="145"/>
        <v>Female</v>
      </c>
      <c r="E719" t="str">
        <f t="shared" ca="1" si="146"/>
        <v>Shoes</v>
      </c>
      <c r="F719">
        <f t="shared" ca="1" si="147"/>
        <v>2138</v>
      </c>
      <c r="G719">
        <f t="shared" ca="1" si="148"/>
        <v>10</v>
      </c>
      <c r="H719">
        <f t="shared" ca="1" si="149"/>
        <v>1924.2</v>
      </c>
      <c r="I719">
        <f t="shared" ca="1" si="150"/>
        <v>1</v>
      </c>
      <c r="J719">
        <f t="shared" ca="1" si="151"/>
        <v>1</v>
      </c>
      <c r="K719">
        <f t="shared" ca="1" si="152"/>
        <v>0</v>
      </c>
      <c r="L719">
        <f t="shared" ca="1" si="153"/>
        <v>0</v>
      </c>
      <c r="M719">
        <f t="shared" ca="1" si="154"/>
        <v>1</v>
      </c>
      <c r="N719">
        <f t="shared" ca="1" si="155"/>
        <v>0</v>
      </c>
    </row>
    <row r="720" spans="1:14" x14ac:dyDescent="0.35">
      <c r="A720" t="s">
        <v>737</v>
      </c>
      <c r="B720" t="str">
        <f t="shared" si="143"/>
        <v>Control</v>
      </c>
      <c r="C720">
        <f t="shared" ca="1" si="144"/>
        <v>19</v>
      </c>
      <c r="D720" t="str">
        <f t="shared" ca="1" si="145"/>
        <v>Male</v>
      </c>
      <c r="E720" t="str">
        <f t="shared" ca="1" si="146"/>
        <v>Dresses</v>
      </c>
      <c r="F720">
        <f t="shared" ca="1" si="147"/>
        <v>7053</v>
      </c>
      <c r="G720">
        <f t="shared" ca="1" si="148"/>
        <v>10</v>
      </c>
      <c r="H720">
        <f t="shared" ca="1" si="149"/>
        <v>6347.7</v>
      </c>
      <c r="I720">
        <f t="shared" ca="1" si="150"/>
        <v>1</v>
      </c>
      <c r="J720">
        <f t="shared" ca="1" si="151"/>
        <v>0</v>
      </c>
      <c r="K720">
        <f t="shared" ca="1" si="152"/>
        <v>0</v>
      </c>
      <c r="L720">
        <f t="shared" ca="1" si="153"/>
        <v>0</v>
      </c>
      <c r="M720">
        <f t="shared" ca="1" si="154"/>
        <v>1</v>
      </c>
      <c r="N720">
        <f t="shared" ca="1" si="155"/>
        <v>0</v>
      </c>
    </row>
    <row r="721" spans="1:14" x14ac:dyDescent="0.35">
      <c r="A721" t="s">
        <v>738</v>
      </c>
      <c r="B721" t="str">
        <f t="shared" si="143"/>
        <v>Control</v>
      </c>
      <c r="C721">
        <f t="shared" ca="1" si="144"/>
        <v>20</v>
      </c>
      <c r="D721" t="str">
        <f t="shared" ca="1" si="145"/>
        <v>Female</v>
      </c>
      <c r="E721" t="str">
        <f t="shared" ca="1" si="146"/>
        <v>Shoes</v>
      </c>
      <c r="F721">
        <f t="shared" ca="1" si="147"/>
        <v>3611</v>
      </c>
      <c r="G721">
        <f t="shared" ca="1" si="148"/>
        <v>10</v>
      </c>
      <c r="H721">
        <f t="shared" ca="1" si="149"/>
        <v>3249.9</v>
      </c>
      <c r="I721">
        <f t="shared" ca="1" si="150"/>
        <v>1</v>
      </c>
      <c r="J721">
        <f t="shared" ca="1" si="151"/>
        <v>0</v>
      </c>
      <c r="K721">
        <f t="shared" ca="1" si="152"/>
        <v>0</v>
      </c>
      <c r="L721">
        <f t="shared" ca="1" si="153"/>
        <v>0</v>
      </c>
      <c r="M721">
        <f t="shared" ca="1" si="154"/>
        <v>1</v>
      </c>
      <c r="N721">
        <f t="shared" ca="1" si="155"/>
        <v>0</v>
      </c>
    </row>
    <row r="722" spans="1:14" x14ac:dyDescent="0.35">
      <c r="A722" t="s">
        <v>739</v>
      </c>
      <c r="B722" t="str">
        <f t="shared" si="143"/>
        <v>Control</v>
      </c>
      <c r="C722">
        <f t="shared" ca="1" si="144"/>
        <v>31</v>
      </c>
      <c r="D722" t="str">
        <f t="shared" ca="1" si="145"/>
        <v>Other</v>
      </c>
      <c r="E722" t="str">
        <f t="shared" ca="1" si="146"/>
        <v>Tops</v>
      </c>
      <c r="F722">
        <f t="shared" ca="1" si="147"/>
        <v>6676</v>
      </c>
      <c r="G722">
        <f t="shared" ca="1" si="148"/>
        <v>10</v>
      </c>
      <c r="H722">
        <f t="shared" ca="1" si="149"/>
        <v>6008.4000000000005</v>
      </c>
      <c r="I722">
        <f t="shared" ca="1" si="150"/>
        <v>1</v>
      </c>
      <c r="J722">
        <f t="shared" ca="1" si="151"/>
        <v>0</v>
      </c>
      <c r="K722">
        <f t="shared" ca="1" si="152"/>
        <v>0</v>
      </c>
      <c r="L722">
        <f t="shared" ca="1" si="153"/>
        <v>0</v>
      </c>
      <c r="M722">
        <f t="shared" ca="1" si="154"/>
        <v>7</v>
      </c>
      <c r="N722">
        <f t="shared" ca="1" si="155"/>
        <v>0</v>
      </c>
    </row>
    <row r="723" spans="1:14" x14ac:dyDescent="0.35">
      <c r="A723" t="s">
        <v>740</v>
      </c>
      <c r="B723" t="str">
        <f t="shared" si="143"/>
        <v>Control</v>
      </c>
      <c r="C723">
        <f t="shared" ca="1" si="144"/>
        <v>30</v>
      </c>
      <c r="D723" t="str">
        <f t="shared" ca="1" si="145"/>
        <v>Female</v>
      </c>
      <c r="E723" t="str">
        <f t="shared" ca="1" si="146"/>
        <v>Accessories</v>
      </c>
      <c r="F723">
        <f t="shared" ca="1" si="147"/>
        <v>7426</v>
      </c>
      <c r="G723">
        <f t="shared" ca="1" si="148"/>
        <v>10</v>
      </c>
      <c r="H723">
        <f t="shared" ca="1" si="149"/>
        <v>6683.4000000000005</v>
      </c>
      <c r="I723">
        <f t="shared" ca="1" si="150"/>
        <v>1</v>
      </c>
      <c r="J723">
        <f t="shared" ca="1" si="151"/>
        <v>1</v>
      </c>
      <c r="K723">
        <f t="shared" ca="1" si="152"/>
        <v>1</v>
      </c>
      <c r="L723">
        <f t="shared" ca="1" si="153"/>
        <v>6683.4000000000005</v>
      </c>
      <c r="M723">
        <f t="shared" ca="1" si="154"/>
        <v>7</v>
      </c>
      <c r="N723">
        <f t="shared" ca="1" si="155"/>
        <v>0</v>
      </c>
    </row>
    <row r="724" spans="1:14" x14ac:dyDescent="0.35">
      <c r="A724" t="s">
        <v>741</v>
      </c>
      <c r="B724" t="str">
        <f t="shared" si="143"/>
        <v>Control</v>
      </c>
      <c r="C724">
        <f t="shared" ca="1" si="144"/>
        <v>39</v>
      </c>
      <c r="D724" t="str">
        <f t="shared" ca="1" si="145"/>
        <v>Female</v>
      </c>
      <c r="E724" t="str">
        <f t="shared" ca="1" si="146"/>
        <v>Jeans</v>
      </c>
      <c r="F724">
        <f t="shared" ca="1" si="147"/>
        <v>4612</v>
      </c>
      <c r="G724">
        <f t="shared" ca="1" si="148"/>
        <v>10</v>
      </c>
      <c r="H724">
        <f t="shared" ca="1" si="149"/>
        <v>4150.8</v>
      </c>
      <c r="I724">
        <f t="shared" ca="1" si="150"/>
        <v>0</v>
      </c>
      <c r="J724">
        <f t="shared" ca="1" si="151"/>
        <v>0</v>
      </c>
      <c r="K724">
        <f t="shared" ca="1" si="152"/>
        <v>0</v>
      </c>
      <c r="L724">
        <f t="shared" ca="1" si="153"/>
        <v>0</v>
      </c>
      <c r="M724">
        <f t="shared" ca="1" si="154"/>
        <v>4</v>
      </c>
      <c r="N724">
        <f t="shared" ca="1" si="155"/>
        <v>0</v>
      </c>
    </row>
    <row r="725" spans="1:14" x14ac:dyDescent="0.35">
      <c r="A725" t="s">
        <v>742</v>
      </c>
      <c r="B725" t="str">
        <f t="shared" si="143"/>
        <v>Control</v>
      </c>
      <c r="C725">
        <f t="shared" ca="1" si="144"/>
        <v>33</v>
      </c>
      <c r="D725" t="str">
        <f t="shared" ca="1" si="145"/>
        <v>Female</v>
      </c>
      <c r="E725" t="str">
        <f t="shared" ca="1" si="146"/>
        <v>Jeans</v>
      </c>
      <c r="F725">
        <f t="shared" ca="1" si="147"/>
        <v>4947</v>
      </c>
      <c r="G725">
        <f t="shared" ca="1" si="148"/>
        <v>10</v>
      </c>
      <c r="H725">
        <f t="shared" ca="1" si="149"/>
        <v>4452.3</v>
      </c>
      <c r="I725">
        <f t="shared" ca="1" si="150"/>
        <v>1</v>
      </c>
      <c r="J725">
        <f t="shared" ca="1" si="151"/>
        <v>0</v>
      </c>
      <c r="K725">
        <f t="shared" ca="1" si="152"/>
        <v>0</v>
      </c>
      <c r="L725">
        <f t="shared" ca="1" si="153"/>
        <v>0</v>
      </c>
      <c r="M725">
        <f t="shared" ca="1" si="154"/>
        <v>6</v>
      </c>
      <c r="N725">
        <f t="shared" ca="1" si="155"/>
        <v>0</v>
      </c>
    </row>
    <row r="726" spans="1:14" x14ac:dyDescent="0.35">
      <c r="A726" t="s">
        <v>743</v>
      </c>
      <c r="B726" t="str">
        <f t="shared" si="143"/>
        <v>Control</v>
      </c>
      <c r="C726">
        <f t="shared" ca="1" si="144"/>
        <v>37</v>
      </c>
      <c r="D726" t="str">
        <f t="shared" ca="1" si="145"/>
        <v>Female</v>
      </c>
      <c r="E726" t="str">
        <f t="shared" ca="1" si="146"/>
        <v>Ethnic Wear</v>
      </c>
      <c r="F726">
        <f t="shared" ca="1" si="147"/>
        <v>5502</v>
      </c>
      <c r="G726">
        <f t="shared" ca="1" si="148"/>
        <v>10</v>
      </c>
      <c r="H726">
        <f t="shared" ca="1" si="149"/>
        <v>4951.8</v>
      </c>
      <c r="I726">
        <f t="shared" ca="1" si="150"/>
        <v>1</v>
      </c>
      <c r="J726">
        <f t="shared" ca="1" si="151"/>
        <v>1</v>
      </c>
      <c r="K726">
        <f t="shared" ca="1" si="152"/>
        <v>0</v>
      </c>
      <c r="L726">
        <f t="shared" ca="1" si="153"/>
        <v>0</v>
      </c>
      <c r="M726">
        <f t="shared" ca="1" si="154"/>
        <v>1</v>
      </c>
      <c r="N726">
        <f t="shared" ca="1" si="155"/>
        <v>0</v>
      </c>
    </row>
    <row r="727" spans="1:14" x14ac:dyDescent="0.35">
      <c r="A727" t="s">
        <v>744</v>
      </c>
      <c r="B727" t="str">
        <f t="shared" si="143"/>
        <v>Control</v>
      </c>
      <c r="C727">
        <f t="shared" ca="1" si="144"/>
        <v>34</v>
      </c>
      <c r="D727" t="str">
        <f t="shared" ca="1" si="145"/>
        <v>Male</v>
      </c>
      <c r="E727" t="str">
        <f t="shared" ca="1" si="146"/>
        <v>Shoes</v>
      </c>
      <c r="F727">
        <f t="shared" ca="1" si="147"/>
        <v>2981</v>
      </c>
      <c r="G727">
        <f t="shared" ca="1" si="148"/>
        <v>10</v>
      </c>
      <c r="H727">
        <f t="shared" ca="1" si="149"/>
        <v>2682.9</v>
      </c>
      <c r="I727">
        <f t="shared" ca="1" si="150"/>
        <v>1</v>
      </c>
      <c r="J727">
        <f t="shared" ca="1" si="151"/>
        <v>1</v>
      </c>
      <c r="K727">
        <f t="shared" ca="1" si="152"/>
        <v>0</v>
      </c>
      <c r="L727">
        <f t="shared" ca="1" si="153"/>
        <v>0</v>
      </c>
      <c r="M727">
        <f t="shared" ca="1" si="154"/>
        <v>7</v>
      </c>
      <c r="N727">
        <f t="shared" ca="1" si="155"/>
        <v>0</v>
      </c>
    </row>
    <row r="728" spans="1:14" x14ac:dyDescent="0.35">
      <c r="A728" t="s">
        <v>745</v>
      </c>
      <c r="B728" t="str">
        <f t="shared" si="143"/>
        <v>Control</v>
      </c>
      <c r="C728">
        <f t="shared" ca="1" si="144"/>
        <v>45</v>
      </c>
      <c r="D728" t="str">
        <f t="shared" ca="1" si="145"/>
        <v>Female</v>
      </c>
      <c r="E728" t="str">
        <f t="shared" ca="1" si="146"/>
        <v>Accessories</v>
      </c>
      <c r="F728">
        <f t="shared" ca="1" si="147"/>
        <v>7728</v>
      </c>
      <c r="G728">
        <f t="shared" ca="1" si="148"/>
        <v>10</v>
      </c>
      <c r="H728">
        <f t="shared" ca="1" si="149"/>
        <v>6955.2</v>
      </c>
      <c r="I728">
        <f t="shared" ca="1" si="150"/>
        <v>1</v>
      </c>
      <c r="J728">
        <f t="shared" ca="1" si="151"/>
        <v>1</v>
      </c>
      <c r="K728">
        <f t="shared" ca="1" si="152"/>
        <v>0</v>
      </c>
      <c r="L728">
        <f t="shared" ca="1" si="153"/>
        <v>0</v>
      </c>
      <c r="M728">
        <f t="shared" ca="1" si="154"/>
        <v>1</v>
      </c>
      <c r="N728">
        <f t="shared" ca="1" si="155"/>
        <v>0</v>
      </c>
    </row>
    <row r="729" spans="1:14" x14ac:dyDescent="0.35">
      <c r="A729" t="s">
        <v>746</v>
      </c>
      <c r="B729" t="str">
        <f t="shared" si="143"/>
        <v>Control</v>
      </c>
      <c r="C729">
        <f t="shared" ca="1" si="144"/>
        <v>26</v>
      </c>
      <c r="D729" t="str">
        <f t="shared" ca="1" si="145"/>
        <v>Female</v>
      </c>
      <c r="E729" t="str">
        <f t="shared" ca="1" si="146"/>
        <v>Jeans</v>
      </c>
      <c r="F729">
        <f t="shared" ca="1" si="147"/>
        <v>2012</v>
      </c>
      <c r="G729">
        <f t="shared" ca="1" si="148"/>
        <v>10</v>
      </c>
      <c r="H729">
        <f t="shared" ca="1" si="149"/>
        <v>1810.8</v>
      </c>
      <c r="I729">
        <f t="shared" ca="1" si="150"/>
        <v>0</v>
      </c>
      <c r="J729">
        <f t="shared" ca="1" si="151"/>
        <v>0</v>
      </c>
      <c r="K729">
        <f t="shared" ca="1" si="152"/>
        <v>0</v>
      </c>
      <c r="L729">
        <f t="shared" ca="1" si="153"/>
        <v>0</v>
      </c>
      <c r="M729">
        <f t="shared" ca="1" si="154"/>
        <v>5</v>
      </c>
      <c r="N729">
        <f t="shared" ca="1" si="155"/>
        <v>0</v>
      </c>
    </row>
    <row r="730" spans="1:14" x14ac:dyDescent="0.35">
      <c r="A730" t="s">
        <v>747</v>
      </c>
      <c r="B730" t="str">
        <f t="shared" si="143"/>
        <v>Control</v>
      </c>
      <c r="C730">
        <f t="shared" ca="1" si="144"/>
        <v>44</v>
      </c>
      <c r="D730" t="str">
        <f t="shared" ca="1" si="145"/>
        <v>Female</v>
      </c>
      <c r="E730" t="str">
        <f t="shared" ca="1" si="146"/>
        <v>Shoes</v>
      </c>
      <c r="F730">
        <f t="shared" ca="1" si="147"/>
        <v>3271</v>
      </c>
      <c r="G730">
        <f t="shared" ca="1" si="148"/>
        <v>10</v>
      </c>
      <c r="H730">
        <f t="shared" ca="1" si="149"/>
        <v>2943.9</v>
      </c>
      <c r="I730">
        <f t="shared" ca="1" si="150"/>
        <v>1</v>
      </c>
      <c r="J730">
        <f t="shared" ca="1" si="151"/>
        <v>0</v>
      </c>
      <c r="K730">
        <f t="shared" ca="1" si="152"/>
        <v>0</v>
      </c>
      <c r="L730">
        <f t="shared" ca="1" si="153"/>
        <v>0</v>
      </c>
      <c r="M730">
        <f t="shared" ca="1" si="154"/>
        <v>7</v>
      </c>
      <c r="N730">
        <f t="shared" ca="1" si="155"/>
        <v>0</v>
      </c>
    </row>
    <row r="731" spans="1:14" x14ac:dyDescent="0.35">
      <c r="A731" t="s">
        <v>748</v>
      </c>
      <c r="B731" t="str">
        <f t="shared" si="143"/>
        <v>Control</v>
      </c>
      <c r="C731">
        <f t="shared" ca="1" si="144"/>
        <v>35</v>
      </c>
      <c r="D731" t="str">
        <f t="shared" ca="1" si="145"/>
        <v>Male</v>
      </c>
      <c r="E731" t="str">
        <f t="shared" ca="1" si="146"/>
        <v>Ethnic Wear</v>
      </c>
      <c r="F731">
        <f t="shared" ca="1" si="147"/>
        <v>3805</v>
      </c>
      <c r="G731">
        <f t="shared" ca="1" si="148"/>
        <v>10</v>
      </c>
      <c r="H731">
        <f t="shared" ca="1" si="149"/>
        <v>3424.5</v>
      </c>
      <c r="I731">
        <f t="shared" ca="1" si="150"/>
        <v>1</v>
      </c>
      <c r="J731">
        <f t="shared" ca="1" si="151"/>
        <v>0</v>
      </c>
      <c r="K731">
        <f t="shared" ca="1" si="152"/>
        <v>0</v>
      </c>
      <c r="L731">
        <f t="shared" ca="1" si="153"/>
        <v>0</v>
      </c>
      <c r="M731">
        <f t="shared" ca="1" si="154"/>
        <v>6</v>
      </c>
      <c r="N731">
        <f t="shared" ca="1" si="155"/>
        <v>0</v>
      </c>
    </row>
    <row r="732" spans="1:14" x14ac:dyDescent="0.35">
      <c r="A732" t="s">
        <v>749</v>
      </c>
      <c r="B732" t="str">
        <f t="shared" si="143"/>
        <v>Control</v>
      </c>
      <c r="C732">
        <f t="shared" ca="1" si="144"/>
        <v>36</v>
      </c>
      <c r="D732" t="str">
        <f t="shared" ca="1" si="145"/>
        <v>Female</v>
      </c>
      <c r="E732" t="str">
        <f t="shared" ca="1" si="146"/>
        <v>Dresses</v>
      </c>
      <c r="F732">
        <f t="shared" ca="1" si="147"/>
        <v>3615</v>
      </c>
      <c r="G732">
        <f t="shared" ca="1" si="148"/>
        <v>10</v>
      </c>
      <c r="H732">
        <f t="shared" ca="1" si="149"/>
        <v>3253.5</v>
      </c>
      <c r="I732">
        <f t="shared" ca="1" si="150"/>
        <v>1</v>
      </c>
      <c r="J732">
        <f t="shared" ca="1" si="151"/>
        <v>0</v>
      </c>
      <c r="K732">
        <f t="shared" ca="1" si="152"/>
        <v>0</v>
      </c>
      <c r="L732">
        <f t="shared" ca="1" si="153"/>
        <v>0</v>
      </c>
      <c r="M732">
        <f t="shared" ca="1" si="154"/>
        <v>2</v>
      </c>
      <c r="N732">
        <f t="shared" ca="1" si="155"/>
        <v>0</v>
      </c>
    </row>
    <row r="733" spans="1:14" x14ac:dyDescent="0.35">
      <c r="A733" t="s">
        <v>750</v>
      </c>
      <c r="B733" t="str">
        <f t="shared" si="143"/>
        <v>Control</v>
      </c>
      <c r="C733">
        <f t="shared" ca="1" si="144"/>
        <v>23</v>
      </c>
      <c r="D733" t="str">
        <f t="shared" ca="1" si="145"/>
        <v>Male</v>
      </c>
      <c r="E733" t="str">
        <f t="shared" ca="1" si="146"/>
        <v>Accessories</v>
      </c>
      <c r="F733">
        <f t="shared" ca="1" si="147"/>
        <v>6858</v>
      </c>
      <c r="G733">
        <f t="shared" ca="1" si="148"/>
        <v>10</v>
      </c>
      <c r="H733">
        <f t="shared" ca="1" si="149"/>
        <v>6172.2</v>
      </c>
      <c r="I733">
        <f t="shared" ca="1" si="150"/>
        <v>1</v>
      </c>
      <c r="J733">
        <f t="shared" ca="1" si="151"/>
        <v>1</v>
      </c>
      <c r="K733">
        <f t="shared" ca="1" si="152"/>
        <v>0</v>
      </c>
      <c r="L733">
        <f t="shared" ca="1" si="153"/>
        <v>0</v>
      </c>
      <c r="M733">
        <f t="shared" ca="1" si="154"/>
        <v>3</v>
      </c>
      <c r="N733">
        <f t="shared" ca="1" si="155"/>
        <v>0</v>
      </c>
    </row>
    <row r="734" spans="1:14" x14ac:dyDescent="0.35">
      <c r="A734" t="s">
        <v>751</v>
      </c>
      <c r="B734" t="str">
        <f t="shared" si="143"/>
        <v>Control</v>
      </c>
      <c r="C734">
        <f t="shared" ca="1" si="144"/>
        <v>29</v>
      </c>
      <c r="D734" t="str">
        <f t="shared" ca="1" si="145"/>
        <v>Female</v>
      </c>
      <c r="E734" t="str">
        <f t="shared" ca="1" si="146"/>
        <v>Sportswear</v>
      </c>
      <c r="F734">
        <f t="shared" ca="1" si="147"/>
        <v>6004</v>
      </c>
      <c r="G734">
        <f t="shared" ca="1" si="148"/>
        <v>10</v>
      </c>
      <c r="H734">
        <f t="shared" ca="1" si="149"/>
        <v>5403.6</v>
      </c>
      <c r="I734">
        <f t="shared" ca="1" si="150"/>
        <v>1</v>
      </c>
      <c r="J734">
        <f t="shared" ca="1" si="151"/>
        <v>0</v>
      </c>
      <c r="K734">
        <f t="shared" ca="1" si="152"/>
        <v>0</v>
      </c>
      <c r="L734">
        <f t="shared" ca="1" si="153"/>
        <v>0</v>
      </c>
      <c r="M734">
        <f t="shared" ca="1" si="154"/>
        <v>1</v>
      </c>
      <c r="N734">
        <f t="shared" ca="1" si="155"/>
        <v>0</v>
      </c>
    </row>
    <row r="735" spans="1:14" x14ac:dyDescent="0.35">
      <c r="A735" t="s">
        <v>752</v>
      </c>
      <c r="B735" t="str">
        <f t="shared" si="143"/>
        <v>Control</v>
      </c>
      <c r="C735">
        <f t="shared" ca="1" si="144"/>
        <v>45</v>
      </c>
      <c r="D735" t="str">
        <f t="shared" ca="1" si="145"/>
        <v>Female</v>
      </c>
      <c r="E735" t="str">
        <f t="shared" ca="1" si="146"/>
        <v>Tops</v>
      </c>
      <c r="F735">
        <f t="shared" ca="1" si="147"/>
        <v>5483</v>
      </c>
      <c r="G735">
        <f t="shared" ca="1" si="148"/>
        <v>10</v>
      </c>
      <c r="H735">
        <f t="shared" ca="1" si="149"/>
        <v>4934.7</v>
      </c>
      <c r="I735">
        <f t="shared" ca="1" si="150"/>
        <v>1</v>
      </c>
      <c r="J735">
        <f t="shared" ca="1" si="151"/>
        <v>0</v>
      </c>
      <c r="K735">
        <f t="shared" ca="1" si="152"/>
        <v>0</v>
      </c>
      <c r="L735">
        <f t="shared" ca="1" si="153"/>
        <v>0</v>
      </c>
      <c r="M735">
        <f t="shared" ca="1" si="154"/>
        <v>1</v>
      </c>
      <c r="N735">
        <f t="shared" ca="1" si="155"/>
        <v>0</v>
      </c>
    </row>
    <row r="736" spans="1:14" x14ac:dyDescent="0.35">
      <c r="A736" t="s">
        <v>753</v>
      </c>
      <c r="B736" t="str">
        <f t="shared" si="143"/>
        <v>Control</v>
      </c>
      <c r="C736">
        <f t="shared" ca="1" si="144"/>
        <v>23</v>
      </c>
      <c r="D736" t="str">
        <f t="shared" ca="1" si="145"/>
        <v>Female</v>
      </c>
      <c r="E736" t="str">
        <f t="shared" ca="1" si="146"/>
        <v>Tops</v>
      </c>
      <c r="F736">
        <f t="shared" ca="1" si="147"/>
        <v>707</v>
      </c>
      <c r="G736">
        <f t="shared" ca="1" si="148"/>
        <v>10</v>
      </c>
      <c r="H736">
        <f t="shared" ca="1" si="149"/>
        <v>636.30000000000007</v>
      </c>
      <c r="I736">
        <f t="shared" ca="1" si="150"/>
        <v>1</v>
      </c>
      <c r="J736">
        <f t="shared" ca="1" si="151"/>
        <v>0</v>
      </c>
      <c r="K736">
        <f t="shared" ca="1" si="152"/>
        <v>0</v>
      </c>
      <c r="L736">
        <f t="shared" ca="1" si="153"/>
        <v>0</v>
      </c>
      <c r="M736">
        <f t="shared" ca="1" si="154"/>
        <v>7</v>
      </c>
      <c r="N736">
        <f t="shared" ca="1" si="155"/>
        <v>0</v>
      </c>
    </row>
    <row r="737" spans="1:14" x14ac:dyDescent="0.35">
      <c r="A737" t="s">
        <v>754</v>
      </c>
      <c r="B737" t="str">
        <f t="shared" si="143"/>
        <v>Control</v>
      </c>
      <c r="C737">
        <f t="shared" ca="1" si="144"/>
        <v>29</v>
      </c>
      <c r="D737" t="str">
        <f t="shared" ca="1" si="145"/>
        <v>Other</v>
      </c>
      <c r="E737" t="str">
        <f t="shared" ca="1" si="146"/>
        <v>Sportswear</v>
      </c>
      <c r="F737">
        <f t="shared" ca="1" si="147"/>
        <v>7720</v>
      </c>
      <c r="G737">
        <f t="shared" ca="1" si="148"/>
        <v>10</v>
      </c>
      <c r="H737">
        <f t="shared" ca="1" si="149"/>
        <v>6948</v>
      </c>
      <c r="I737">
        <f t="shared" ca="1" si="150"/>
        <v>1</v>
      </c>
      <c r="J737">
        <f t="shared" ca="1" si="151"/>
        <v>1</v>
      </c>
      <c r="K737">
        <f t="shared" ca="1" si="152"/>
        <v>0</v>
      </c>
      <c r="L737">
        <f t="shared" ca="1" si="153"/>
        <v>0</v>
      </c>
      <c r="M737">
        <f t="shared" ca="1" si="154"/>
        <v>5</v>
      </c>
      <c r="N737">
        <f t="shared" ca="1" si="155"/>
        <v>0</v>
      </c>
    </row>
    <row r="738" spans="1:14" x14ac:dyDescent="0.35">
      <c r="A738" t="s">
        <v>755</v>
      </c>
      <c r="B738" t="str">
        <f t="shared" si="143"/>
        <v>Control</v>
      </c>
      <c r="C738">
        <f t="shared" ca="1" si="144"/>
        <v>37</v>
      </c>
      <c r="D738" t="str">
        <f t="shared" ca="1" si="145"/>
        <v>Male</v>
      </c>
      <c r="E738" t="str">
        <f t="shared" ca="1" si="146"/>
        <v>Accessories</v>
      </c>
      <c r="F738">
        <f t="shared" ca="1" si="147"/>
        <v>2169</v>
      </c>
      <c r="G738">
        <f t="shared" ca="1" si="148"/>
        <v>10</v>
      </c>
      <c r="H738">
        <f t="shared" ca="1" si="149"/>
        <v>1952.1000000000001</v>
      </c>
      <c r="I738">
        <f t="shared" ca="1" si="150"/>
        <v>1</v>
      </c>
      <c r="J738">
        <f t="shared" ca="1" si="151"/>
        <v>0</v>
      </c>
      <c r="K738">
        <f t="shared" ca="1" si="152"/>
        <v>0</v>
      </c>
      <c r="L738">
        <f t="shared" ca="1" si="153"/>
        <v>0</v>
      </c>
      <c r="M738">
        <f t="shared" ca="1" si="154"/>
        <v>7</v>
      </c>
      <c r="N738">
        <f t="shared" ca="1" si="155"/>
        <v>0</v>
      </c>
    </row>
    <row r="739" spans="1:14" x14ac:dyDescent="0.35">
      <c r="A739" t="s">
        <v>756</v>
      </c>
      <c r="B739" t="str">
        <f t="shared" si="143"/>
        <v>Control</v>
      </c>
      <c r="C739">
        <f t="shared" ca="1" si="144"/>
        <v>25</v>
      </c>
      <c r="D739" t="str">
        <f t="shared" ca="1" si="145"/>
        <v>Female</v>
      </c>
      <c r="E739" t="str">
        <f t="shared" ca="1" si="146"/>
        <v>Sportswear</v>
      </c>
      <c r="F739">
        <f t="shared" ca="1" si="147"/>
        <v>3884</v>
      </c>
      <c r="G739">
        <f t="shared" ca="1" si="148"/>
        <v>10</v>
      </c>
      <c r="H739">
        <f t="shared" ca="1" si="149"/>
        <v>3495.6</v>
      </c>
      <c r="I739">
        <f t="shared" ca="1" si="150"/>
        <v>1</v>
      </c>
      <c r="J739">
        <f t="shared" ca="1" si="151"/>
        <v>0</v>
      </c>
      <c r="K739">
        <f t="shared" ca="1" si="152"/>
        <v>0</v>
      </c>
      <c r="L739">
        <f t="shared" ca="1" si="153"/>
        <v>0</v>
      </c>
      <c r="M739">
        <f t="shared" ca="1" si="154"/>
        <v>3</v>
      </c>
      <c r="N739">
        <f t="shared" ca="1" si="155"/>
        <v>0</v>
      </c>
    </row>
    <row r="740" spans="1:14" x14ac:dyDescent="0.35">
      <c r="A740" t="s">
        <v>757</v>
      </c>
      <c r="B740" t="str">
        <f t="shared" si="143"/>
        <v>Control</v>
      </c>
      <c r="C740">
        <f t="shared" ca="1" si="144"/>
        <v>36</v>
      </c>
      <c r="D740" t="str">
        <f t="shared" ca="1" si="145"/>
        <v>Female</v>
      </c>
      <c r="E740" t="str">
        <f t="shared" ca="1" si="146"/>
        <v>Dresses</v>
      </c>
      <c r="F740">
        <f t="shared" ca="1" si="147"/>
        <v>683</v>
      </c>
      <c r="G740">
        <f t="shared" ca="1" si="148"/>
        <v>10</v>
      </c>
      <c r="H740">
        <f t="shared" ca="1" si="149"/>
        <v>614.70000000000005</v>
      </c>
      <c r="I740">
        <f t="shared" ca="1" si="150"/>
        <v>1</v>
      </c>
      <c r="J740">
        <f t="shared" ca="1" si="151"/>
        <v>0</v>
      </c>
      <c r="K740">
        <f t="shared" ca="1" si="152"/>
        <v>0</v>
      </c>
      <c r="L740">
        <f t="shared" ca="1" si="153"/>
        <v>0</v>
      </c>
      <c r="M740">
        <f t="shared" ca="1" si="154"/>
        <v>1</v>
      </c>
      <c r="N740">
        <f t="shared" ca="1" si="155"/>
        <v>0</v>
      </c>
    </row>
    <row r="741" spans="1:14" x14ac:dyDescent="0.35">
      <c r="A741" t="s">
        <v>758</v>
      </c>
      <c r="B741" t="str">
        <f t="shared" si="143"/>
        <v>Control</v>
      </c>
      <c r="C741">
        <f t="shared" ca="1" si="144"/>
        <v>23</v>
      </c>
      <c r="D741" t="str">
        <f t="shared" ca="1" si="145"/>
        <v>Female</v>
      </c>
      <c r="E741" t="str">
        <f t="shared" ca="1" si="146"/>
        <v>Dresses</v>
      </c>
      <c r="F741">
        <f t="shared" ca="1" si="147"/>
        <v>6959</v>
      </c>
      <c r="G741">
        <f t="shared" ca="1" si="148"/>
        <v>10</v>
      </c>
      <c r="H741">
        <f t="shared" ca="1" si="149"/>
        <v>6263.1</v>
      </c>
      <c r="I741">
        <f t="shared" ca="1" si="150"/>
        <v>1</v>
      </c>
      <c r="J741">
        <f t="shared" ca="1" si="151"/>
        <v>1</v>
      </c>
      <c r="K741">
        <f t="shared" ca="1" si="152"/>
        <v>1</v>
      </c>
      <c r="L741">
        <f t="shared" ca="1" si="153"/>
        <v>6263.1</v>
      </c>
      <c r="M741">
        <f t="shared" ca="1" si="154"/>
        <v>5</v>
      </c>
      <c r="N741">
        <f t="shared" ca="1" si="155"/>
        <v>0</v>
      </c>
    </row>
    <row r="742" spans="1:14" x14ac:dyDescent="0.35">
      <c r="A742" t="s">
        <v>759</v>
      </c>
      <c r="B742" t="str">
        <f t="shared" si="143"/>
        <v>Control</v>
      </c>
      <c r="C742">
        <f t="shared" ca="1" si="144"/>
        <v>34</v>
      </c>
      <c r="D742" t="str">
        <f t="shared" ca="1" si="145"/>
        <v>Female</v>
      </c>
      <c r="E742" t="str">
        <f t="shared" ca="1" si="146"/>
        <v>Accessories</v>
      </c>
      <c r="F742">
        <f t="shared" ca="1" si="147"/>
        <v>5173</v>
      </c>
      <c r="G742">
        <f t="shared" ca="1" si="148"/>
        <v>10</v>
      </c>
      <c r="H742">
        <f t="shared" ca="1" si="149"/>
        <v>4655.7</v>
      </c>
      <c r="I742">
        <f t="shared" ca="1" si="150"/>
        <v>0</v>
      </c>
      <c r="J742">
        <f t="shared" ca="1" si="151"/>
        <v>0</v>
      </c>
      <c r="K742">
        <f t="shared" ca="1" si="152"/>
        <v>0</v>
      </c>
      <c r="L742">
        <f t="shared" ca="1" si="153"/>
        <v>0</v>
      </c>
      <c r="M742">
        <f t="shared" ca="1" si="154"/>
        <v>2</v>
      </c>
      <c r="N742">
        <f t="shared" ca="1" si="155"/>
        <v>0</v>
      </c>
    </row>
    <row r="743" spans="1:14" x14ac:dyDescent="0.35">
      <c r="A743" t="s">
        <v>760</v>
      </c>
      <c r="B743" t="str">
        <f t="shared" si="143"/>
        <v>Control</v>
      </c>
      <c r="C743">
        <f t="shared" ca="1" si="144"/>
        <v>33</v>
      </c>
      <c r="D743" t="str">
        <f t="shared" ca="1" si="145"/>
        <v>Male</v>
      </c>
      <c r="E743" t="str">
        <f t="shared" ca="1" si="146"/>
        <v>Shoes</v>
      </c>
      <c r="F743">
        <f t="shared" ca="1" si="147"/>
        <v>6509</v>
      </c>
      <c r="G743">
        <f t="shared" ca="1" si="148"/>
        <v>10</v>
      </c>
      <c r="H743">
        <f t="shared" ca="1" si="149"/>
        <v>5858.1</v>
      </c>
      <c r="I743">
        <f t="shared" ca="1" si="150"/>
        <v>1</v>
      </c>
      <c r="J743">
        <f t="shared" ca="1" si="151"/>
        <v>1</v>
      </c>
      <c r="K743">
        <f t="shared" ca="1" si="152"/>
        <v>0</v>
      </c>
      <c r="L743">
        <f t="shared" ca="1" si="153"/>
        <v>0</v>
      </c>
      <c r="M743">
        <f t="shared" ca="1" si="154"/>
        <v>5</v>
      </c>
      <c r="N743">
        <f t="shared" ca="1" si="155"/>
        <v>0</v>
      </c>
    </row>
    <row r="744" spans="1:14" x14ac:dyDescent="0.35">
      <c r="A744" t="s">
        <v>761</v>
      </c>
      <c r="B744" t="str">
        <f t="shared" si="143"/>
        <v>Control</v>
      </c>
      <c r="C744">
        <f t="shared" ca="1" si="144"/>
        <v>18</v>
      </c>
      <c r="D744" t="str">
        <f t="shared" ca="1" si="145"/>
        <v>Male</v>
      </c>
      <c r="E744" t="str">
        <f t="shared" ca="1" si="146"/>
        <v>Accessories</v>
      </c>
      <c r="F744">
        <f t="shared" ca="1" si="147"/>
        <v>967</v>
      </c>
      <c r="G744">
        <f t="shared" ca="1" si="148"/>
        <v>10</v>
      </c>
      <c r="H744">
        <f t="shared" ca="1" si="149"/>
        <v>870.30000000000007</v>
      </c>
      <c r="I744">
        <f t="shared" ca="1" si="150"/>
        <v>1</v>
      </c>
      <c r="J744">
        <f t="shared" ca="1" si="151"/>
        <v>1</v>
      </c>
      <c r="K744">
        <f t="shared" ca="1" si="152"/>
        <v>0</v>
      </c>
      <c r="L744">
        <f t="shared" ca="1" si="153"/>
        <v>0</v>
      </c>
      <c r="M744">
        <f t="shared" ca="1" si="154"/>
        <v>4</v>
      </c>
      <c r="N744">
        <f t="shared" ca="1" si="155"/>
        <v>0</v>
      </c>
    </row>
    <row r="745" spans="1:14" x14ac:dyDescent="0.35">
      <c r="A745" t="s">
        <v>762</v>
      </c>
      <c r="B745" t="str">
        <f t="shared" si="143"/>
        <v>Control</v>
      </c>
      <c r="C745">
        <f t="shared" ca="1" si="144"/>
        <v>32</v>
      </c>
      <c r="D745" t="str">
        <f t="shared" ca="1" si="145"/>
        <v>Female</v>
      </c>
      <c r="E745" t="str">
        <f t="shared" ca="1" si="146"/>
        <v>Shoes</v>
      </c>
      <c r="F745">
        <f t="shared" ca="1" si="147"/>
        <v>7605</v>
      </c>
      <c r="G745">
        <f t="shared" ca="1" si="148"/>
        <v>10</v>
      </c>
      <c r="H745">
        <f t="shared" ca="1" si="149"/>
        <v>6844.5</v>
      </c>
      <c r="I745">
        <f t="shared" ca="1" si="150"/>
        <v>1</v>
      </c>
      <c r="J745">
        <f t="shared" ca="1" si="151"/>
        <v>1</v>
      </c>
      <c r="K745">
        <f t="shared" ca="1" si="152"/>
        <v>0</v>
      </c>
      <c r="L745">
        <f t="shared" ca="1" si="153"/>
        <v>0</v>
      </c>
      <c r="M745">
        <f t="shared" ca="1" si="154"/>
        <v>3</v>
      </c>
      <c r="N745">
        <f t="shared" ca="1" si="155"/>
        <v>0</v>
      </c>
    </row>
    <row r="746" spans="1:14" x14ac:dyDescent="0.35">
      <c r="A746" t="s">
        <v>763</v>
      </c>
      <c r="B746" t="str">
        <f t="shared" si="143"/>
        <v>Control</v>
      </c>
      <c r="C746">
        <f t="shared" ca="1" si="144"/>
        <v>18</v>
      </c>
      <c r="D746" t="str">
        <f t="shared" ca="1" si="145"/>
        <v>Male</v>
      </c>
      <c r="E746" t="str">
        <f t="shared" ca="1" si="146"/>
        <v>Accessories</v>
      </c>
      <c r="F746">
        <f t="shared" ca="1" si="147"/>
        <v>7929</v>
      </c>
      <c r="G746">
        <f t="shared" ca="1" si="148"/>
        <v>10</v>
      </c>
      <c r="H746">
        <f t="shared" ca="1" si="149"/>
        <v>7136.1</v>
      </c>
      <c r="I746">
        <f t="shared" ca="1" si="150"/>
        <v>1</v>
      </c>
      <c r="J746">
        <f t="shared" ca="1" si="151"/>
        <v>1</v>
      </c>
      <c r="K746">
        <f t="shared" ca="1" si="152"/>
        <v>0</v>
      </c>
      <c r="L746">
        <f t="shared" ca="1" si="153"/>
        <v>0</v>
      </c>
      <c r="M746">
        <f t="shared" ca="1" si="154"/>
        <v>5</v>
      </c>
      <c r="N746">
        <f t="shared" ca="1" si="155"/>
        <v>0</v>
      </c>
    </row>
    <row r="747" spans="1:14" x14ac:dyDescent="0.35">
      <c r="A747" t="s">
        <v>764</v>
      </c>
      <c r="B747" t="str">
        <f t="shared" si="143"/>
        <v>Control</v>
      </c>
      <c r="C747">
        <f t="shared" ca="1" si="144"/>
        <v>21</v>
      </c>
      <c r="D747" t="str">
        <f t="shared" ca="1" si="145"/>
        <v>Female</v>
      </c>
      <c r="E747" t="str">
        <f t="shared" ca="1" si="146"/>
        <v>Shoes</v>
      </c>
      <c r="F747">
        <f t="shared" ca="1" si="147"/>
        <v>3658</v>
      </c>
      <c r="G747">
        <f t="shared" ca="1" si="148"/>
        <v>10</v>
      </c>
      <c r="H747">
        <f t="shared" ca="1" si="149"/>
        <v>3292.2000000000003</v>
      </c>
      <c r="I747">
        <f t="shared" ca="1" si="150"/>
        <v>1</v>
      </c>
      <c r="J747">
        <f t="shared" ca="1" si="151"/>
        <v>1</v>
      </c>
      <c r="K747">
        <f t="shared" ca="1" si="152"/>
        <v>0</v>
      </c>
      <c r="L747">
        <f t="shared" ca="1" si="153"/>
        <v>0</v>
      </c>
      <c r="M747">
        <f t="shared" ca="1" si="154"/>
        <v>7</v>
      </c>
      <c r="N747">
        <f t="shared" ca="1" si="155"/>
        <v>0</v>
      </c>
    </row>
    <row r="748" spans="1:14" x14ac:dyDescent="0.35">
      <c r="A748" t="s">
        <v>765</v>
      </c>
      <c r="B748" t="str">
        <f t="shared" si="143"/>
        <v>Control</v>
      </c>
      <c r="C748">
        <f t="shared" ca="1" si="144"/>
        <v>36</v>
      </c>
      <c r="D748" t="str">
        <f t="shared" ca="1" si="145"/>
        <v>Male</v>
      </c>
      <c r="E748" t="str">
        <f t="shared" ca="1" si="146"/>
        <v>Sportswear</v>
      </c>
      <c r="F748">
        <f t="shared" ca="1" si="147"/>
        <v>392</v>
      </c>
      <c r="G748">
        <f t="shared" ca="1" si="148"/>
        <v>10</v>
      </c>
      <c r="H748">
        <f t="shared" ca="1" si="149"/>
        <v>352.8</v>
      </c>
      <c r="I748">
        <f t="shared" ca="1" si="150"/>
        <v>1</v>
      </c>
      <c r="J748">
        <f t="shared" ca="1" si="151"/>
        <v>0</v>
      </c>
      <c r="K748">
        <f t="shared" ca="1" si="152"/>
        <v>0</v>
      </c>
      <c r="L748">
        <f t="shared" ca="1" si="153"/>
        <v>0</v>
      </c>
      <c r="M748">
        <f t="shared" ca="1" si="154"/>
        <v>2</v>
      </c>
      <c r="N748">
        <f t="shared" ca="1" si="155"/>
        <v>0</v>
      </c>
    </row>
    <row r="749" spans="1:14" x14ac:dyDescent="0.35">
      <c r="A749" t="s">
        <v>766</v>
      </c>
      <c r="B749" t="str">
        <f t="shared" si="143"/>
        <v>Control</v>
      </c>
      <c r="C749">
        <f t="shared" ca="1" si="144"/>
        <v>40</v>
      </c>
      <c r="D749" t="str">
        <f t="shared" ca="1" si="145"/>
        <v>Female</v>
      </c>
      <c r="E749" t="str">
        <f t="shared" ca="1" si="146"/>
        <v>Dresses</v>
      </c>
      <c r="F749">
        <f t="shared" ca="1" si="147"/>
        <v>7406</v>
      </c>
      <c r="G749">
        <f t="shared" ca="1" si="148"/>
        <v>10</v>
      </c>
      <c r="H749">
        <f t="shared" ca="1" si="149"/>
        <v>6665.4000000000005</v>
      </c>
      <c r="I749">
        <f t="shared" ca="1" si="150"/>
        <v>1</v>
      </c>
      <c r="J749">
        <f t="shared" ca="1" si="151"/>
        <v>1</v>
      </c>
      <c r="K749">
        <f t="shared" ca="1" si="152"/>
        <v>0</v>
      </c>
      <c r="L749">
        <f t="shared" ca="1" si="153"/>
        <v>0</v>
      </c>
      <c r="M749">
        <f t="shared" ca="1" si="154"/>
        <v>4</v>
      </c>
      <c r="N749">
        <f t="shared" ca="1" si="155"/>
        <v>0</v>
      </c>
    </row>
    <row r="750" spans="1:14" x14ac:dyDescent="0.35">
      <c r="A750" t="s">
        <v>767</v>
      </c>
      <c r="B750" t="str">
        <f t="shared" si="143"/>
        <v>Control</v>
      </c>
      <c r="C750">
        <f t="shared" ca="1" si="144"/>
        <v>40</v>
      </c>
      <c r="D750" t="str">
        <f t="shared" ca="1" si="145"/>
        <v>Male</v>
      </c>
      <c r="E750" t="str">
        <f t="shared" ca="1" si="146"/>
        <v>Tops</v>
      </c>
      <c r="F750">
        <f t="shared" ca="1" si="147"/>
        <v>5870</v>
      </c>
      <c r="G750">
        <f t="shared" ca="1" si="148"/>
        <v>10</v>
      </c>
      <c r="H750">
        <f t="shared" ca="1" si="149"/>
        <v>5283</v>
      </c>
      <c r="I750">
        <f t="shared" ca="1" si="150"/>
        <v>1</v>
      </c>
      <c r="J750">
        <f t="shared" ca="1" si="151"/>
        <v>0</v>
      </c>
      <c r="K750">
        <f t="shared" ca="1" si="152"/>
        <v>0</v>
      </c>
      <c r="L750">
        <f t="shared" ca="1" si="153"/>
        <v>0</v>
      </c>
      <c r="M750">
        <f t="shared" ca="1" si="154"/>
        <v>7</v>
      </c>
      <c r="N750">
        <f t="shared" ca="1" si="155"/>
        <v>0</v>
      </c>
    </row>
    <row r="751" spans="1:14" x14ac:dyDescent="0.35">
      <c r="A751" t="s">
        <v>768</v>
      </c>
      <c r="B751" t="str">
        <f t="shared" si="143"/>
        <v>Control</v>
      </c>
      <c r="C751">
        <f t="shared" ca="1" si="144"/>
        <v>20</v>
      </c>
      <c r="D751" t="str">
        <f t="shared" ca="1" si="145"/>
        <v>Female</v>
      </c>
      <c r="E751" t="str">
        <f t="shared" ca="1" si="146"/>
        <v>Jeans</v>
      </c>
      <c r="F751">
        <f t="shared" ca="1" si="147"/>
        <v>5254</v>
      </c>
      <c r="G751">
        <f t="shared" ca="1" si="148"/>
        <v>10</v>
      </c>
      <c r="H751">
        <f t="shared" ca="1" si="149"/>
        <v>4728.6000000000004</v>
      </c>
      <c r="I751">
        <f t="shared" ca="1" si="150"/>
        <v>0</v>
      </c>
      <c r="J751">
        <f t="shared" ca="1" si="151"/>
        <v>0</v>
      </c>
      <c r="K751">
        <f t="shared" ca="1" si="152"/>
        <v>0</v>
      </c>
      <c r="L751">
        <f t="shared" ca="1" si="153"/>
        <v>0</v>
      </c>
      <c r="M751">
        <f t="shared" ca="1" si="154"/>
        <v>6</v>
      </c>
      <c r="N751">
        <f t="shared" ca="1" si="155"/>
        <v>0</v>
      </c>
    </row>
    <row r="752" spans="1:14" x14ac:dyDescent="0.35">
      <c r="A752" t="s">
        <v>769</v>
      </c>
      <c r="B752" t="str">
        <f t="shared" si="143"/>
        <v>Control</v>
      </c>
      <c r="C752">
        <f t="shared" ca="1" si="144"/>
        <v>21</v>
      </c>
      <c r="D752" t="str">
        <f t="shared" ca="1" si="145"/>
        <v>Female</v>
      </c>
      <c r="E752" t="str">
        <f t="shared" ca="1" si="146"/>
        <v>Dresses</v>
      </c>
      <c r="F752">
        <f t="shared" ca="1" si="147"/>
        <v>5749</v>
      </c>
      <c r="G752">
        <f t="shared" ca="1" si="148"/>
        <v>10</v>
      </c>
      <c r="H752">
        <f t="shared" ca="1" si="149"/>
        <v>5174.1000000000004</v>
      </c>
      <c r="I752">
        <f t="shared" ca="1" si="150"/>
        <v>1</v>
      </c>
      <c r="J752">
        <f t="shared" ca="1" si="151"/>
        <v>1</v>
      </c>
      <c r="K752">
        <f t="shared" ca="1" si="152"/>
        <v>0</v>
      </c>
      <c r="L752">
        <f t="shared" ca="1" si="153"/>
        <v>0</v>
      </c>
      <c r="M752">
        <f t="shared" ca="1" si="154"/>
        <v>4</v>
      </c>
      <c r="N752">
        <f t="shared" ca="1" si="155"/>
        <v>0</v>
      </c>
    </row>
    <row r="753" spans="1:14" x14ac:dyDescent="0.35">
      <c r="A753" t="s">
        <v>770</v>
      </c>
      <c r="B753" t="str">
        <f t="shared" si="143"/>
        <v>Control</v>
      </c>
      <c r="C753">
        <f t="shared" ca="1" si="144"/>
        <v>26</v>
      </c>
      <c r="D753" t="str">
        <f t="shared" ca="1" si="145"/>
        <v>Male</v>
      </c>
      <c r="E753" t="str">
        <f t="shared" ca="1" si="146"/>
        <v>Shoes</v>
      </c>
      <c r="F753">
        <f t="shared" ca="1" si="147"/>
        <v>6350</v>
      </c>
      <c r="G753">
        <f t="shared" ca="1" si="148"/>
        <v>10</v>
      </c>
      <c r="H753">
        <f t="shared" ca="1" si="149"/>
        <v>5715</v>
      </c>
      <c r="I753">
        <f t="shared" ca="1" si="150"/>
        <v>1</v>
      </c>
      <c r="J753">
        <f t="shared" ca="1" si="151"/>
        <v>1</v>
      </c>
      <c r="K753">
        <f t="shared" ca="1" si="152"/>
        <v>0</v>
      </c>
      <c r="L753">
        <f t="shared" ca="1" si="153"/>
        <v>0</v>
      </c>
      <c r="M753">
        <f t="shared" ca="1" si="154"/>
        <v>7</v>
      </c>
      <c r="N753">
        <f t="shared" ca="1" si="155"/>
        <v>0</v>
      </c>
    </row>
    <row r="754" spans="1:14" x14ac:dyDescent="0.35">
      <c r="A754" t="s">
        <v>771</v>
      </c>
      <c r="B754" t="str">
        <f t="shared" si="143"/>
        <v>Control</v>
      </c>
      <c r="C754">
        <f t="shared" ca="1" si="144"/>
        <v>27</v>
      </c>
      <c r="D754" t="str">
        <f t="shared" ca="1" si="145"/>
        <v>Male</v>
      </c>
      <c r="E754" t="str">
        <f t="shared" ca="1" si="146"/>
        <v>Sportswear</v>
      </c>
      <c r="F754">
        <f t="shared" ca="1" si="147"/>
        <v>907</v>
      </c>
      <c r="G754">
        <f t="shared" ca="1" si="148"/>
        <v>10</v>
      </c>
      <c r="H754">
        <f t="shared" ca="1" si="149"/>
        <v>816.30000000000007</v>
      </c>
      <c r="I754">
        <f t="shared" ca="1" si="150"/>
        <v>1</v>
      </c>
      <c r="J754">
        <f t="shared" ca="1" si="151"/>
        <v>0</v>
      </c>
      <c r="K754">
        <f t="shared" ca="1" si="152"/>
        <v>0</v>
      </c>
      <c r="L754">
        <f t="shared" ca="1" si="153"/>
        <v>0</v>
      </c>
      <c r="M754">
        <f t="shared" ca="1" si="154"/>
        <v>7</v>
      </c>
      <c r="N754">
        <f t="shared" ca="1" si="155"/>
        <v>0</v>
      </c>
    </row>
    <row r="755" spans="1:14" x14ac:dyDescent="0.35">
      <c r="A755" t="s">
        <v>772</v>
      </c>
      <c r="B755" t="str">
        <f t="shared" si="143"/>
        <v>Control</v>
      </c>
      <c r="C755">
        <f t="shared" ca="1" si="144"/>
        <v>43</v>
      </c>
      <c r="D755" t="str">
        <f t="shared" ca="1" si="145"/>
        <v>Female</v>
      </c>
      <c r="E755" t="str">
        <f t="shared" ca="1" si="146"/>
        <v>Sportswear</v>
      </c>
      <c r="F755">
        <f t="shared" ca="1" si="147"/>
        <v>4902</v>
      </c>
      <c r="G755">
        <f t="shared" ca="1" si="148"/>
        <v>10</v>
      </c>
      <c r="H755">
        <f t="shared" ca="1" si="149"/>
        <v>4411.8</v>
      </c>
      <c r="I755">
        <f t="shared" ca="1" si="150"/>
        <v>1</v>
      </c>
      <c r="J755">
        <f t="shared" ca="1" si="151"/>
        <v>1</v>
      </c>
      <c r="K755">
        <f t="shared" ca="1" si="152"/>
        <v>0</v>
      </c>
      <c r="L755">
        <f t="shared" ca="1" si="153"/>
        <v>0</v>
      </c>
      <c r="M755">
        <f t="shared" ca="1" si="154"/>
        <v>5</v>
      </c>
      <c r="N755">
        <f t="shared" ca="1" si="155"/>
        <v>0</v>
      </c>
    </row>
    <row r="756" spans="1:14" x14ac:dyDescent="0.35">
      <c r="A756" t="s">
        <v>773</v>
      </c>
      <c r="B756" t="str">
        <f t="shared" si="143"/>
        <v>Control</v>
      </c>
      <c r="C756">
        <f t="shared" ca="1" si="144"/>
        <v>34</v>
      </c>
      <c r="D756" t="str">
        <f t="shared" ca="1" si="145"/>
        <v>Male</v>
      </c>
      <c r="E756" t="str">
        <f t="shared" ca="1" si="146"/>
        <v>T-shirts</v>
      </c>
      <c r="F756">
        <f t="shared" ca="1" si="147"/>
        <v>6158</v>
      </c>
      <c r="G756">
        <f t="shared" ca="1" si="148"/>
        <v>10</v>
      </c>
      <c r="H756">
        <f t="shared" ca="1" si="149"/>
        <v>5542.2</v>
      </c>
      <c r="I756">
        <f t="shared" ca="1" si="150"/>
        <v>1</v>
      </c>
      <c r="J756">
        <f t="shared" ca="1" si="151"/>
        <v>0</v>
      </c>
      <c r="K756">
        <f t="shared" ca="1" si="152"/>
        <v>0</v>
      </c>
      <c r="L756">
        <f t="shared" ca="1" si="153"/>
        <v>0</v>
      </c>
      <c r="M756">
        <f t="shared" ca="1" si="154"/>
        <v>7</v>
      </c>
      <c r="N756">
        <f t="shared" ca="1" si="155"/>
        <v>0</v>
      </c>
    </row>
    <row r="757" spans="1:14" x14ac:dyDescent="0.35">
      <c r="A757" t="s">
        <v>774</v>
      </c>
      <c r="B757" t="str">
        <f t="shared" si="143"/>
        <v>Control</v>
      </c>
      <c r="C757">
        <f t="shared" ca="1" si="144"/>
        <v>19</v>
      </c>
      <c r="D757" t="str">
        <f t="shared" ca="1" si="145"/>
        <v>Female</v>
      </c>
      <c r="E757" t="str">
        <f t="shared" ca="1" si="146"/>
        <v>Sportswear</v>
      </c>
      <c r="F757">
        <f t="shared" ca="1" si="147"/>
        <v>6424</v>
      </c>
      <c r="G757">
        <f t="shared" ca="1" si="148"/>
        <v>10</v>
      </c>
      <c r="H757">
        <f t="shared" ca="1" si="149"/>
        <v>5781.6</v>
      </c>
      <c r="I757">
        <f t="shared" ca="1" si="150"/>
        <v>1</v>
      </c>
      <c r="J757">
        <f t="shared" ca="1" si="151"/>
        <v>0</v>
      </c>
      <c r="K757">
        <f t="shared" ca="1" si="152"/>
        <v>0</v>
      </c>
      <c r="L757">
        <f t="shared" ca="1" si="153"/>
        <v>0</v>
      </c>
      <c r="M757">
        <f t="shared" ca="1" si="154"/>
        <v>6</v>
      </c>
      <c r="N757">
        <f t="shared" ca="1" si="155"/>
        <v>0</v>
      </c>
    </row>
    <row r="758" spans="1:14" x14ac:dyDescent="0.35">
      <c r="A758" t="s">
        <v>775</v>
      </c>
      <c r="B758" t="str">
        <f t="shared" si="143"/>
        <v>Control</v>
      </c>
      <c r="C758">
        <f t="shared" ca="1" si="144"/>
        <v>40</v>
      </c>
      <c r="D758" t="str">
        <f t="shared" ca="1" si="145"/>
        <v>Female</v>
      </c>
      <c r="E758" t="str">
        <f t="shared" ca="1" si="146"/>
        <v>Tops</v>
      </c>
      <c r="F758">
        <f t="shared" ca="1" si="147"/>
        <v>3147</v>
      </c>
      <c r="G758">
        <f t="shared" ca="1" si="148"/>
        <v>10</v>
      </c>
      <c r="H758">
        <f t="shared" ca="1" si="149"/>
        <v>2832.3</v>
      </c>
      <c r="I758">
        <f t="shared" ca="1" si="150"/>
        <v>1</v>
      </c>
      <c r="J758">
        <f t="shared" ca="1" si="151"/>
        <v>1</v>
      </c>
      <c r="K758">
        <f t="shared" ca="1" si="152"/>
        <v>1</v>
      </c>
      <c r="L758">
        <f t="shared" ca="1" si="153"/>
        <v>2832.3</v>
      </c>
      <c r="M758">
        <f t="shared" ca="1" si="154"/>
        <v>3</v>
      </c>
      <c r="N758">
        <f t="shared" ca="1" si="155"/>
        <v>0</v>
      </c>
    </row>
    <row r="759" spans="1:14" x14ac:dyDescent="0.35">
      <c r="A759" t="s">
        <v>776</v>
      </c>
      <c r="B759" t="str">
        <f t="shared" si="143"/>
        <v>Control</v>
      </c>
      <c r="C759">
        <f t="shared" ca="1" si="144"/>
        <v>38</v>
      </c>
      <c r="D759" t="str">
        <f t="shared" ca="1" si="145"/>
        <v>Female</v>
      </c>
      <c r="E759" t="str">
        <f t="shared" ca="1" si="146"/>
        <v>Sportswear</v>
      </c>
      <c r="F759">
        <f t="shared" ca="1" si="147"/>
        <v>3716</v>
      </c>
      <c r="G759">
        <f t="shared" ca="1" si="148"/>
        <v>10</v>
      </c>
      <c r="H759">
        <f t="shared" ca="1" si="149"/>
        <v>3344.4</v>
      </c>
      <c r="I759">
        <f t="shared" ca="1" si="150"/>
        <v>1</v>
      </c>
      <c r="J759">
        <f t="shared" ca="1" si="151"/>
        <v>1</v>
      </c>
      <c r="K759">
        <f t="shared" ca="1" si="152"/>
        <v>1</v>
      </c>
      <c r="L759">
        <f t="shared" ca="1" si="153"/>
        <v>3344.4</v>
      </c>
      <c r="M759">
        <f t="shared" ca="1" si="154"/>
        <v>5</v>
      </c>
      <c r="N759">
        <f t="shared" ca="1" si="155"/>
        <v>0</v>
      </c>
    </row>
    <row r="760" spans="1:14" x14ac:dyDescent="0.35">
      <c r="A760" t="s">
        <v>777</v>
      </c>
      <c r="B760" t="str">
        <f t="shared" si="143"/>
        <v>Control</v>
      </c>
      <c r="C760">
        <f t="shared" ca="1" si="144"/>
        <v>37</v>
      </c>
      <c r="D760" t="str">
        <f t="shared" ca="1" si="145"/>
        <v>Female</v>
      </c>
      <c r="E760" t="str">
        <f t="shared" ca="1" si="146"/>
        <v>Sportswear</v>
      </c>
      <c r="F760">
        <f t="shared" ca="1" si="147"/>
        <v>6663</v>
      </c>
      <c r="G760">
        <f t="shared" ca="1" si="148"/>
        <v>10</v>
      </c>
      <c r="H760">
        <f t="shared" ca="1" si="149"/>
        <v>5996.7</v>
      </c>
      <c r="I760">
        <f t="shared" ca="1" si="150"/>
        <v>1</v>
      </c>
      <c r="J760">
        <f t="shared" ca="1" si="151"/>
        <v>1</v>
      </c>
      <c r="K760">
        <f t="shared" ca="1" si="152"/>
        <v>0</v>
      </c>
      <c r="L760">
        <f t="shared" ca="1" si="153"/>
        <v>0</v>
      </c>
      <c r="M760">
        <f t="shared" ca="1" si="154"/>
        <v>1</v>
      </c>
      <c r="N760">
        <f t="shared" ca="1" si="155"/>
        <v>0</v>
      </c>
    </row>
    <row r="761" spans="1:14" x14ac:dyDescent="0.35">
      <c r="A761" t="s">
        <v>778</v>
      </c>
      <c r="B761" t="str">
        <f t="shared" si="143"/>
        <v>Control</v>
      </c>
      <c r="C761">
        <f t="shared" ca="1" si="144"/>
        <v>37</v>
      </c>
      <c r="D761" t="str">
        <f t="shared" ca="1" si="145"/>
        <v>Female</v>
      </c>
      <c r="E761" t="str">
        <f t="shared" ca="1" si="146"/>
        <v>Sportswear</v>
      </c>
      <c r="F761">
        <f t="shared" ca="1" si="147"/>
        <v>4066</v>
      </c>
      <c r="G761">
        <f t="shared" ca="1" si="148"/>
        <v>10</v>
      </c>
      <c r="H761">
        <f t="shared" ca="1" si="149"/>
        <v>3659.4</v>
      </c>
      <c r="I761">
        <f t="shared" ca="1" si="150"/>
        <v>1</v>
      </c>
      <c r="J761">
        <f t="shared" ca="1" si="151"/>
        <v>1</v>
      </c>
      <c r="K761">
        <f t="shared" ca="1" si="152"/>
        <v>0</v>
      </c>
      <c r="L761">
        <f t="shared" ca="1" si="153"/>
        <v>0</v>
      </c>
      <c r="M761">
        <f t="shared" ca="1" si="154"/>
        <v>1</v>
      </c>
      <c r="N761">
        <f t="shared" ca="1" si="155"/>
        <v>0</v>
      </c>
    </row>
    <row r="762" spans="1:14" x14ac:dyDescent="0.35">
      <c r="A762" t="s">
        <v>779</v>
      </c>
      <c r="B762" t="str">
        <f t="shared" si="143"/>
        <v>Control</v>
      </c>
      <c r="C762">
        <f t="shared" ca="1" si="144"/>
        <v>19</v>
      </c>
      <c r="D762" t="str">
        <f t="shared" ca="1" si="145"/>
        <v>Male</v>
      </c>
      <c r="E762" t="str">
        <f t="shared" ca="1" si="146"/>
        <v>Accessories</v>
      </c>
      <c r="F762">
        <f t="shared" ca="1" si="147"/>
        <v>7577</v>
      </c>
      <c r="G762">
        <f t="shared" ca="1" si="148"/>
        <v>10</v>
      </c>
      <c r="H762">
        <f t="shared" ca="1" si="149"/>
        <v>6819.3</v>
      </c>
      <c r="I762">
        <f t="shared" ca="1" si="150"/>
        <v>1</v>
      </c>
      <c r="J762">
        <f t="shared" ca="1" si="151"/>
        <v>1</v>
      </c>
      <c r="K762">
        <f t="shared" ca="1" si="152"/>
        <v>1</v>
      </c>
      <c r="L762">
        <f t="shared" ca="1" si="153"/>
        <v>6819.3</v>
      </c>
      <c r="M762">
        <f t="shared" ca="1" si="154"/>
        <v>3</v>
      </c>
      <c r="N762">
        <f t="shared" ca="1" si="155"/>
        <v>1</v>
      </c>
    </row>
    <row r="763" spans="1:14" x14ac:dyDescent="0.35">
      <c r="A763" t="s">
        <v>780</v>
      </c>
      <c r="B763" t="str">
        <f t="shared" si="143"/>
        <v>Control</v>
      </c>
      <c r="C763">
        <f t="shared" ca="1" si="144"/>
        <v>35</v>
      </c>
      <c r="D763" t="str">
        <f t="shared" ca="1" si="145"/>
        <v>Female</v>
      </c>
      <c r="E763" t="str">
        <f t="shared" ca="1" si="146"/>
        <v>T-shirts</v>
      </c>
      <c r="F763">
        <f t="shared" ca="1" si="147"/>
        <v>363</v>
      </c>
      <c r="G763">
        <f t="shared" ca="1" si="148"/>
        <v>10</v>
      </c>
      <c r="H763">
        <f t="shared" ca="1" si="149"/>
        <v>326.7</v>
      </c>
      <c r="I763">
        <f t="shared" ca="1" si="150"/>
        <v>1</v>
      </c>
      <c r="J763">
        <f t="shared" ca="1" si="151"/>
        <v>1</v>
      </c>
      <c r="K763">
        <f t="shared" ca="1" si="152"/>
        <v>0</v>
      </c>
      <c r="L763">
        <f t="shared" ca="1" si="153"/>
        <v>0</v>
      </c>
      <c r="M763">
        <f t="shared" ca="1" si="154"/>
        <v>7</v>
      </c>
      <c r="N763">
        <f t="shared" ca="1" si="155"/>
        <v>0</v>
      </c>
    </row>
    <row r="764" spans="1:14" x14ac:dyDescent="0.35">
      <c r="A764" t="s">
        <v>781</v>
      </c>
      <c r="B764" t="str">
        <f t="shared" si="143"/>
        <v>Control</v>
      </c>
      <c r="C764">
        <f t="shared" ca="1" si="144"/>
        <v>27</v>
      </c>
      <c r="D764" t="str">
        <f t="shared" ca="1" si="145"/>
        <v>Male</v>
      </c>
      <c r="E764" t="str">
        <f t="shared" ca="1" si="146"/>
        <v>Sportswear</v>
      </c>
      <c r="F764">
        <f t="shared" ca="1" si="147"/>
        <v>2573</v>
      </c>
      <c r="G764">
        <f t="shared" ca="1" si="148"/>
        <v>10</v>
      </c>
      <c r="H764">
        <f t="shared" ca="1" si="149"/>
        <v>2315.7000000000003</v>
      </c>
      <c r="I764">
        <f t="shared" ca="1" si="150"/>
        <v>1</v>
      </c>
      <c r="J764">
        <f t="shared" ca="1" si="151"/>
        <v>0</v>
      </c>
      <c r="K764">
        <f t="shared" ca="1" si="152"/>
        <v>0</v>
      </c>
      <c r="L764">
        <f t="shared" ca="1" si="153"/>
        <v>0</v>
      </c>
      <c r="M764">
        <f t="shared" ca="1" si="154"/>
        <v>5</v>
      </c>
      <c r="N764">
        <f t="shared" ca="1" si="155"/>
        <v>0</v>
      </c>
    </row>
    <row r="765" spans="1:14" x14ac:dyDescent="0.35">
      <c r="A765" t="s">
        <v>782</v>
      </c>
      <c r="B765" t="str">
        <f t="shared" si="143"/>
        <v>Control</v>
      </c>
      <c r="C765">
        <f t="shared" ca="1" si="144"/>
        <v>19</v>
      </c>
      <c r="D765" t="str">
        <f t="shared" ca="1" si="145"/>
        <v>Male</v>
      </c>
      <c r="E765" t="str">
        <f t="shared" ca="1" si="146"/>
        <v>Tops</v>
      </c>
      <c r="F765">
        <f t="shared" ca="1" si="147"/>
        <v>6358</v>
      </c>
      <c r="G765">
        <f t="shared" ca="1" si="148"/>
        <v>10</v>
      </c>
      <c r="H765">
        <f t="shared" ca="1" si="149"/>
        <v>5722.2</v>
      </c>
      <c r="I765">
        <f t="shared" ca="1" si="150"/>
        <v>1</v>
      </c>
      <c r="J765">
        <f t="shared" ca="1" si="151"/>
        <v>1</v>
      </c>
      <c r="K765">
        <f t="shared" ca="1" si="152"/>
        <v>0</v>
      </c>
      <c r="L765">
        <f t="shared" ca="1" si="153"/>
        <v>0</v>
      </c>
      <c r="M765">
        <f t="shared" ca="1" si="154"/>
        <v>1</v>
      </c>
      <c r="N765">
        <f t="shared" ca="1" si="155"/>
        <v>0</v>
      </c>
    </row>
    <row r="766" spans="1:14" x14ac:dyDescent="0.35">
      <c r="A766" t="s">
        <v>783</v>
      </c>
      <c r="B766" t="str">
        <f t="shared" si="143"/>
        <v>Control</v>
      </c>
      <c r="C766">
        <f t="shared" ca="1" si="144"/>
        <v>36</v>
      </c>
      <c r="D766" t="str">
        <f t="shared" ca="1" si="145"/>
        <v>Male</v>
      </c>
      <c r="E766" t="str">
        <f t="shared" ca="1" si="146"/>
        <v>Shoes</v>
      </c>
      <c r="F766">
        <f t="shared" ca="1" si="147"/>
        <v>1882</v>
      </c>
      <c r="G766">
        <f t="shared" ca="1" si="148"/>
        <v>10</v>
      </c>
      <c r="H766">
        <f t="shared" ca="1" si="149"/>
        <v>1693.8</v>
      </c>
      <c r="I766">
        <f t="shared" ca="1" si="150"/>
        <v>1</v>
      </c>
      <c r="J766">
        <f t="shared" ca="1" si="151"/>
        <v>0</v>
      </c>
      <c r="K766">
        <f t="shared" ca="1" si="152"/>
        <v>0</v>
      </c>
      <c r="L766">
        <f t="shared" ca="1" si="153"/>
        <v>0</v>
      </c>
      <c r="M766">
        <f t="shared" ca="1" si="154"/>
        <v>1</v>
      </c>
      <c r="N766">
        <f t="shared" ca="1" si="155"/>
        <v>0</v>
      </c>
    </row>
    <row r="767" spans="1:14" x14ac:dyDescent="0.35">
      <c r="A767" t="s">
        <v>784</v>
      </c>
      <c r="B767" t="str">
        <f t="shared" si="143"/>
        <v>Control</v>
      </c>
      <c r="C767">
        <f t="shared" ca="1" si="144"/>
        <v>38</v>
      </c>
      <c r="D767" t="str">
        <f t="shared" ca="1" si="145"/>
        <v>Male</v>
      </c>
      <c r="E767" t="str">
        <f t="shared" ca="1" si="146"/>
        <v>Sportswear</v>
      </c>
      <c r="F767">
        <f t="shared" ca="1" si="147"/>
        <v>3096</v>
      </c>
      <c r="G767">
        <f t="shared" ca="1" si="148"/>
        <v>10</v>
      </c>
      <c r="H767">
        <f t="shared" ca="1" si="149"/>
        <v>2786.4</v>
      </c>
      <c r="I767">
        <f t="shared" ca="1" si="150"/>
        <v>1</v>
      </c>
      <c r="J767">
        <f t="shared" ca="1" si="151"/>
        <v>1</v>
      </c>
      <c r="K767">
        <f t="shared" ca="1" si="152"/>
        <v>0</v>
      </c>
      <c r="L767">
        <f t="shared" ca="1" si="153"/>
        <v>0</v>
      </c>
      <c r="M767">
        <f t="shared" ca="1" si="154"/>
        <v>7</v>
      </c>
      <c r="N767">
        <f t="shared" ca="1" si="155"/>
        <v>0</v>
      </c>
    </row>
    <row r="768" spans="1:14" x14ac:dyDescent="0.35">
      <c r="A768" t="s">
        <v>785</v>
      </c>
      <c r="B768" t="str">
        <f t="shared" si="143"/>
        <v>Control</v>
      </c>
      <c r="C768">
        <f t="shared" ca="1" si="144"/>
        <v>33</v>
      </c>
      <c r="D768" t="str">
        <f t="shared" ca="1" si="145"/>
        <v>Male</v>
      </c>
      <c r="E768" t="str">
        <f t="shared" ca="1" si="146"/>
        <v>Jeans</v>
      </c>
      <c r="F768">
        <f t="shared" ca="1" si="147"/>
        <v>6696</v>
      </c>
      <c r="G768">
        <f t="shared" ca="1" si="148"/>
        <v>10</v>
      </c>
      <c r="H768">
        <f t="shared" ca="1" si="149"/>
        <v>6026.4000000000005</v>
      </c>
      <c r="I768">
        <f t="shared" ca="1" si="150"/>
        <v>1</v>
      </c>
      <c r="J768">
        <f t="shared" ca="1" si="151"/>
        <v>1</v>
      </c>
      <c r="K768">
        <f t="shared" ca="1" si="152"/>
        <v>0</v>
      </c>
      <c r="L768">
        <f t="shared" ca="1" si="153"/>
        <v>0</v>
      </c>
      <c r="M768">
        <f t="shared" ca="1" si="154"/>
        <v>7</v>
      </c>
      <c r="N768">
        <f t="shared" ca="1" si="155"/>
        <v>0</v>
      </c>
    </row>
    <row r="769" spans="1:14" x14ac:dyDescent="0.35">
      <c r="A769" t="s">
        <v>786</v>
      </c>
      <c r="B769" t="str">
        <f t="shared" si="143"/>
        <v>Control</v>
      </c>
      <c r="C769">
        <f t="shared" ca="1" si="144"/>
        <v>44</v>
      </c>
      <c r="D769" t="str">
        <f t="shared" ca="1" si="145"/>
        <v>Female</v>
      </c>
      <c r="E769" t="str">
        <f t="shared" ca="1" si="146"/>
        <v>Sportswear</v>
      </c>
      <c r="F769">
        <f t="shared" ca="1" si="147"/>
        <v>3555</v>
      </c>
      <c r="G769">
        <f t="shared" ca="1" si="148"/>
        <v>10</v>
      </c>
      <c r="H769">
        <f t="shared" ca="1" si="149"/>
        <v>3199.5</v>
      </c>
      <c r="I769">
        <f t="shared" ca="1" si="150"/>
        <v>1</v>
      </c>
      <c r="J769">
        <f t="shared" ca="1" si="151"/>
        <v>0</v>
      </c>
      <c r="K769">
        <f t="shared" ca="1" si="152"/>
        <v>0</v>
      </c>
      <c r="L769">
        <f t="shared" ca="1" si="153"/>
        <v>0</v>
      </c>
      <c r="M769">
        <f t="shared" ca="1" si="154"/>
        <v>3</v>
      </c>
      <c r="N769">
        <f t="shared" ca="1" si="155"/>
        <v>0</v>
      </c>
    </row>
    <row r="770" spans="1:14" x14ac:dyDescent="0.35">
      <c r="A770" t="s">
        <v>787</v>
      </c>
      <c r="B770" t="str">
        <f t="shared" si="143"/>
        <v>Control</v>
      </c>
      <c r="C770">
        <f t="shared" ca="1" si="144"/>
        <v>30</v>
      </c>
      <c r="D770" t="str">
        <f t="shared" ca="1" si="145"/>
        <v>Female</v>
      </c>
      <c r="E770" t="str">
        <f t="shared" ca="1" si="146"/>
        <v>Sportswear</v>
      </c>
      <c r="F770">
        <f t="shared" ca="1" si="147"/>
        <v>1477</v>
      </c>
      <c r="G770">
        <f t="shared" ca="1" si="148"/>
        <v>10</v>
      </c>
      <c r="H770">
        <f t="shared" ca="1" si="149"/>
        <v>1329.3</v>
      </c>
      <c r="I770">
        <f t="shared" ca="1" si="150"/>
        <v>1</v>
      </c>
      <c r="J770">
        <f t="shared" ca="1" si="151"/>
        <v>1</v>
      </c>
      <c r="K770">
        <f t="shared" ca="1" si="152"/>
        <v>0</v>
      </c>
      <c r="L770">
        <f t="shared" ca="1" si="153"/>
        <v>0</v>
      </c>
      <c r="M770">
        <f t="shared" ca="1" si="154"/>
        <v>6</v>
      </c>
      <c r="N770">
        <f t="shared" ca="1" si="155"/>
        <v>0</v>
      </c>
    </row>
    <row r="771" spans="1:14" x14ac:dyDescent="0.35">
      <c r="A771" t="s">
        <v>788</v>
      </c>
      <c r="B771" t="str">
        <f t="shared" si="143"/>
        <v>Control</v>
      </c>
      <c r="C771">
        <f t="shared" ca="1" si="144"/>
        <v>25</v>
      </c>
      <c r="D771" t="str">
        <f t="shared" ca="1" si="145"/>
        <v>Male</v>
      </c>
      <c r="E771" t="str">
        <f t="shared" ca="1" si="146"/>
        <v>Dresses</v>
      </c>
      <c r="F771">
        <f t="shared" ca="1" si="147"/>
        <v>5816</v>
      </c>
      <c r="G771">
        <f t="shared" ca="1" si="148"/>
        <v>10</v>
      </c>
      <c r="H771">
        <f t="shared" ca="1" si="149"/>
        <v>5234.4000000000005</v>
      </c>
      <c r="I771">
        <f t="shared" ca="1" si="150"/>
        <v>1</v>
      </c>
      <c r="J771">
        <f t="shared" ca="1" si="151"/>
        <v>0</v>
      </c>
      <c r="K771">
        <f t="shared" ca="1" si="152"/>
        <v>0</v>
      </c>
      <c r="L771">
        <f t="shared" ca="1" si="153"/>
        <v>0</v>
      </c>
      <c r="M771">
        <f t="shared" ca="1" si="154"/>
        <v>5</v>
      </c>
      <c r="N771">
        <f t="shared" ca="1" si="155"/>
        <v>0</v>
      </c>
    </row>
    <row r="772" spans="1:14" x14ac:dyDescent="0.35">
      <c r="A772" t="s">
        <v>789</v>
      </c>
      <c r="B772" t="str">
        <f t="shared" si="143"/>
        <v>Control</v>
      </c>
      <c r="C772">
        <f t="shared" ca="1" si="144"/>
        <v>18</v>
      </c>
      <c r="D772" t="str">
        <f t="shared" ca="1" si="145"/>
        <v>Male</v>
      </c>
      <c r="E772" t="str">
        <f t="shared" ca="1" si="146"/>
        <v>Tops</v>
      </c>
      <c r="F772">
        <f t="shared" ca="1" si="147"/>
        <v>4832</v>
      </c>
      <c r="G772">
        <f t="shared" ca="1" si="148"/>
        <v>10</v>
      </c>
      <c r="H772">
        <f t="shared" ca="1" si="149"/>
        <v>4348.8</v>
      </c>
      <c r="I772">
        <f t="shared" ca="1" si="150"/>
        <v>1</v>
      </c>
      <c r="J772">
        <f t="shared" ca="1" si="151"/>
        <v>0</v>
      </c>
      <c r="K772">
        <f t="shared" ca="1" si="152"/>
        <v>0</v>
      </c>
      <c r="L772">
        <f t="shared" ca="1" si="153"/>
        <v>0</v>
      </c>
      <c r="M772">
        <f t="shared" ca="1" si="154"/>
        <v>5</v>
      </c>
      <c r="N772">
        <f t="shared" ca="1" si="155"/>
        <v>0</v>
      </c>
    </row>
    <row r="773" spans="1:14" x14ac:dyDescent="0.35">
      <c r="A773" t="s">
        <v>790</v>
      </c>
      <c r="B773" t="str">
        <f t="shared" ref="B773:B836" si="156">IF(ROW()&lt;=1001,"Control","Test")</f>
        <v>Control</v>
      </c>
      <c r="C773">
        <f t="shared" ref="C773:C836" ca="1" si="157">RANDBETWEEN(18,45)</f>
        <v>36</v>
      </c>
      <c r="D773" t="str">
        <f t="shared" ref="D773:D836" ca="1" si="158">CHOOSE(RANDBETWEEN(1,20),"Female","Female","Female","Female","Female","Female","Female","Female","Female","Female","Male","Male","Male","Male","Male","Male","Male","Male","Other","Other")</f>
        <v>Female</v>
      </c>
      <c r="E773" t="str">
        <f t="shared" ref="E773:E836" ca="1" si="159">CHOOSE(RANDBETWEEN(1,8),"T-shirts","Dresses","Jeans","Shoes","Ethnic Wear","Tops","Sportswear","Accessories")</f>
        <v>Shoes</v>
      </c>
      <c r="F773">
        <f t="shared" ref="F773:F836" ca="1" si="160">RANDBETWEEN(300,8000)</f>
        <v>2794</v>
      </c>
      <c r="G773">
        <f t="shared" ref="G773:G836" ca="1" si="161">IF(B773="Control",10,CHOOSE(RANDBETWEEN(1,3),15,20,25))</f>
        <v>10</v>
      </c>
      <c r="H773">
        <f t="shared" ref="H773:H836" ca="1" si="162">F773*(1-G773/100)</f>
        <v>2514.6</v>
      </c>
      <c r="I773">
        <f t="shared" ref="I773:I836" ca="1" si="163">IF(RAND()&lt;0.85,1,0)</f>
        <v>1</v>
      </c>
      <c r="J773">
        <f t="shared" ref="J773:J836" ca="1" si="164">IF(I773=1,IF(RAND()&lt;0.55,1,0),0)</f>
        <v>0</v>
      </c>
      <c r="K773">
        <f t="shared" ref="K773:K836" ca="1" si="165">IF(J773=1,IF(B773="Test",IF(RAND()&lt;0.4,1,0),IF(RAND()&lt;0.34,1,0)),0)</f>
        <v>0</v>
      </c>
      <c r="L773">
        <f t="shared" ref="L773:L836" ca="1" si="166">IF(K773=1,H773,0)</f>
        <v>0</v>
      </c>
      <c r="M773">
        <f t="shared" ref="M773:M836" ca="1" si="167">RANDBETWEEN(1,7)</f>
        <v>3</v>
      </c>
      <c r="N773">
        <f t="shared" ref="N773:N836" ca="1" si="168">IF(K773=1,IF(RAND()&lt;0.15,1,0),0)</f>
        <v>0</v>
      </c>
    </row>
    <row r="774" spans="1:14" x14ac:dyDescent="0.35">
      <c r="A774" t="s">
        <v>791</v>
      </c>
      <c r="B774" t="str">
        <f t="shared" si="156"/>
        <v>Control</v>
      </c>
      <c r="C774">
        <f t="shared" ca="1" si="157"/>
        <v>44</v>
      </c>
      <c r="D774" t="str">
        <f t="shared" ca="1" si="158"/>
        <v>Female</v>
      </c>
      <c r="E774" t="str">
        <f t="shared" ca="1" si="159"/>
        <v>Jeans</v>
      </c>
      <c r="F774">
        <f t="shared" ca="1" si="160"/>
        <v>2631</v>
      </c>
      <c r="G774">
        <f t="shared" ca="1" si="161"/>
        <v>10</v>
      </c>
      <c r="H774">
        <f t="shared" ca="1" si="162"/>
        <v>2367.9</v>
      </c>
      <c r="I774">
        <f t="shared" ca="1" si="163"/>
        <v>0</v>
      </c>
      <c r="J774">
        <f t="shared" ca="1" si="164"/>
        <v>0</v>
      </c>
      <c r="K774">
        <f t="shared" ca="1" si="165"/>
        <v>0</v>
      </c>
      <c r="L774">
        <f t="shared" ca="1" si="166"/>
        <v>0</v>
      </c>
      <c r="M774">
        <f t="shared" ca="1" si="167"/>
        <v>3</v>
      </c>
      <c r="N774">
        <f t="shared" ca="1" si="168"/>
        <v>0</v>
      </c>
    </row>
    <row r="775" spans="1:14" x14ac:dyDescent="0.35">
      <c r="A775" t="s">
        <v>792</v>
      </c>
      <c r="B775" t="str">
        <f t="shared" si="156"/>
        <v>Control</v>
      </c>
      <c r="C775">
        <f t="shared" ca="1" si="157"/>
        <v>39</v>
      </c>
      <c r="D775" t="str">
        <f t="shared" ca="1" si="158"/>
        <v>Female</v>
      </c>
      <c r="E775" t="str">
        <f t="shared" ca="1" si="159"/>
        <v>Tops</v>
      </c>
      <c r="F775">
        <f t="shared" ca="1" si="160"/>
        <v>3693</v>
      </c>
      <c r="G775">
        <f t="shared" ca="1" si="161"/>
        <v>10</v>
      </c>
      <c r="H775">
        <f t="shared" ca="1" si="162"/>
        <v>3323.7000000000003</v>
      </c>
      <c r="I775">
        <f t="shared" ca="1" si="163"/>
        <v>1</v>
      </c>
      <c r="J775">
        <f t="shared" ca="1" si="164"/>
        <v>0</v>
      </c>
      <c r="K775">
        <f t="shared" ca="1" si="165"/>
        <v>0</v>
      </c>
      <c r="L775">
        <f t="shared" ca="1" si="166"/>
        <v>0</v>
      </c>
      <c r="M775">
        <f t="shared" ca="1" si="167"/>
        <v>3</v>
      </c>
      <c r="N775">
        <f t="shared" ca="1" si="168"/>
        <v>0</v>
      </c>
    </row>
    <row r="776" spans="1:14" x14ac:dyDescent="0.35">
      <c r="A776" t="s">
        <v>793</v>
      </c>
      <c r="B776" t="str">
        <f t="shared" si="156"/>
        <v>Control</v>
      </c>
      <c r="C776">
        <f t="shared" ca="1" si="157"/>
        <v>22</v>
      </c>
      <c r="D776" t="str">
        <f t="shared" ca="1" si="158"/>
        <v>Male</v>
      </c>
      <c r="E776" t="str">
        <f t="shared" ca="1" si="159"/>
        <v>Sportswear</v>
      </c>
      <c r="F776">
        <f t="shared" ca="1" si="160"/>
        <v>7314</v>
      </c>
      <c r="G776">
        <f t="shared" ca="1" si="161"/>
        <v>10</v>
      </c>
      <c r="H776">
        <f t="shared" ca="1" si="162"/>
        <v>6582.6</v>
      </c>
      <c r="I776">
        <f t="shared" ca="1" si="163"/>
        <v>1</v>
      </c>
      <c r="J776">
        <f t="shared" ca="1" si="164"/>
        <v>1</v>
      </c>
      <c r="K776">
        <f t="shared" ca="1" si="165"/>
        <v>1</v>
      </c>
      <c r="L776">
        <f t="shared" ca="1" si="166"/>
        <v>6582.6</v>
      </c>
      <c r="M776">
        <f t="shared" ca="1" si="167"/>
        <v>4</v>
      </c>
      <c r="N776">
        <f t="shared" ca="1" si="168"/>
        <v>0</v>
      </c>
    </row>
    <row r="777" spans="1:14" x14ac:dyDescent="0.35">
      <c r="A777" t="s">
        <v>794</v>
      </c>
      <c r="B777" t="str">
        <f t="shared" si="156"/>
        <v>Control</v>
      </c>
      <c r="C777">
        <f t="shared" ca="1" si="157"/>
        <v>26</v>
      </c>
      <c r="D777" t="str">
        <f t="shared" ca="1" si="158"/>
        <v>Male</v>
      </c>
      <c r="E777" t="str">
        <f t="shared" ca="1" si="159"/>
        <v>Shoes</v>
      </c>
      <c r="F777">
        <f t="shared" ca="1" si="160"/>
        <v>4241</v>
      </c>
      <c r="G777">
        <f t="shared" ca="1" si="161"/>
        <v>10</v>
      </c>
      <c r="H777">
        <f t="shared" ca="1" si="162"/>
        <v>3816.9</v>
      </c>
      <c r="I777">
        <f t="shared" ca="1" si="163"/>
        <v>1</v>
      </c>
      <c r="J777">
        <f t="shared" ca="1" si="164"/>
        <v>0</v>
      </c>
      <c r="K777">
        <f t="shared" ca="1" si="165"/>
        <v>0</v>
      </c>
      <c r="L777">
        <f t="shared" ca="1" si="166"/>
        <v>0</v>
      </c>
      <c r="M777">
        <f t="shared" ca="1" si="167"/>
        <v>3</v>
      </c>
      <c r="N777">
        <f t="shared" ca="1" si="168"/>
        <v>0</v>
      </c>
    </row>
    <row r="778" spans="1:14" x14ac:dyDescent="0.35">
      <c r="A778" t="s">
        <v>795</v>
      </c>
      <c r="B778" t="str">
        <f t="shared" si="156"/>
        <v>Control</v>
      </c>
      <c r="C778">
        <f t="shared" ca="1" si="157"/>
        <v>42</v>
      </c>
      <c r="D778" t="str">
        <f t="shared" ca="1" si="158"/>
        <v>Female</v>
      </c>
      <c r="E778" t="str">
        <f t="shared" ca="1" si="159"/>
        <v>Tops</v>
      </c>
      <c r="F778">
        <f t="shared" ca="1" si="160"/>
        <v>826</v>
      </c>
      <c r="G778">
        <f t="shared" ca="1" si="161"/>
        <v>10</v>
      </c>
      <c r="H778">
        <f t="shared" ca="1" si="162"/>
        <v>743.4</v>
      </c>
      <c r="I778">
        <f t="shared" ca="1" si="163"/>
        <v>1</v>
      </c>
      <c r="J778">
        <f t="shared" ca="1" si="164"/>
        <v>0</v>
      </c>
      <c r="K778">
        <f t="shared" ca="1" si="165"/>
        <v>0</v>
      </c>
      <c r="L778">
        <f t="shared" ca="1" si="166"/>
        <v>0</v>
      </c>
      <c r="M778">
        <f t="shared" ca="1" si="167"/>
        <v>2</v>
      </c>
      <c r="N778">
        <f t="shared" ca="1" si="168"/>
        <v>0</v>
      </c>
    </row>
    <row r="779" spans="1:14" x14ac:dyDescent="0.35">
      <c r="A779" t="s">
        <v>796</v>
      </c>
      <c r="B779" t="str">
        <f t="shared" si="156"/>
        <v>Control</v>
      </c>
      <c r="C779">
        <f t="shared" ca="1" si="157"/>
        <v>24</v>
      </c>
      <c r="D779" t="str">
        <f t="shared" ca="1" si="158"/>
        <v>Female</v>
      </c>
      <c r="E779" t="str">
        <f t="shared" ca="1" si="159"/>
        <v>Shoes</v>
      </c>
      <c r="F779">
        <f t="shared" ca="1" si="160"/>
        <v>6015</v>
      </c>
      <c r="G779">
        <f t="shared" ca="1" si="161"/>
        <v>10</v>
      </c>
      <c r="H779">
        <f t="shared" ca="1" si="162"/>
        <v>5413.5</v>
      </c>
      <c r="I779">
        <f t="shared" ca="1" si="163"/>
        <v>1</v>
      </c>
      <c r="J779">
        <f t="shared" ca="1" si="164"/>
        <v>1</v>
      </c>
      <c r="K779">
        <f t="shared" ca="1" si="165"/>
        <v>1</v>
      </c>
      <c r="L779">
        <f t="shared" ca="1" si="166"/>
        <v>5413.5</v>
      </c>
      <c r="M779">
        <f t="shared" ca="1" si="167"/>
        <v>1</v>
      </c>
      <c r="N779">
        <f t="shared" ca="1" si="168"/>
        <v>0</v>
      </c>
    </row>
    <row r="780" spans="1:14" x14ac:dyDescent="0.35">
      <c r="A780" t="s">
        <v>797</v>
      </c>
      <c r="B780" t="str">
        <f t="shared" si="156"/>
        <v>Control</v>
      </c>
      <c r="C780">
        <f t="shared" ca="1" si="157"/>
        <v>31</v>
      </c>
      <c r="D780" t="str">
        <f t="shared" ca="1" si="158"/>
        <v>Female</v>
      </c>
      <c r="E780" t="str">
        <f t="shared" ca="1" si="159"/>
        <v>Tops</v>
      </c>
      <c r="F780">
        <f t="shared" ca="1" si="160"/>
        <v>1284</v>
      </c>
      <c r="G780">
        <f t="shared" ca="1" si="161"/>
        <v>10</v>
      </c>
      <c r="H780">
        <f t="shared" ca="1" si="162"/>
        <v>1155.6000000000001</v>
      </c>
      <c r="I780">
        <f t="shared" ca="1" si="163"/>
        <v>0</v>
      </c>
      <c r="J780">
        <f t="shared" ca="1" si="164"/>
        <v>0</v>
      </c>
      <c r="K780">
        <f t="shared" ca="1" si="165"/>
        <v>0</v>
      </c>
      <c r="L780">
        <f t="shared" ca="1" si="166"/>
        <v>0</v>
      </c>
      <c r="M780">
        <f t="shared" ca="1" si="167"/>
        <v>2</v>
      </c>
      <c r="N780">
        <f t="shared" ca="1" si="168"/>
        <v>0</v>
      </c>
    </row>
    <row r="781" spans="1:14" x14ac:dyDescent="0.35">
      <c r="A781" t="s">
        <v>798</v>
      </c>
      <c r="B781" t="str">
        <f t="shared" si="156"/>
        <v>Control</v>
      </c>
      <c r="C781">
        <f t="shared" ca="1" si="157"/>
        <v>25</v>
      </c>
      <c r="D781" t="str">
        <f t="shared" ca="1" si="158"/>
        <v>Male</v>
      </c>
      <c r="E781" t="str">
        <f t="shared" ca="1" si="159"/>
        <v>Jeans</v>
      </c>
      <c r="F781">
        <f t="shared" ca="1" si="160"/>
        <v>3740</v>
      </c>
      <c r="G781">
        <f t="shared" ca="1" si="161"/>
        <v>10</v>
      </c>
      <c r="H781">
        <f t="shared" ca="1" si="162"/>
        <v>3366</v>
      </c>
      <c r="I781">
        <f t="shared" ca="1" si="163"/>
        <v>1</v>
      </c>
      <c r="J781">
        <f t="shared" ca="1" si="164"/>
        <v>0</v>
      </c>
      <c r="K781">
        <f t="shared" ca="1" si="165"/>
        <v>0</v>
      </c>
      <c r="L781">
        <f t="shared" ca="1" si="166"/>
        <v>0</v>
      </c>
      <c r="M781">
        <f t="shared" ca="1" si="167"/>
        <v>1</v>
      </c>
      <c r="N781">
        <f t="shared" ca="1" si="168"/>
        <v>0</v>
      </c>
    </row>
    <row r="782" spans="1:14" x14ac:dyDescent="0.35">
      <c r="A782" t="s">
        <v>799</v>
      </c>
      <c r="B782" t="str">
        <f t="shared" si="156"/>
        <v>Control</v>
      </c>
      <c r="C782">
        <f t="shared" ca="1" si="157"/>
        <v>19</v>
      </c>
      <c r="D782" t="str">
        <f t="shared" ca="1" si="158"/>
        <v>Other</v>
      </c>
      <c r="E782" t="str">
        <f t="shared" ca="1" si="159"/>
        <v>T-shirts</v>
      </c>
      <c r="F782">
        <f t="shared" ca="1" si="160"/>
        <v>6165</v>
      </c>
      <c r="G782">
        <f t="shared" ca="1" si="161"/>
        <v>10</v>
      </c>
      <c r="H782">
        <f t="shared" ca="1" si="162"/>
        <v>5548.5</v>
      </c>
      <c r="I782">
        <f t="shared" ca="1" si="163"/>
        <v>1</v>
      </c>
      <c r="J782">
        <f t="shared" ca="1" si="164"/>
        <v>1</v>
      </c>
      <c r="K782">
        <f t="shared" ca="1" si="165"/>
        <v>0</v>
      </c>
      <c r="L782">
        <f t="shared" ca="1" si="166"/>
        <v>0</v>
      </c>
      <c r="M782">
        <f t="shared" ca="1" si="167"/>
        <v>3</v>
      </c>
      <c r="N782">
        <f t="shared" ca="1" si="168"/>
        <v>0</v>
      </c>
    </row>
    <row r="783" spans="1:14" x14ac:dyDescent="0.35">
      <c r="A783" t="s">
        <v>800</v>
      </c>
      <c r="B783" t="str">
        <f t="shared" si="156"/>
        <v>Control</v>
      </c>
      <c r="C783">
        <f t="shared" ca="1" si="157"/>
        <v>39</v>
      </c>
      <c r="D783" t="str">
        <f t="shared" ca="1" si="158"/>
        <v>Female</v>
      </c>
      <c r="E783" t="str">
        <f t="shared" ca="1" si="159"/>
        <v>Jeans</v>
      </c>
      <c r="F783">
        <f t="shared" ca="1" si="160"/>
        <v>5425</v>
      </c>
      <c r="G783">
        <f t="shared" ca="1" si="161"/>
        <v>10</v>
      </c>
      <c r="H783">
        <f t="shared" ca="1" si="162"/>
        <v>4882.5</v>
      </c>
      <c r="I783">
        <f t="shared" ca="1" si="163"/>
        <v>1</v>
      </c>
      <c r="J783">
        <f t="shared" ca="1" si="164"/>
        <v>0</v>
      </c>
      <c r="K783">
        <f t="shared" ca="1" si="165"/>
        <v>0</v>
      </c>
      <c r="L783">
        <f t="shared" ca="1" si="166"/>
        <v>0</v>
      </c>
      <c r="M783">
        <f t="shared" ca="1" si="167"/>
        <v>6</v>
      </c>
      <c r="N783">
        <f t="shared" ca="1" si="168"/>
        <v>0</v>
      </c>
    </row>
    <row r="784" spans="1:14" x14ac:dyDescent="0.35">
      <c r="A784" t="s">
        <v>801</v>
      </c>
      <c r="B784" t="str">
        <f t="shared" si="156"/>
        <v>Control</v>
      </c>
      <c r="C784">
        <f t="shared" ca="1" si="157"/>
        <v>34</v>
      </c>
      <c r="D784" t="str">
        <f t="shared" ca="1" si="158"/>
        <v>Male</v>
      </c>
      <c r="E784" t="str">
        <f t="shared" ca="1" si="159"/>
        <v>Jeans</v>
      </c>
      <c r="F784">
        <f t="shared" ca="1" si="160"/>
        <v>7217</v>
      </c>
      <c r="G784">
        <f t="shared" ca="1" si="161"/>
        <v>10</v>
      </c>
      <c r="H784">
        <f t="shared" ca="1" si="162"/>
        <v>6495.3</v>
      </c>
      <c r="I784">
        <f t="shared" ca="1" si="163"/>
        <v>1</v>
      </c>
      <c r="J784">
        <f t="shared" ca="1" si="164"/>
        <v>1</v>
      </c>
      <c r="K784">
        <f t="shared" ca="1" si="165"/>
        <v>0</v>
      </c>
      <c r="L784">
        <f t="shared" ca="1" si="166"/>
        <v>0</v>
      </c>
      <c r="M784">
        <f t="shared" ca="1" si="167"/>
        <v>7</v>
      </c>
      <c r="N784">
        <f t="shared" ca="1" si="168"/>
        <v>0</v>
      </c>
    </row>
    <row r="785" spans="1:14" x14ac:dyDescent="0.35">
      <c r="A785" t="s">
        <v>802</v>
      </c>
      <c r="B785" t="str">
        <f t="shared" si="156"/>
        <v>Control</v>
      </c>
      <c r="C785">
        <f t="shared" ca="1" si="157"/>
        <v>32</v>
      </c>
      <c r="D785" t="str">
        <f t="shared" ca="1" si="158"/>
        <v>Male</v>
      </c>
      <c r="E785" t="str">
        <f t="shared" ca="1" si="159"/>
        <v>Jeans</v>
      </c>
      <c r="F785">
        <f t="shared" ca="1" si="160"/>
        <v>3502</v>
      </c>
      <c r="G785">
        <f t="shared" ca="1" si="161"/>
        <v>10</v>
      </c>
      <c r="H785">
        <f t="shared" ca="1" si="162"/>
        <v>3151.8</v>
      </c>
      <c r="I785">
        <f t="shared" ca="1" si="163"/>
        <v>1</v>
      </c>
      <c r="J785">
        <f t="shared" ca="1" si="164"/>
        <v>0</v>
      </c>
      <c r="K785">
        <f t="shared" ca="1" si="165"/>
        <v>0</v>
      </c>
      <c r="L785">
        <f t="shared" ca="1" si="166"/>
        <v>0</v>
      </c>
      <c r="M785">
        <f t="shared" ca="1" si="167"/>
        <v>3</v>
      </c>
      <c r="N785">
        <f t="shared" ca="1" si="168"/>
        <v>0</v>
      </c>
    </row>
    <row r="786" spans="1:14" x14ac:dyDescent="0.35">
      <c r="A786" t="s">
        <v>803</v>
      </c>
      <c r="B786" t="str">
        <f t="shared" si="156"/>
        <v>Control</v>
      </c>
      <c r="C786">
        <f t="shared" ca="1" si="157"/>
        <v>37</v>
      </c>
      <c r="D786" t="str">
        <f t="shared" ca="1" si="158"/>
        <v>Female</v>
      </c>
      <c r="E786" t="str">
        <f t="shared" ca="1" si="159"/>
        <v>Ethnic Wear</v>
      </c>
      <c r="F786">
        <f t="shared" ca="1" si="160"/>
        <v>3674</v>
      </c>
      <c r="G786">
        <f t="shared" ca="1" si="161"/>
        <v>10</v>
      </c>
      <c r="H786">
        <f t="shared" ca="1" si="162"/>
        <v>3306.6</v>
      </c>
      <c r="I786">
        <f t="shared" ca="1" si="163"/>
        <v>1</v>
      </c>
      <c r="J786">
        <f t="shared" ca="1" si="164"/>
        <v>1</v>
      </c>
      <c r="K786">
        <f t="shared" ca="1" si="165"/>
        <v>1</v>
      </c>
      <c r="L786">
        <f t="shared" ca="1" si="166"/>
        <v>3306.6</v>
      </c>
      <c r="M786">
        <f t="shared" ca="1" si="167"/>
        <v>1</v>
      </c>
      <c r="N786">
        <f t="shared" ca="1" si="168"/>
        <v>0</v>
      </c>
    </row>
    <row r="787" spans="1:14" x14ac:dyDescent="0.35">
      <c r="A787" t="s">
        <v>804</v>
      </c>
      <c r="B787" t="str">
        <f t="shared" si="156"/>
        <v>Control</v>
      </c>
      <c r="C787">
        <f t="shared" ca="1" si="157"/>
        <v>26</v>
      </c>
      <c r="D787" t="str">
        <f t="shared" ca="1" si="158"/>
        <v>Male</v>
      </c>
      <c r="E787" t="str">
        <f t="shared" ca="1" si="159"/>
        <v>Shoes</v>
      </c>
      <c r="F787">
        <f t="shared" ca="1" si="160"/>
        <v>6690</v>
      </c>
      <c r="G787">
        <f t="shared" ca="1" si="161"/>
        <v>10</v>
      </c>
      <c r="H787">
        <f t="shared" ca="1" si="162"/>
        <v>6021</v>
      </c>
      <c r="I787">
        <f t="shared" ca="1" si="163"/>
        <v>1</v>
      </c>
      <c r="J787">
        <f t="shared" ca="1" si="164"/>
        <v>0</v>
      </c>
      <c r="K787">
        <f t="shared" ca="1" si="165"/>
        <v>0</v>
      </c>
      <c r="L787">
        <f t="shared" ca="1" si="166"/>
        <v>0</v>
      </c>
      <c r="M787">
        <f t="shared" ca="1" si="167"/>
        <v>5</v>
      </c>
      <c r="N787">
        <f t="shared" ca="1" si="168"/>
        <v>0</v>
      </c>
    </row>
    <row r="788" spans="1:14" x14ac:dyDescent="0.35">
      <c r="A788" t="s">
        <v>805</v>
      </c>
      <c r="B788" t="str">
        <f t="shared" si="156"/>
        <v>Control</v>
      </c>
      <c r="C788">
        <f t="shared" ca="1" si="157"/>
        <v>21</v>
      </c>
      <c r="D788" t="str">
        <f t="shared" ca="1" si="158"/>
        <v>Female</v>
      </c>
      <c r="E788" t="str">
        <f t="shared" ca="1" si="159"/>
        <v>T-shirts</v>
      </c>
      <c r="F788">
        <f t="shared" ca="1" si="160"/>
        <v>7251</v>
      </c>
      <c r="G788">
        <f t="shared" ca="1" si="161"/>
        <v>10</v>
      </c>
      <c r="H788">
        <f t="shared" ca="1" si="162"/>
        <v>6525.9000000000005</v>
      </c>
      <c r="I788">
        <f t="shared" ca="1" si="163"/>
        <v>1</v>
      </c>
      <c r="J788">
        <f t="shared" ca="1" si="164"/>
        <v>0</v>
      </c>
      <c r="K788">
        <f t="shared" ca="1" si="165"/>
        <v>0</v>
      </c>
      <c r="L788">
        <f t="shared" ca="1" si="166"/>
        <v>0</v>
      </c>
      <c r="M788">
        <f t="shared" ca="1" si="167"/>
        <v>2</v>
      </c>
      <c r="N788">
        <f t="shared" ca="1" si="168"/>
        <v>0</v>
      </c>
    </row>
    <row r="789" spans="1:14" x14ac:dyDescent="0.35">
      <c r="A789" t="s">
        <v>806</v>
      </c>
      <c r="B789" t="str">
        <f t="shared" si="156"/>
        <v>Control</v>
      </c>
      <c r="C789">
        <f t="shared" ca="1" si="157"/>
        <v>41</v>
      </c>
      <c r="D789" t="str">
        <f t="shared" ca="1" si="158"/>
        <v>Female</v>
      </c>
      <c r="E789" t="str">
        <f t="shared" ca="1" si="159"/>
        <v>Sportswear</v>
      </c>
      <c r="F789">
        <f t="shared" ca="1" si="160"/>
        <v>5033</v>
      </c>
      <c r="G789">
        <f t="shared" ca="1" si="161"/>
        <v>10</v>
      </c>
      <c r="H789">
        <f t="shared" ca="1" si="162"/>
        <v>4529.7</v>
      </c>
      <c r="I789">
        <f t="shared" ca="1" si="163"/>
        <v>1</v>
      </c>
      <c r="J789">
        <f t="shared" ca="1" si="164"/>
        <v>1</v>
      </c>
      <c r="K789">
        <f t="shared" ca="1" si="165"/>
        <v>0</v>
      </c>
      <c r="L789">
        <f t="shared" ca="1" si="166"/>
        <v>0</v>
      </c>
      <c r="M789">
        <f t="shared" ca="1" si="167"/>
        <v>2</v>
      </c>
      <c r="N789">
        <f t="shared" ca="1" si="168"/>
        <v>0</v>
      </c>
    </row>
    <row r="790" spans="1:14" x14ac:dyDescent="0.35">
      <c r="A790" t="s">
        <v>807</v>
      </c>
      <c r="B790" t="str">
        <f t="shared" si="156"/>
        <v>Control</v>
      </c>
      <c r="C790">
        <f t="shared" ca="1" si="157"/>
        <v>24</v>
      </c>
      <c r="D790" t="str">
        <f t="shared" ca="1" si="158"/>
        <v>Female</v>
      </c>
      <c r="E790" t="str">
        <f t="shared" ca="1" si="159"/>
        <v>Shoes</v>
      </c>
      <c r="F790">
        <f t="shared" ca="1" si="160"/>
        <v>920</v>
      </c>
      <c r="G790">
        <f t="shared" ca="1" si="161"/>
        <v>10</v>
      </c>
      <c r="H790">
        <f t="shared" ca="1" si="162"/>
        <v>828</v>
      </c>
      <c r="I790">
        <f t="shared" ca="1" si="163"/>
        <v>1</v>
      </c>
      <c r="J790">
        <f t="shared" ca="1" si="164"/>
        <v>1</v>
      </c>
      <c r="K790">
        <f t="shared" ca="1" si="165"/>
        <v>0</v>
      </c>
      <c r="L790">
        <f t="shared" ca="1" si="166"/>
        <v>0</v>
      </c>
      <c r="M790">
        <f t="shared" ca="1" si="167"/>
        <v>1</v>
      </c>
      <c r="N790">
        <f t="shared" ca="1" si="168"/>
        <v>0</v>
      </c>
    </row>
    <row r="791" spans="1:14" x14ac:dyDescent="0.35">
      <c r="A791" t="s">
        <v>808</v>
      </c>
      <c r="B791" t="str">
        <f t="shared" si="156"/>
        <v>Control</v>
      </c>
      <c r="C791">
        <f t="shared" ca="1" si="157"/>
        <v>28</v>
      </c>
      <c r="D791" t="str">
        <f t="shared" ca="1" si="158"/>
        <v>Male</v>
      </c>
      <c r="E791" t="str">
        <f t="shared" ca="1" si="159"/>
        <v>Shoes</v>
      </c>
      <c r="F791">
        <f t="shared" ca="1" si="160"/>
        <v>3361</v>
      </c>
      <c r="G791">
        <f t="shared" ca="1" si="161"/>
        <v>10</v>
      </c>
      <c r="H791">
        <f t="shared" ca="1" si="162"/>
        <v>3024.9</v>
      </c>
      <c r="I791">
        <f t="shared" ca="1" si="163"/>
        <v>1</v>
      </c>
      <c r="J791">
        <f t="shared" ca="1" si="164"/>
        <v>0</v>
      </c>
      <c r="K791">
        <f t="shared" ca="1" si="165"/>
        <v>0</v>
      </c>
      <c r="L791">
        <f t="shared" ca="1" si="166"/>
        <v>0</v>
      </c>
      <c r="M791">
        <f t="shared" ca="1" si="167"/>
        <v>6</v>
      </c>
      <c r="N791">
        <f t="shared" ca="1" si="168"/>
        <v>0</v>
      </c>
    </row>
    <row r="792" spans="1:14" x14ac:dyDescent="0.35">
      <c r="A792" t="s">
        <v>809</v>
      </c>
      <c r="B792" t="str">
        <f t="shared" si="156"/>
        <v>Control</v>
      </c>
      <c r="C792">
        <f t="shared" ca="1" si="157"/>
        <v>24</v>
      </c>
      <c r="D792" t="str">
        <f t="shared" ca="1" si="158"/>
        <v>Female</v>
      </c>
      <c r="E792" t="str">
        <f t="shared" ca="1" si="159"/>
        <v>Sportswear</v>
      </c>
      <c r="F792">
        <f t="shared" ca="1" si="160"/>
        <v>7268</v>
      </c>
      <c r="G792">
        <f t="shared" ca="1" si="161"/>
        <v>10</v>
      </c>
      <c r="H792">
        <f t="shared" ca="1" si="162"/>
        <v>6541.2</v>
      </c>
      <c r="I792">
        <f t="shared" ca="1" si="163"/>
        <v>1</v>
      </c>
      <c r="J792">
        <f t="shared" ca="1" si="164"/>
        <v>0</v>
      </c>
      <c r="K792">
        <f t="shared" ca="1" si="165"/>
        <v>0</v>
      </c>
      <c r="L792">
        <f t="shared" ca="1" si="166"/>
        <v>0</v>
      </c>
      <c r="M792">
        <f t="shared" ca="1" si="167"/>
        <v>7</v>
      </c>
      <c r="N792">
        <f t="shared" ca="1" si="168"/>
        <v>0</v>
      </c>
    </row>
    <row r="793" spans="1:14" x14ac:dyDescent="0.35">
      <c r="A793" t="s">
        <v>810</v>
      </c>
      <c r="B793" t="str">
        <f t="shared" si="156"/>
        <v>Control</v>
      </c>
      <c r="C793">
        <f t="shared" ca="1" si="157"/>
        <v>45</v>
      </c>
      <c r="D793" t="str">
        <f t="shared" ca="1" si="158"/>
        <v>Other</v>
      </c>
      <c r="E793" t="str">
        <f t="shared" ca="1" si="159"/>
        <v>Jeans</v>
      </c>
      <c r="F793">
        <f t="shared" ca="1" si="160"/>
        <v>4239</v>
      </c>
      <c r="G793">
        <f t="shared" ca="1" si="161"/>
        <v>10</v>
      </c>
      <c r="H793">
        <f t="shared" ca="1" si="162"/>
        <v>3815.1</v>
      </c>
      <c r="I793">
        <f t="shared" ca="1" si="163"/>
        <v>0</v>
      </c>
      <c r="J793">
        <f t="shared" ca="1" si="164"/>
        <v>0</v>
      </c>
      <c r="K793">
        <f t="shared" ca="1" si="165"/>
        <v>0</v>
      </c>
      <c r="L793">
        <f t="shared" ca="1" si="166"/>
        <v>0</v>
      </c>
      <c r="M793">
        <f t="shared" ca="1" si="167"/>
        <v>7</v>
      </c>
      <c r="N793">
        <f t="shared" ca="1" si="168"/>
        <v>0</v>
      </c>
    </row>
    <row r="794" spans="1:14" x14ac:dyDescent="0.35">
      <c r="A794" t="s">
        <v>811</v>
      </c>
      <c r="B794" t="str">
        <f t="shared" si="156"/>
        <v>Control</v>
      </c>
      <c r="C794">
        <f t="shared" ca="1" si="157"/>
        <v>29</v>
      </c>
      <c r="D794" t="str">
        <f t="shared" ca="1" si="158"/>
        <v>Female</v>
      </c>
      <c r="E794" t="str">
        <f t="shared" ca="1" si="159"/>
        <v>Jeans</v>
      </c>
      <c r="F794">
        <f t="shared" ca="1" si="160"/>
        <v>3551</v>
      </c>
      <c r="G794">
        <f t="shared" ca="1" si="161"/>
        <v>10</v>
      </c>
      <c r="H794">
        <f t="shared" ca="1" si="162"/>
        <v>3195.9</v>
      </c>
      <c r="I794">
        <f t="shared" ca="1" si="163"/>
        <v>0</v>
      </c>
      <c r="J794">
        <f t="shared" ca="1" si="164"/>
        <v>0</v>
      </c>
      <c r="K794">
        <f t="shared" ca="1" si="165"/>
        <v>0</v>
      </c>
      <c r="L794">
        <f t="shared" ca="1" si="166"/>
        <v>0</v>
      </c>
      <c r="M794">
        <f t="shared" ca="1" si="167"/>
        <v>7</v>
      </c>
      <c r="N794">
        <f t="shared" ca="1" si="168"/>
        <v>0</v>
      </c>
    </row>
    <row r="795" spans="1:14" x14ac:dyDescent="0.35">
      <c r="A795" t="s">
        <v>812</v>
      </c>
      <c r="B795" t="str">
        <f t="shared" si="156"/>
        <v>Control</v>
      </c>
      <c r="C795">
        <f t="shared" ca="1" si="157"/>
        <v>20</v>
      </c>
      <c r="D795" t="str">
        <f t="shared" ca="1" si="158"/>
        <v>Female</v>
      </c>
      <c r="E795" t="str">
        <f t="shared" ca="1" si="159"/>
        <v>Accessories</v>
      </c>
      <c r="F795">
        <f t="shared" ca="1" si="160"/>
        <v>3303</v>
      </c>
      <c r="G795">
        <f t="shared" ca="1" si="161"/>
        <v>10</v>
      </c>
      <c r="H795">
        <f t="shared" ca="1" si="162"/>
        <v>2972.7000000000003</v>
      </c>
      <c r="I795">
        <f t="shared" ca="1" si="163"/>
        <v>1</v>
      </c>
      <c r="J795">
        <f t="shared" ca="1" si="164"/>
        <v>1</v>
      </c>
      <c r="K795">
        <f t="shared" ca="1" si="165"/>
        <v>0</v>
      </c>
      <c r="L795">
        <f t="shared" ca="1" si="166"/>
        <v>0</v>
      </c>
      <c r="M795">
        <f t="shared" ca="1" si="167"/>
        <v>4</v>
      </c>
      <c r="N795">
        <f t="shared" ca="1" si="168"/>
        <v>0</v>
      </c>
    </row>
    <row r="796" spans="1:14" x14ac:dyDescent="0.35">
      <c r="A796" t="s">
        <v>813</v>
      </c>
      <c r="B796" t="str">
        <f t="shared" si="156"/>
        <v>Control</v>
      </c>
      <c r="C796">
        <f t="shared" ca="1" si="157"/>
        <v>44</v>
      </c>
      <c r="D796" t="str">
        <f t="shared" ca="1" si="158"/>
        <v>Female</v>
      </c>
      <c r="E796" t="str">
        <f t="shared" ca="1" si="159"/>
        <v>Jeans</v>
      </c>
      <c r="F796">
        <f t="shared" ca="1" si="160"/>
        <v>4543</v>
      </c>
      <c r="G796">
        <f t="shared" ca="1" si="161"/>
        <v>10</v>
      </c>
      <c r="H796">
        <f t="shared" ca="1" si="162"/>
        <v>4088.7000000000003</v>
      </c>
      <c r="I796">
        <f t="shared" ca="1" si="163"/>
        <v>1</v>
      </c>
      <c r="J796">
        <f t="shared" ca="1" si="164"/>
        <v>1</v>
      </c>
      <c r="K796">
        <f t="shared" ca="1" si="165"/>
        <v>1</v>
      </c>
      <c r="L796">
        <f t="shared" ca="1" si="166"/>
        <v>4088.7000000000003</v>
      </c>
      <c r="M796">
        <f t="shared" ca="1" si="167"/>
        <v>7</v>
      </c>
      <c r="N796">
        <f t="shared" ca="1" si="168"/>
        <v>0</v>
      </c>
    </row>
    <row r="797" spans="1:14" x14ac:dyDescent="0.35">
      <c r="A797" t="s">
        <v>814</v>
      </c>
      <c r="B797" t="str">
        <f t="shared" si="156"/>
        <v>Control</v>
      </c>
      <c r="C797">
        <f t="shared" ca="1" si="157"/>
        <v>39</v>
      </c>
      <c r="D797" t="str">
        <f t="shared" ca="1" si="158"/>
        <v>Male</v>
      </c>
      <c r="E797" t="str">
        <f t="shared" ca="1" si="159"/>
        <v>Shoes</v>
      </c>
      <c r="F797">
        <f t="shared" ca="1" si="160"/>
        <v>2764</v>
      </c>
      <c r="G797">
        <f t="shared" ca="1" si="161"/>
        <v>10</v>
      </c>
      <c r="H797">
        <f t="shared" ca="1" si="162"/>
        <v>2487.6</v>
      </c>
      <c r="I797">
        <f t="shared" ca="1" si="163"/>
        <v>0</v>
      </c>
      <c r="J797">
        <f t="shared" ca="1" si="164"/>
        <v>0</v>
      </c>
      <c r="K797">
        <f t="shared" ca="1" si="165"/>
        <v>0</v>
      </c>
      <c r="L797">
        <f t="shared" ca="1" si="166"/>
        <v>0</v>
      </c>
      <c r="M797">
        <f t="shared" ca="1" si="167"/>
        <v>3</v>
      </c>
      <c r="N797">
        <f t="shared" ca="1" si="168"/>
        <v>0</v>
      </c>
    </row>
    <row r="798" spans="1:14" x14ac:dyDescent="0.35">
      <c r="A798" t="s">
        <v>815</v>
      </c>
      <c r="B798" t="str">
        <f t="shared" si="156"/>
        <v>Control</v>
      </c>
      <c r="C798">
        <f t="shared" ca="1" si="157"/>
        <v>45</v>
      </c>
      <c r="D798" t="str">
        <f t="shared" ca="1" si="158"/>
        <v>Male</v>
      </c>
      <c r="E798" t="str">
        <f t="shared" ca="1" si="159"/>
        <v>Jeans</v>
      </c>
      <c r="F798">
        <f t="shared" ca="1" si="160"/>
        <v>3929</v>
      </c>
      <c r="G798">
        <f t="shared" ca="1" si="161"/>
        <v>10</v>
      </c>
      <c r="H798">
        <f t="shared" ca="1" si="162"/>
        <v>3536.1</v>
      </c>
      <c r="I798">
        <f t="shared" ca="1" si="163"/>
        <v>1</v>
      </c>
      <c r="J798">
        <f t="shared" ca="1" si="164"/>
        <v>1</v>
      </c>
      <c r="K798">
        <f t="shared" ca="1" si="165"/>
        <v>0</v>
      </c>
      <c r="L798">
        <f t="shared" ca="1" si="166"/>
        <v>0</v>
      </c>
      <c r="M798">
        <f t="shared" ca="1" si="167"/>
        <v>5</v>
      </c>
      <c r="N798">
        <f t="shared" ca="1" si="168"/>
        <v>0</v>
      </c>
    </row>
    <row r="799" spans="1:14" x14ac:dyDescent="0.35">
      <c r="A799" t="s">
        <v>816</v>
      </c>
      <c r="B799" t="str">
        <f t="shared" si="156"/>
        <v>Control</v>
      </c>
      <c r="C799">
        <f t="shared" ca="1" si="157"/>
        <v>38</v>
      </c>
      <c r="D799" t="str">
        <f t="shared" ca="1" si="158"/>
        <v>Female</v>
      </c>
      <c r="E799" t="str">
        <f t="shared" ca="1" si="159"/>
        <v>Sportswear</v>
      </c>
      <c r="F799">
        <f t="shared" ca="1" si="160"/>
        <v>1129</v>
      </c>
      <c r="G799">
        <f t="shared" ca="1" si="161"/>
        <v>10</v>
      </c>
      <c r="H799">
        <f t="shared" ca="1" si="162"/>
        <v>1016.1</v>
      </c>
      <c r="I799">
        <f t="shared" ca="1" si="163"/>
        <v>1</v>
      </c>
      <c r="J799">
        <f t="shared" ca="1" si="164"/>
        <v>1</v>
      </c>
      <c r="K799">
        <f t="shared" ca="1" si="165"/>
        <v>1</v>
      </c>
      <c r="L799">
        <f t="shared" ca="1" si="166"/>
        <v>1016.1</v>
      </c>
      <c r="M799">
        <f t="shared" ca="1" si="167"/>
        <v>6</v>
      </c>
      <c r="N799">
        <f t="shared" ca="1" si="168"/>
        <v>0</v>
      </c>
    </row>
    <row r="800" spans="1:14" x14ac:dyDescent="0.35">
      <c r="A800" t="s">
        <v>817</v>
      </c>
      <c r="B800" t="str">
        <f t="shared" si="156"/>
        <v>Control</v>
      </c>
      <c r="C800">
        <f t="shared" ca="1" si="157"/>
        <v>42</v>
      </c>
      <c r="D800" t="str">
        <f t="shared" ca="1" si="158"/>
        <v>Female</v>
      </c>
      <c r="E800" t="str">
        <f t="shared" ca="1" si="159"/>
        <v>Tops</v>
      </c>
      <c r="F800">
        <f t="shared" ca="1" si="160"/>
        <v>807</v>
      </c>
      <c r="G800">
        <f t="shared" ca="1" si="161"/>
        <v>10</v>
      </c>
      <c r="H800">
        <f t="shared" ca="1" si="162"/>
        <v>726.30000000000007</v>
      </c>
      <c r="I800">
        <f t="shared" ca="1" si="163"/>
        <v>1</v>
      </c>
      <c r="J800">
        <f t="shared" ca="1" si="164"/>
        <v>0</v>
      </c>
      <c r="K800">
        <f t="shared" ca="1" si="165"/>
        <v>0</v>
      </c>
      <c r="L800">
        <f t="shared" ca="1" si="166"/>
        <v>0</v>
      </c>
      <c r="M800">
        <f t="shared" ca="1" si="167"/>
        <v>5</v>
      </c>
      <c r="N800">
        <f t="shared" ca="1" si="168"/>
        <v>0</v>
      </c>
    </row>
    <row r="801" spans="1:14" x14ac:dyDescent="0.35">
      <c r="A801" t="s">
        <v>818</v>
      </c>
      <c r="B801" t="str">
        <f t="shared" si="156"/>
        <v>Control</v>
      </c>
      <c r="C801">
        <f t="shared" ca="1" si="157"/>
        <v>19</v>
      </c>
      <c r="D801" t="str">
        <f t="shared" ca="1" si="158"/>
        <v>Male</v>
      </c>
      <c r="E801" t="str">
        <f t="shared" ca="1" si="159"/>
        <v>Ethnic Wear</v>
      </c>
      <c r="F801">
        <f t="shared" ca="1" si="160"/>
        <v>6286</v>
      </c>
      <c r="G801">
        <f t="shared" ca="1" si="161"/>
        <v>10</v>
      </c>
      <c r="H801">
        <f t="shared" ca="1" si="162"/>
        <v>5657.4000000000005</v>
      </c>
      <c r="I801">
        <f t="shared" ca="1" si="163"/>
        <v>1</v>
      </c>
      <c r="J801">
        <f t="shared" ca="1" si="164"/>
        <v>0</v>
      </c>
      <c r="K801">
        <f t="shared" ca="1" si="165"/>
        <v>0</v>
      </c>
      <c r="L801">
        <f t="shared" ca="1" si="166"/>
        <v>0</v>
      </c>
      <c r="M801">
        <f t="shared" ca="1" si="167"/>
        <v>7</v>
      </c>
      <c r="N801">
        <f t="shared" ca="1" si="168"/>
        <v>0</v>
      </c>
    </row>
    <row r="802" spans="1:14" x14ac:dyDescent="0.35">
      <c r="A802" t="s">
        <v>819</v>
      </c>
      <c r="B802" t="str">
        <f t="shared" si="156"/>
        <v>Control</v>
      </c>
      <c r="C802">
        <f t="shared" ca="1" si="157"/>
        <v>41</v>
      </c>
      <c r="D802" t="str">
        <f t="shared" ca="1" si="158"/>
        <v>Female</v>
      </c>
      <c r="E802" t="str">
        <f t="shared" ca="1" si="159"/>
        <v>Jeans</v>
      </c>
      <c r="F802">
        <f t="shared" ca="1" si="160"/>
        <v>1210</v>
      </c>
      <c r="G802">
        <f t="shared" ca="1" si="161"/>
        <v>10</v>
      </c>
      <c r="H802">
        <f t="shared" ca="1" si="162"/>
        <v>1089</v>
      </c>
      <c r="I802">
        <f t="shared" ca="1" si="163"/>
        <v>1</v>
      </c>
      <c r="J802">
        <f t="shared" ca="1" si="164"/>
        <v>1</v>
      </c>
      <c r="K802">
        <f t="shared" ca="1" si="165"/>
        <v>0</v>
      </c>
      <c r="L802">
        <f t="shared" ca="1" si="166"/>
        <v>0</v>
      </c>
      <c r="M802">
        <f t="shared" ca="1" si="167"/>
        <v>6</v>
      </c>
      <c r="N802">
        <f t="shared" ca="1" si="168"/>
        <v>0</v>
      </c>
    </row>
    <row r="803" spans="1:14" x14ac:dyDescent="0.35">
      <c r="A803" t="s">
        <v>820</v>
      </c>
      <c r="B803" t="str">
        <f t="shared" si="156"/>
        <v>Control</v>
      </c>
      <c r="C803">
        <f t="shared" ca="1" si="157"/>
        <v>22</v>
      </c>
      <c r="D803" t="str">
        <f t="shared" ca="1" si="158"/>
        <v>Female</v>
      </c>
      <c r="E803" t="str">
        <f t="shared" ca="1" si="159"/>
        <v>T-shirts</v>
      </c>
      <c r="F803">
        <f t="shared" ca="1" si="160"/>
        <v>576</v>
      </c>
      <c r="G803">
        <f t="shared" ca="1" si="161"/>
        <v>10</v>
      </c>
      <c r="H803">
        <f t="shared" ca="1" si="162"/>
        <v>518.4</v>
      </c>
      <c r="I803">
        <f t="shared" ca="1" si="163"/>
        <v>1</v>
      </c>
      <c r="J803">
        <f t="shared" ca="1" si="164"/>
        <v>0</v>
      </c>
      <c r="K803">
        <f t="shared" ca="1" si="165"/>
        <v>0</v>
      </c>
      <c r="L803">
        <f t="shared" ca="1" si="166"/>
        <v>0</v>
      </c>
      <c r="M803">
        <f t="shared" ca="1" si="167"/>
        <v>5</v>
      </c>
      <c r="N803">
        <f t="shared" ca="1" si="168"/>
        <v>0</v>
      </c>
    </row>
    <row r="804" spans="1:14" x14ac:dyDescent="0.35">
      <c r="A804" t="s">
        <v>821</v>
      </c>
      <c r="B804" t="str">
        <f t="shared" si="156"/>
        <v>Control</v>
      </c>
      <c r="C804">
        <f t="shared" ca="1" si="157"/>
        <v>38</v>
      </c>
      <c r="D804" t="str">
        <f t="shared" ca="1" si="158"/>
        <v>Male</v>
      </c>
      <c r="E804" t="str">
        <f t="shared" ca="1" si="159"/>
        <v>T-shirts</v>
      </c>
      <c r="F804">
        <f t="shared" ca="1" si="160"/>
        <v>7170</v>
      </c>
      <c r="G804">
        <f t="shared" ca="1" si="161"/>
        <v>10</v>
      </c>
      <c r="H804">
        <f t="shared" ca="1" si="162"/>
        <v>6453</v>
      </c>
      <c r="I804">
        <f t="shared" ca="1" si="163"/>
        <v>1</v>
      </c>
      <c r="J804">
        <f t="shared" ca="1" si="164"/>
        <v>1</v>
      </c>
      <c r="K804">
        <f t="shared" ca="1" si="165"/>
        <v>1</v>
      </c>
      <c r="L804">
        <f t="shared" ca="1" si="166"/>
        <v>6453</v>
      </c>
      <c r="M804">
        <f t="shared" ca="1" si="167"/>
        <v>2</v>
      </c>
      <c r="N804">
        <f t="shared" ca="1" si="168"/>
        <v>0</v>
      </c>
    </row>
    <row r="805" spans="1:14" x14ac:dyDescent="0.35">
      <c r="A805" t="s">
        <v>822</v>
      </c>
      <c r="B805" t="str">
        <f t="shared" si="156"/>
        <v>Control</v>
      </c>
      <c r="C805">
        <f t="shared" ca="1" si="157"/>
        <v>18</v>
      </c>
      <c r="D805" t="str">
        <f t="shared" ca="1" si="158"/>
        <v>Female</v>
      </c>
      <c r="E805" t="str">
        <f t="shared" ca="1" si="159"/>
        <v>Dresses</v>
      </c>
      <c r="F805">
        <f t="shared" ca="1" si="160"/>
        <v>5622</v>
      </c>
      <c r="G805">
        <f t="shared" ca="1" si="161"/>
        <v>10</v>
      </c>
      <c r="H805">
        <f t="shared" ca="1" si="162"/>
        <v>5059.8</v>
      </c>
      <c r="I805">
        <f t="shared" ca="1" si="163"/>
        <v>0</v>
      </c>
      <c r="J805">
        <f t="shared" ca="1" si="164"/>
        <v>0</v>
      </c>
      <c r="K805">
        <f t="shared" ca="1" si="165"/>
        <v>0</v>
      </c>
      <c r="L805">
        <f t="shared" ca="1" si="166"/>
        <v>0</v>
      </c>
      <c r="M805">
        <f t="shared" ca="1" si="167"/>
        <v>1</v>
      </c>
      <c r="N805">
        <f t="shared" ca="1" si="168"/>
        <v>0</v>
      </c>
    </row>
    <row r="806" spans="1:14" x14ac:dyDescent="0.35">
      <c r="A806" t="s">
        <v>823</v>
      </c>
      <c r="B806" t="str">
        <f t="shared" si="156"/>
        <v>Control</v>
      </c>
      <c r="C806">
        <f t="shared" ca="1" si="157"/>
        <v>38</v>
      </c>
      <c r="D806" t="str">
        <f t="shared" ca="1" si="158"/>
        <v>Male</v>
      </c>
      <c r="E806" t="str">
        <f t="shared" ca="1" si="159"/>
        <v>T-shirts</v>
      </c>
      <c r="F806">
        <f t="shared" ca="1" si="160"/>
        <v>1122</v>
      </c>
      <c r="G806">
        <f t="shared" ca="1" si="161"/>
        <v>10</v>
      </c>
      <c r="H806">
        <f t="shared" ca="1" si="162"/>
        <v>1009.8000000000001</v>
      </c>
      <c r="I806">
        <f t="shared" ca="1" si="163"/>
        <v>0</v>
      </c>
      <c r="J806">
        <f t="shared" ca="1" si="164"/>
        <v>0</v>
      </c>
      <c r="K806">
        <f t="shared" ca="1" si="165"/>
        <v>0</v>
      </c>
      <c r="L806">
        <f t="shared" ca="1" si="166"/>
        <v>0</v>
      </c>
      <c r="M806">
        <f t="shared" ca="1" si="167"/>
        <v>4</v>
      </c>
      <c r="N806">
        <f t="shared" ca="1" si="168"/>
        <v>0</v>
      </c>
    </row>
    <row r="807" spans="1:14" x14ac:dyDescent="0.35">
      <c r="A807" t="s">
        <v>824</v>
      </c>
      <c r="B807" t="str">
        <f t="shared" si="156"/>
        <v>Control</v>
      </c>
      <c r="C807">
        <f t="shared" ca="1" si="157"/>
        <v>39</v>
      </c>
      <c r="D807" t="str">
        <f t="shared" ca="1" si="158"/>
        <v>Other</v>
      </c>
      <c r="E807" t="str">
        <f t="shared" ca="1" si="159"/>
        <v>Jeans</v>
      </c>
      <c r="F807">
        <f t="shared" ca="1" si="160"/>
        <v>1815</v>
      </c>
      <c r="G807">
        <f t="shared" ca="1" si="161"/>
        <v>10</v>
      </c>
      <c r="H807">
        <f t="shared" ca="1" si="162"/>
        <v>1633.5</v>
      </c>
      <c r="I807">
        <f t="shared" ca="1" si="163"/>
        <v>0</v>
      </c>
      <c r="J807">
        <f t="shared" ca="1" si="164"/>
        <v>0</v>
      </c>
      <c r="K807">
        <f t="shared" ca="1" si="165"/>
        <v>0</v>
      </c>
      <c r="L807">
        <f t="shared" ca="1" si="166"/>
        <v>0</v>
      </c>
      <c r="M807">
        <f t="shared" ca="1" si="167"/>
        <v>4</v>
      </c>
      <c r="N807">
        <f t="shared" ca="1" si="168"/>
        <v>0</v>
      </c>
    </row>
    <row r="808" spans="1:14" x14ac:dyDescent="0.35">
      <c r="A808" t="s">
        <v>825</v>
      </c>
      <c r="B808" t="str">
        <f t="shared" si="156"/>
        <v>Control</v>
      </c>
      <c r="C808">
        <f t="shared" ca="1" si="157"/>
        <v>23</v>
      </c>
      <c r="D808" t="str">
        <f t="shared" ca="1" si="158"/>
        <v>Male</v>
      </c>
      <c r="E808" t="str">
        <f t="shared" ca="1" si="159"/>
        <v>Tops</v>
      </c>
      <c r="F808">
        <f t="shared" ca="1" si="160"/>
        <v>6818</v>
      </c>
      <c r="G808">
        <f t="shared" ca="1" si="161"/>
        <v>10</v>
      </c>
      <c r="H808">
        <f t="shared" ca="1" si="162"/>
        <v>6136.2</v>
      </c>
      <c r="I808">
        <f t="shared" ca="1" si="163"/>
        <v>0</v>
      </c>
      <c r="J808">
        <f t="shared" ca="1" si="164"/>
        <v>0</v>
      </c>
      <c r="K808">
        <f t="shared" ca="1" si="165"/>
        <v>0</v>
      </c>
      <c r="L808">
        <f t="shared" ca="1" si="166"/>
        <v>0</v>
      </c>
      <c r="M808">
        <f t="shared" ca="1" si="167"/>
        <v>3</v>
      </c>
      <c r="N808">
        <f t="shared" ca="1" si="168"/>
        <v>0</v>
      </c>
    </row>
    <row r="809" spans="1:14" x14ac:dyDescent="0.35">
      <c r="A809" t="s">
        <v>826</v>
      </c>
      <c r="B809" t="str">
        <f t="shared" si="156"/>
        <v>Control</v>
      </c>
      <c r="C809">
        <f t="shared" ca="1" si="157"/>
        <v>22</v>
      </c>
      <c r="D809" t="str">
        <f t="shared" ca="1" si="158"/>
        <v>Female</v>
      </c>
      <c r="E809" t="str">
        <f t="shared" ca="1" si="159"/>
        <v>Ethnic Wear</v>
      </c>
      <c r="F809">
        <f t="shared" ca="1" si="160"/>
        <v>3434</v>
      </c>
      <c r="G809">
        <f t="shared" ca="1" si="161"/>
        <v>10</v>
      </c>
      <c r="H809">
        <f t="shared" ca="1" si="162"/>
        <v>3090.6</v>
      </c>
      <c r="I809">
        <f t="shared" ca="1" si="163"/>
        <v>1</v>
      </c>
      <c r="J809">
        <f t="shared" ca="1" si="164"/>
        <v>0</v>
      </c>
      <c r="K809">
        <f t="shared" ca="1" si="165"/>
        <v>0</v>
      </c>
      <c r="L809">
        <f t="shared" ca="1" si="166"/>
        <v>0</v>
      </c>
      <c r="M809">
        <f t="shared" ca="1" si="167"/>
        <v>7</v>
      </c>
      <c r="N809">
        <f t="shared" ca="1" si="168"/>
        <v>0</v>
      </c>
    </row>
    <row r="810" spans="1:14" x14ac:dyDescent="0.35">
      <c r="A810" t="s">
        <v>827</v>
      </c>
      <c r="B810" t="str">
        <f t="shared" si="156"/>
        <v>Control</v>
      </c>
      <c r="C810">
        <f t="shared" ca="1" si="157"/>
        <v>44</v>
      </c>
      <c r="D810" t="str">
        <f t="shared" ca="1" si="158"/>
        <v>Other</v>
      </c>
      <c r="E810" t="str">
        <f t="shared" ca="1" si="159"/>
        <v>Tops</v>
      </c>
      <c r="F810">
        <f t="shared" ca="1" si="160"/>
        <v>6502</v>
      </c>
      <c r="G810">
        <f t="shared" ca="1" si="161"/>
        <v>10</v>
      </c>
      <c r="H810">
        <f t="shared" ca="1" si="162"/>
        <v>5851.8</v>
      </c>
      <c r="I810">
        <f t="shared" ca="1" si="163"/>
        <v>1</v>
      </c>
      <c r="J810">
        <f t="shared" ca="1" si="164"/>
        <v>1</v>
      </c>
      <c r="K810">
        <f t="shared" ca="1" si="165"/>
        <v>0</v>
      </c>
      <c r="L810">
        <f t="shared" ca="1" si="166"/>
        <v>0</v>
      </c>
      <c r="M810">
        <f t="shared" ca="1" si="167"/>
        <v>7</v>
      </c>
      <c r="N810">
        <f t="shared" ca="1" si="168"/>
        <v>0</v>
      </c>
    </row>
    <row r="811" spans="1:14" x14ac:dyDescent="0.35">
      <c r="A811" t="s">
        <v>828</v>
      </c>
      <c r="B811" t="str">
        <f t="shared" si="156"/>
        <v>Control</v>
      </c>
      <c r="C811">
        <f t="shared" ca="1" si="157"/>
        <v>28</v>
      </c>
      <c r="D811" t="str">
        <f t="shared" ca="1" si="158"/>
        <v>Female</v>
      </c>
      <c r="E811" t="str">
        <f t="shared" ca="1" si="159"/>
        <v>Sportswear</v>
      </c>
      <c r="F811">
        <f t="shared" ca="1" si="160"/>
        <v>5889</v>
      </c>
      <c r="G811">
        <f t="shared" ca="1" si="161"/>
        <v>10</v>
      </c>
      <c r="H811">
        <f t="shared" ca="1" si="162"/>
        <v>5300.1</v>
      </c>
      <c r="I811">
        <f t="shared" ca="1" si="163"/>
        <v>1</v>
      </c>
      <c r="J811">
        <f t="shared" ca="1" si="164"/>
        <v>1</v>
      </c>
      <c r="K811">
        <f t="shared" ca="1" si="165"/>
        <v>0</v>
      </c>
      <c r="L811">
        <f t="shared" ca="1" si="166"/>
        <v>0</v>
      </c>
      <c r="M811">
        <f t="shared" ca="1" si="167"/>
        <v>5</v>
      </c>
      <c r="N811">
        <f t="shared" ca="1" si="168"/>
        <v>0</v>
      </c>
    </row>
    <row r="812" spans="1:14" x14ac:dyDescent="0.35">
      <c r="A812" t="s">
        <v>829</v>
      </c>
      <c r="B812" t="str">
        <f t="shared" si="156"/>
        <v>Control</v>
      </c>
      <c r="C812">
        <f t="shared" ca="1" si="157"/>
        <v>30</v>
      </c>
      <c r="D812" t="str">
        <f t="shared" ca="1" si="158"/>
        <v>Female</v>
      </c>
      <c r="E812" t="str">
        <f t="shared" ca="1" si="159"/>
        <v>Jeans</v>
      </c>
      <c r="F812">
        <f t="shared" ca="1" si="160"/>
        <v>5625</v>
      </c>
      <c r="G812">
        <f t="shared" ca="1" si="161"/>
        <v>10</v>
      </c>
      <c r="H812">
        <f t="shared" ca="1" si="162"/>
        <v>5062.5</v>
      </c>
      <c r="I812">
        <f t="shared" ca="1" si="163"/>
        <v>1</v>
      </c>
      <c r="J812">
        <f t="shared" ca="1" si="164"/>
        <v>1</v>
      </c>
      <c r="K812">
        <f t="shared" ca="1" si="165"/>
        <v>1</v>
      </c>
      <c r="L812">
        <f t="shared" ca="1" si="166"/>
        <v>5062.5</v>
      </c>
      <c r="M812">
        <f t="shared" ca="1" si="167"/>
        <v>5</v>
      </c>
      <c r="N812">
        <f t="shared" ca="1" si="168"/>
        <v>0</v>
      </c>
    </row>
    <row r="813" spans="1:14" x14ac:dyDescent="0.35">
      <c r="A813" t="s">
        <v>830</v>
      </c>
      <c r="B813" t="str">
        <f t="shared" si="156"/>
        <v>Control</v>
      </c>
      <c r="C813">
        <f t="shared" ca="1" si="157"/>
        <v>22</v>
      </c>
      <c r="D813" t="str">
        <f t="shared" ca="1" si="158"/>
        <v>Female</v>
      </c>
      <c r="E813" t="str">
        <f t="shared" ca="1" si="159"/>
        <v>Dresses</v>
      </c>
      <c r="F813">
        <f t="shared" ca="1" si="160"/>
        <v>5522</v>
      </c>
      <c r="G813">
        <f t="shared" ca="1" si="161"/>
        <v>10</v>
      </c>
      <c r="H813">
        <f t="shared" ca="1" si="162"/>
        <v>4969.8</v>
      </c>
      <c r="I813">
        <f t="shared" ca="1" si="163"/>
        <v>1</v>
      </c>
      <c r="J813">
        <f t="shared" ca="1" si="164"/>
        <v>0</v>
      </c>
      <c r="K813">
        <f t="shared" ca="1" si="165"/>
        <v>0</v>
      </c>
      <c r="L813">
        <f t="shared" ca="1" si="166"/>
        <v>0</v>
      </c>
      <c r="M813">
        <f t="shared" ca="1" si="167"/>
        <v>1</v>
      </c>
      <c r="N813">
        <f t="shared" ca="1" si="168"/>
        <v>0</v>
      </c>
    </row>
    <row r="814" spans="1:14" x14ac:dyDescent="0.35">
      <c r="A814" t="s">
        <v>831</v>
      </c>
      <c r="B814" t="str">
        <f t="shared" si="156"/>
        <v>Control</v>
      </c>
      <c r="C814">
        <f t="shared" ca="1" si="157"/>
        <v>31</v>
      </c>
      <c r="D814" t="str">
        <f t="shared" ca="1" si="158"/>
        <v>Female</v>
      </c>
      <c r="E814" t="str">
        <f t="shared" ca="1" si="159"/>
        <v>Ethnic Wear</v>
      </c>
      <c r="F814">
        <f t="shared" ca="1" si="160"/>
        <v>6927</v>
      </c>
      <c r="G814">
        <f t="shared" ca="1" si="161"/>
        <v>10</v>
      </c>
      <c r="H814">
        <f t="shared" ca="1" si="162"/>
        <v>6234.3</v>
      </c>
      <c r="I814">
        <f t="shared" ca="1" si="163"/>
        <v>1</v>
      </c>
      <c r="J814">
        <f t="shared" ca="1" si="164"/>
        <v>1</v>
      </c>
      <c r="K814">
        <f t="shared" ca="1" si="165"/>
        <v>0</v>
      </c>
      <c r="L814">
        <f t="shared" ca="1" si="166"/>
        <v>0</v>
      </c>
      <c r="M814">
        <f t="shared" ca="1" si="167"/>
        <v>5</v>
      </c>
      <c r="N814">
        <f t="shared" ca="1" si="168"/>
        <v>0</v>
      </c>
    </row>
    <row r="815" spans="1:14" x14ac:dyDescent="0.35">
      <c r="A815" t="s">
        <v>832</v>
      </c>
      <c r="B815" t="str">
        <f t="shared" si="156"/>
        <v>Control</v>
      </c>
      <c r="C815">
        <f t="shared" ca="1" si="157"/>
        <v>24</v>
      </c>
      <c r="D815" t="str">
        <f t="shared" ca="1" si="158"/>
        <v>Male</v>
      </c>
      <c r="E815" t="str">
        <f t="shared" ca="1" si="159"/>
        <v>Ethnic Wear</v>
      </c>
      <c r="F815">
        <f t="shared" ca="1" si="160"/>
        <v>2594</v>
      </c>
      <c r="G815">
        <f t="shared" ca="1" si="161"/>
        <v>10</v>
      </c>
      <c r="H815">
        <f t="shared" ca="1" si="162"/>
        <v>2334.6</v>
      </c>
      <c r="I815">
        <f t="shared" ca="1" si="163"/>
        <v>0</v>
      </c>
      <c r="J815">
        <f t="shared" ca="1" si="164"/>
        <v>0</v>
      </c>
      <c r="K815">
        <f t="shared" ca="1" si="165"/>
        <v>0</v>
      </c>
      <c r="L815">
        <f t="shared" ca="1" si="166"/>
        <v>0</v>
      </c>
      <c r="M815">
        <f t="shared" ca="1" si="167"/>
        <v>2</v>
      </c>
      <c r="N815">
        <f t="shared" ca="1" si="168"/>
        <v>0</v>
      </c>
    </row>
    <row r="816" spans="1:14" x14ac:dyDescent="0.35">
      <c r="A816" t="s">
        <v>833</v>
      </c>
      <c r="B816" t="str">
        <f t="shared" si="156"/>
        <v>Control</v>
      </c>
      <c r="C816">
        <f t="shared" ca="1" si="157"/>
        <v>34</v>
      </c>
      <c r="D816" t="str">
        <f t="shared" ca="1" si="158"/>
        <v>Female</v>
      </c>
      <c r="E816" t="str">
        <f t="shared" ca="1" si="159"/>
        <v>Jeans</v>
      </c>
      <c r="F816">
        <f t="shared" ca="1" si="160"/>
        <v>6013</v>
      </c>
      <c r="G816">
        <f t="shared" ca="1" si="161"/>
        <v>10</v>
      </c>
      <c r="H816">
        <f t="shared" ca="1" si="162"/>
        <v>5411.7</v>
      </c>
      <c r="I816">
        <f t="shared" ca="1" si="163"/>
        <v>1</v>
      </c>
      <c r="J816">
        <f t="shared" ca="1" si="164"/>
        <v>1</v>
      </c>
      <c r="K816">
        <f t="shared" ca="1" si="165"/>
        <v>0</v>
      </c>
      <c r="L816">
        <f t="shared" ca="1" si="166"/>
        <v>0</v>
      </c>
      <c r="M816">
        <f t="shared" ca="1" si="167"/>
        <v>4</v>
      </c>
      <c r="N816">
        <f t="shared" ca="1" si="168"/>
        <v>0</v>
      </c>
    </row>
    <row r="817" spans="1:14" x14ac:dyDescent="0.35">
      <c r="A817" t="s">
        <v>834</v>
      </c>
      <c r="B817" t="str">
        <f t="shared" si="156"/>
        <v>Control</v>
      </c>
      <c r="C817">
        <f t="shared" ca="1" si="157"/>
        <v>26</v>
      </c>
      <c r="D817" t="str">
        <f t="shared" ca="1" si="158"/>
        <v>Male</v>
      </c>
      <c r="E817" t="str">
        <f t="shared" ca="1" si="159"/>
        <v>Jeans</v>
      </c>
      <c r="F817">
        <f t="shared" ca="1" si="160"/>
        <v>5844</v>
      </c>
      <c r="G817">
        <f t="shared" ca="1" si="161"/>
        <v>10</v>
      </c>
      <c r="H817">
        <f t="shared" ca="1" si="162"/>
        <v>5259.6</v>
      </c>
      <c r="I817">
        <f t="shared" ca="1" si="163"/>
        <v>1</v>
      </c>
      <c r="J817">
        <f t="shared" ca="1" si="164"/>
        <v>1</v>
      </c>
      <c r="K817">
        <f t="shared" ca="1" si="165"/>
        <v>1</v>
      </c>
      <c r="L817">
        <f t="shared" ca="1" si="166"/>
        <v>5259.6</v>
      </c>
      <c r="M817">
        <f t="shared" ca="1" si="167"/>
        <v>6</v>
      </c>
      <c r="N817">
        <f t="shared" ca="1" si="168"/>
        <v>0</v>
      </c>
    </row>
    <row r="818" spans="1:14" x14ac:dyDescent="0.35">
      <c r="A818" t="s">
        <v>835</v>
      </c>
      <c r="B818" t="str">
        <f t="shared" si="156"/>
        <v>Control</v>
      </c>
      <c r="C818">
        <f t="shared" ca="1" si="157"/>
        <v>34</v>
      </c>
      <c r="D818" t="str">
        <f t="shared" ca="1" si="158"/>
        <v>Female</v>
      </c>
      <c r="E818" t="str">
        <f t="shared" ca="1" si="159"/>
        <v>Ethnic Wear</v>
      </c>
      <c r="F818">
        <f t="shared" ca="1" si="160"/>
        <v>5036</v>
      </c>
      <c r="G818">
        <f t="shared" ca="1" si="161"/>
        <v>10</v>
      </c>
      <c r="H818">
        <f t="shared" ca="1" si="162"/>
        <v>4532.4000000000005</v>
      </c>
      <c r="I818">
        <f t="shared" ca="1" si="163"/>
        <v>1</v>
      </c>
      <c r="J818">
        <f t="shared" ca="1" si="164"/>
        <v>0</v>
      </c>
      <c r="K818">
        <f t="shared" ca="1" si="165"/>
        <v>0</v>
      </c>
      <c r="L818">
        <f t="shared" ca="1" si="166"/>
        <v>0</v>
      </c>
      <c r="M818">
        <f t="shared" ca="1" si="167"/>
        <v>1</v>
      </c>
      <c r="N818">
        <f t="shared" ca="1" si="168"/>
        <v>0</v>
      </c>
    </row>
    <row r="819" spans="1:14" x14ac:dyDescent="0.35">
      <c r="A819" t="s">
        <v>836</v>
      </c>
      <c r="B819" t="str">
        <f t="shared" si="156"/>
        <v>Control</v>
      </c>
      <c r="C819">
        <f t="shared" ca="1" si="157"/>
        <v>36</v>
      </c>
      <c r="D819" t="str">
        <f t="shared" ca="1" si="158"/>
        <v>Female</v>
      </c>
      <c r="E819" t="str">
        <f t="shared" ca="1" si="159"/>
        <v>Accessories</v>
      </c>
      <c r="F819">
        <f t="shared" ca="1" si="160"/>
        <v>1999</v>
      </c>
      <c r="G819">
        <f t="shared" ca="1" si="161"/>
        <v>10</v>
      </c>
      <c r="H819">
        <f t="shared" ca="1" si="162"/>
        <v>1799.1000000000001</v>
      </c>
      <c r="I819">
        <f t="shared" ca="1" si="163"/>
        <v>1</v>
      </c>
      <c r="J819">
        <f t="shared" ca="1" si="164"/>
        <v>1</v>
      </c>
      <c r="K819">
        <f t="shared" ca="1" si="165"/>
        <v>0</v>
      </c>
      <c r="L819">
        <f t="shared" ca="1" si="166"/>
        <v>0</v>
      </c>
      <c r="M819">
        <f t="shared" ca="1" si="167"/>
        <v>3</v>
      </c>
      <c r="N819">
        <f t="shared" ca="1" si="168"/>
        <v>0</v>
      </c>
    </row>
    <row r="820" spans="1:14" x14ac:dyDescent="0.35">
      <c r="A820" t="s">
        <v>837</v>
      </c>
      <c r="B820" t="str">
        <f t="shared" si="156"/>
        <v>Control</v>
      </c>
      <c r="C820">
        <f t="shared" ca="1" si="157"/>
        <v>27</v>
      </c>
      <c r="D820" t="str">
        <f t="shared" ca="1" si="158"/>
        <v>Female</v>
      </c>
      <c r="E820" t="str">
        <f t="shared" ca="1" si="159"/>
        <v>T-shirts</v>
      </c>
      <c r="F820">
        <f t="shared" ca="1" si="160"/>
        <v>5626</v>
      </c>
      <c r="G820">
        <f t="shared" ca="1" si="161"/>
        <v>10</v>
      </c>
      <c r="H820">
        <f t="shared" ca="1" si="162"/>
        <v>5063.4000000000005</v>
      </c>
      <c r="I820">
        <f t="shared" ca="1" si="163"/>
        <v>1</v>
      </c>
      <c r="J820">
        <f t="shared" ca="1" si="164"/>
        <v>0</v>
      </c>
      <c r="K820">
        <f t="shared" ca="1" si="165"/>
        <v>0</v>
      </c>
      <c r="L820">
        <f t="shared" ca="1" si="166"/>
        <v>0</v>
      </c>
      <c r="M820">
        <f t="shared" ca="1" si="167"/>
        <v>2</v>
      </c>
      <c r="N820">
        <f t="shared" ca="1" si="168"/>
        <v>0</v>
      </c>
    </row>
    <row r="821" spans="1:14" x14ac:dyDescent="0.35">
      <c r="A821" t="s">
        <v>838</v>
      </c>
      <c r="B821" t="str">
        <f t="shared" si="156"/>
        <v>Control</v>
      </c>
      <c r="C821">
        <f t="shared" ca="1" si="157"/>
        <v>39</v>
      </c>
      <c r="D821" t="str">
        <f t="shared" ca="1" si="158"/>
        <v>Female</v>
      </c>
      <c r="E821" t="str">
        <f t="shared" ca="1" si="159"/>
        <v>Accessories</v>
      </c>
      <c r="F821">
        <f t="shared" ca="1" si="160"/>
        <v>3493</v>
      </c>
      <c r="G821">
        <f t="shared" ca="1" si="161"/>
        <v>10</v>
      </c>
      <c r="H821">
        <f t="shared" ca="1" si="162"/>
        <v>3143.7000000000003</v>
      </c>
      <c r="I821">
        <f t="shared" ca="1" si="163"/>
        <v>1</v>
      </c>
      <c r="J821">
        <f t="shared" ca="1" si="164"/>
        <v>0</v>
      </c>
      <c r="K821">
        <f t="shared" ca="1" si="165"/>
        <v>0</v>
      </c>
      <c r="L821">
        <f t="shared" ca="1" si="166"/>
        <v>0</v>
      </c>
      <c r="M821">
        <f t="shared" ca="1" si="167"/>
        <v>3</v>
      </c>
      <c r="N821">
        <f t="shared" ca="1" si="168"/>
        <v>0</v>
      </c>
    </row>
    <row r="822" spans="1:14" x14ac:dyDescent="0.35">
      <c r="A822" t="s">
        <v>839</v>
      </c>
      <c r="B822" t="str">
        <f t="shared" si="156"/>
        <v>Control</v>
      </c>
      <c r="C822">
        <f t="shared" ca="1" si="157"/>
        <v>25</v>
      </c>
      <c r="D822" t="str">
        <f t="shared" ca="1" si="158"/>
        <v>Male</v>
      </c>
      <c r="E822" t="str">
        <f t="shared" ca="1" si="159"/>
        <v>T-shirts</v>
      </c>
      <c r="F822">
        <f t="shared" ca="1" si="160"/>
        <v>3205</v>
      </c>
      <c r="G822">
        <f t="shared" ca="1" si="161"/>
        <v>10</v>
      </c>
      <c r="H822">
        <f t="shared" ca="1" si="162"/>
        <v>2884.5</v>
      </c>
      <c r="I822">
        <f t="shared" ca="1" si="163"/>
        <v>1</v>
      </c>
      <c r="J822">
        <f t="shared" ca="1" si="164"/>
        <v>0</v>
      </c>
      <c r="K822">
        <f t="shared" ca="1" si="165"/>
        <v>0</v>
      </c>
      <c r="L822">
        <f t="shared" ca="1" si="166"/>
        <v>0</v>
      </c>
      <c r="M822">
        <f t="shared" ca="1" si="167"/>
        <v>3</v>
      </c>
      <c r="N822">
        <f t="shared" ca="1" si="168"/>
        <v>0</v>
      </c>
    </row>
    <row r="823" spans="1:14" x14ac:dyDescent="0.35">
      <c r="A823" t="s">
        <v>840</v>
      </c>
      <c r="B823" t="str">
        <f t="shared" si="156"/>
        <v>Control</v>
      </c>
      <c r="C823">
        <f t="shared" ca="1" si="157"/>
        <v>22</v>
      </c>
      <c r="D823" t="str">
        <f t="shared" ca="1" si="158"/>
        <v>Male</v>
      </c>
      <c r="E823" t="str">
        <f t="shared" ca="1" si="159"/>
        <v>Sportswear</v>
      </c>
      <c r="F823">
        <f t="shared" ca="1" si="160"/>
        <v>3882</v>
      </c>
      <c r="G823">
        <f t="shared" ca="1" si="161"/>
        <v>10</v>
      </c>
      <c r="H823">
        <f t="shared" ca="1" si="162"/>
        <v>3493.8</v>
      </c>
      <c r="I823">
        <f t="shared" ca="1" si="163"/>
        <v>1</v>
      </c>
      <c r="J823">
        <f t="shared" ca="1" si="164"/>
        <v>1</v>
      </c>
      <c r="K823">
        <f t="shared" ca="1" si="165"/>
        <v>1</v>
      </c>
      <c r="L823">
        <f t="shared" ca="1" si="166"/>
        <v>3493.8</v>
      </c>
      <c r="M823">
        <f t="shared" ca="1" si="167"/>
        <v>3</v>
      </c>
      <c r="N823">
        <f t="shared" ca="1" si="168"/>
        <v>0</v>
      </c>
    </row>
    <row r="824" spans="1:14" x14ac:dyDescent="0.35">
      <c r="A824" t="s">
        <v>841</v>
      </c>
      <c r="B824" t="str">
        <f t="shared" si="156"/>
        <v>Control</v>
      </c>
      <c r="C824">
        <f t="shared" ca="1" si="157"/>
        <v>39</v>
      </c>
      <c r="D824" t="str">
        <f t="shared" ca="1" si="158"/>
        <v>Male</v>
      </c>
      <c r="E824" t="str">
        <f t="shared" ca="1" si="159"/>
        <v>Sportswear</v>
      </c>
      <c r="F824">
        <f t="shared" ca="1" si="160"/>
        <v>7989</v>
      </c>
      <c r="G824">
        <f t="shared" ca="1" si="161"/>
        <v>10</v>
      </c>
      <c r="H824">
        <f t="shared" ca="1" si="162"/>
        <v>7190.1</v>
      </c>
      <c r="I824">
        <f t="shared" ca="1" si="163"/>
        <v>1</v>
      </c>
      <c r="J824">
        <f t="shared" ca="1" si="164"/>
        <v>1</v>
      </c>
      <c r="K824">
        <f t="shared" ca="1" si="165"/>
        <v>0</v>
      </c>
      <c r="L824">
        <f t="shared" ca="1" si="166"/>
        <v>0</v>
      </c>
      <c r="M824">
        <f t="shared" ca="1" si="167"/>
        <v>2</v>
      </c>
      <c r="N824">
        <f t="shared" ca="1" si="168"/>
        <v>0</v>
      </c>
    </row>
    <row r="825" spans="1:14" x14ac:dyDescent="0.35">
      <c r="A825" t="s">
        <v>842</v>
      </c>
      <c r="B825" t="str">
        <f t="shared" si="156"/>
        <v>Control</v>
      </c>
      <c r="C825">
        <f t="shared" ca="1" si="157"/>
        <v>29</v>
      </c>
      <c r="D825" t="str">
        <f t="shared" ca="1" si="158"/>
        <v>Female</v>
      </c>
      <c r="E825" t="str">
        <f t="shared" ca="1" si="159"/>
        <v>Sportswear</v>
      </c>
      <c r="F825">
        <f t="shared" ca="1" si="160"/>
        <v>4080</v>
      </c>
      <c r="G825">
        <f t="shared" ca="1" si="161"/>
        <v>10</v>
      </c>
      <c r="H825">
        <f t="shared" ca="1" si="162"/>
        <v>3672</v>
      </c>
      <c r="I825">
        <f t="shared" ca="1" si="163"/>
        <v>1</v>
      </c>
      <c r="J825">
        <f t="shared" ca="1" si="164"/>
        <v>1</v>
      </c>
      <c r="K825">
        <f t="shared" ca="1" si="165"/>
        <v>0</v>
      </c>
      <c r="L825">
        <f t="shared" ca="1" si="166"/>
        <v>0</v>
      </c>
      <c r="M825">
        <f t="shared" ca="1" si="167"/>
        <v>3</v>
      </c>
      <c r="N825">
        <f t="shared" ca="1" si="168"/>
        <v>0</v>
      </c>
    </row>
    <row r="826" spans="1:14" x14ac:dyDescent="0.35">
      <c r="A826" t="s">
        <v>843</v>
      </c>
      <c r="B826" t="str">
        <f t="shared" si="156"/>
        <v>Control</v>
      </c>
      <c r="C826">
        <f t="shared" ca="1" si="157"/>
        <v>36</v>
      </c>
      <c r="D826" t="str">
        <f t="shared" ca="1" si="158"/>
        <v>Male</v>
      </c>
      <c r="E826" t="str">
        <f t="shared" ca="1" si="159"/>
        <v>Jeans</v>
      </c>
      <c r="F826">
        <f t="shared" ca="1" si="160"/>
        <v>1866</v>
      </c>
      <c r="G826">
        <f t="shared" ca="1" si="161"/>
        <v>10</v>
      </c>
      <c r="H826">
        <f t="shared" ca="1" si="162"/>
        <v>1679.4</v>
      </c>
      <c r="I826">
        <f t="shared" ca="1" si="163"/>
        <v>1</v>
      </c>
      <c r="J826">
        <f t="shared" ca="1" si="164"/>
        <v>0</v>
      </c>
      <c r="K826">
        <f t="shared" ca="1" si="165"/>
        <v>0</v>
      </c>
      <c r="L826">
        <f t="shared" ca="1" si="166"/>
        <v>0</v>
      </c>
      <c r="M826">
        <f t="shared" ca="1" si="167"/>
        <v>4</v>
      </c>
      <c r="N826">
        <f t="shared" ca="1" si="168"/>
        <v>0</v>
      </c>
    </row>
    <row r="827" spans="1:14" x14ac:dyDescent="0.35">
      <c r="A827" t="s">
        <v>844</v>
      </c>
      <c r="B827" t="str">
        <f t="shared" si="156"/>
        <v>Control</v>
      </c>
      <c r="C827">
        <f t="shared" ca="1" si="157"/>
        <v>32</v>
      </c>
      <c r="D827" t="str">
        <f t="shared" ca="1" si="158"/>
        <v>Female</v>
      </c>
      <c r="E827" t="str">
        <f t="shared" ca="1" si="159"/>
        <v>Dresses</v>
      </c>
      <c r="F827">
        <f t="shared" ca="1" si="160"/>
        <v>4241</v>
      </c>
      <c r="G827">
        <f t="shared" ca="1" si="161"/>
        <v>10</v>
      </c>
      <c r="H827">
        <f t="shared" ca="1" si="162"/>
        <v>3816.9</v>
      </c>
      <c r="I827">
        <f t="shared" ca="1" si="163"/>
        <v>1</v>
      </c>
      <c r="J827">
        <f t="shared" ca="1" si="164"/>
        <v>1</v>
      </c>
      <c r="K827">
        <f t="shared" ca="1" si="165"/>
        <v>0</v>
      </c>
      <c r="L827">
        <f t="shared" ca="1" si="166"/>
        <v>0</v>
      </c>
      <c r="M827">
        <f t="shared" ca="1" si="167"/>
        <v>7</v>
      </c>
      <c r="N827">
        <f t="shared" ca="1" si="168"/>
        <v>0</v>
      </c>
    </row>
    <row r="828" spans="1:14" x14ac:dyDescent="0.35">
      <c r="A828" t="s">
        <v>845</v>
      </c>
      <c r="B828" t="str">
        <f t="shared" si="156"/>
        <v>Control</v>
      </c>
      <c r="C828">
        <f t="shared" ca="1" si="157"/>
        <v>42</v>
      </c>
      <c r="D828" t="str">
        <f t="shared" ca="1" si="158"/>
        <v>Female</v>
      </c>
      <c r="E828" t="str">
        <f t="shared" ca="1" si="159"/>
        <v>Shoes</v>
      </c>
      <c r="F828">
        <f t="shared" ca="1" si="160"/>
        <v>6115</v>
      </c>
      <c r="G828">
        <f t="shared" ca="1" si="161"/>
        <v>10</v>
      </c>
      <c r="H828">
        <f t="shared" ca="1" si="162"/>
        <v>5503.5</v>
      </c>
      <c r="I828">
        <f t="shared" ca="1" si="163"/>
        <v>0</v>
      </c>
      <c r="J828">
        <f t="shared" ca="1" si="164"/>
        <v>0</v>
      </c>
      <c r="K828">
        <f t="shared" ca="1" si="165"/>
        <v>0</v>
      </c>
      <c r="L828">
        <f t="shared" ca="1" si="166"/>
        <v>0</v>
      </c>
      <c r="M828">
        <f t="shared" ca="1" si="167"/>
        <v>2</v>
      </c>
      <c r="N828">
        <f t="shared" ca="1" si="168"/>
        <v>0</v>
      </c>
    </row>
    <row r="829" spans="1:14" x14ac:dyDescent="0.35">
      <c r="A829" t="s">
        <v>846</v>
      </c>
      <c r="B829" t="str">
        <f t="shared" si="156"/>
        <v>Control</v>
      </c>
      <c r="C829">
        <f t="shared" ca="1" si="157"/>
        <v>31</v>
      </c>
      <c r="D829" t="str">
        <f t="shared" ca="1" si="158"/>
        <v>Male</v>
      </c>
      <c r="E829" t="str">
        <f t="shared" ca="1" si="159"/>
        <v>Accessories</v>
      </c>
      <c r="F829">
        <f t="shared" ca="1" si="160"/>
        <v>2397</v>
      </c>
      <c r="G829">
        <f t="shared" ca="1" si="161"/>
        <v>10</v>
      </c>
      <c r="H829">
        <f t="shared" ca="1" si="162"/>
        <v>2157.3000000000002</v>
      </c>
      <c r="I829">
        <f t="shared" ca="1" si="163"/>
        <v>0</v>
      </c>
      <c r="J829">
        <f t="shared" ca="1" si="164"/>
        <v>0</v>
      </c>
      <c r="K829">
        <f t="shared" ca="1" si="165"/>
        <v>0</v>
      </c>
      <c r="L829">
        <f t="shared" ca="1" si="166"/>
        <v>0</v>
      </c>
      <c r="M829">
        <f t="shared" ca="1" si="167"/>
        <v>4</v>
      </c>
      <c r="N829">
        <f t="shared" ca="1" si="168"/>
        <v>0</v>
      </c>
    </row>
    <row r="830" spans="1:14" x14ac:dyDescent="0.35">
      <c r="A830" t="s">
        <v>847</v>
      </c>
      <c r="B830" t="str">
        <f t="shared" si="156"/>
        <v>Control</v>
      </c>
      <c r="C830">
        <f t="shared" ca="1" si="157"/>
        <v>39</v>
      </c>
      <c r="D830" t="str">
        <f t="shared" ca="1" si="158"/>
        <v>Female</v>
      </c>
      <c r="E830" t="str">
        <f t="shared" ca="1" si="159"/>
        <v>Tops</v>
      </c>
      <c r="F830">
        <f t="shared" ca="1" si="160"/>
        <v>3798</v>
      </c>
      <c r="G830">
        <f t="shared" ca="1" si="161"/>
        <v>10</v>
      </c>
      <c r="H830">
        <f t="shared" ca="1" si="162"/>
        <v>3418.2000000000003</v>
      </c>
      <c r="I830">
        <f t="shared" ca="1" si="163"/>
        <v>1</v>
      </c>
      <c r="J830">
        <f t="shared" ca="1" si="164"/>
        <v>1</v>
      </c>
      <c r="K830">
        <f t="shared" ca="1" si="165"/>
        <v>1</v>
      </c>
      <c r="L830">
        <f t="shared" ca="1" si="166"/>
        <v>3418.2000000000003</v>
      </c>
      <c r="M830">
        <f t="shared" ca="1" si="167"/>
        <v>7</v>
      </c>
      <c r="N830">
        <f t="shared" ca="1" si="168"/>
        <v>0</v>
      </c>
    </row>
    <row r="831" spans="1:14" x14ac:dyDescent="0.35">
      <c r="A831" t="s">
        <v>848</v>
      </c>
      <c r="B831" t="str">
        <f t="shared" si="156"/>
        <v>Control</v>
      </c>
      <c r="C831">
        <f t="shared" ca="1" si="157"/>
        <v>22</v>
      </c>
      <c r="D831" t="str">
        <f t="shared" ca="1" si="158"/>
        <v>Male</v>
      </c>
      <c r="E831" t="str">
        <f t="shared" ca="1" si="159"/>
        <v>Jeans</v>
      </c>
      <c r="F831">
        <f t="shared" ca="1" si="160"/>
        <v>7954</v>
      </c>
      <c r="G831">
        <f t="shared" ca="1" si="161"/>
        <v>10</v>
      </c>
      <c r="H831">
        <f t="shared" ca="1" si="162"/>
        <v>7158.6</v>
      </c>
      <c r="I831">
        <f t="shared" ca="1" si="163"/>
        <v>1</v>
      </c>
      <c r="J831">
        <f t="shared" ca="1" si="164"/>
        <v>0</v>
      </c>
      <c r="K831">
        <f t="shared" ca="1" si="165"/>
        <v>0</v>
      </c>
      <c r="L831">
        <f t="shared" ca="1" si="166"/>
        <v>0</v>
      </c>
      <c r="M831">
        <f t="shared" ca="1" si="167"/>
        <v>1</v>
      </c>
      <c r="N831">
        <f t="shared" ca="1" si="168"/>
        <v>0</v>
      </c>
    </row>
    <row r="832" spans="1:14" x14ac:dyDescent="0.35">
      <c r="A832" t="s">
        <v>849</v>
      </c>
      <c r="B832" t="str">
        <f t="shared" si="156"/>
        <v>Control</v>
      </c>
      <c r="C832">
        <f t="shared" ca="1" si="157"/>
        <v>27</v>
      </c>
      <c r="D832" t="str">
        <f t="shared" ca="1" si="158"/>
        <v>Female</v>
      </c>
      <c r="E832" t="str">
        <f t="shared" ca="1" si="159"/>
        <v>Dresses</v>
      </c>
      <c r="F832">
        <f t="shared" ca="1" si="160"/>
        <v>5752</v>
      </c>
      <c r="G832">
        <f t="shared" ca="1" si="161"/>
        <v>10</v>
      </c>
      <c r="H832">
        <f t="shared" ca="1" si="162"/>
        <v>5176.8</v>
      </c>
      <c r="I832">
        <f t="shared" ca="1" si="163"/>
        <v>1</v>
      </c>
      <c r="J832">
        <f t="shared" ca="1" si="164"/>
        <v>0</v>
      </c>
      <c r="K832">
        <f t="shared" ca="1" si="165"/>
        <v>0</v>
      </c>
      <c r="L832">
        <f t="shared" ca="1" si="166"/>
        <v>0</v>
      </c>
      <c r="M832">
        <f t="shared" ca="1" si="167"/>
        <v>7</v>
      </c>
      <c r="N832">
        <f t="shared" ca="1" si="168"/>
        <v>0</v>
      </c>
    </row>
    <row r="833" spans="1:14" x14ac:dyDescent="0.35">
      <c r="A833" t="s">
        <v>850</v>
      </c>
      <c r="B833" t="str">
        <f t="shared" si="156"/>
        <v>Control</v>
      </c>
      <c r="C833">
        <f t="shared" ca="1" si="157"/>
        <v>32</v>
      </c>
      <c r="D833" t="str">
        <f t="shared" ca="1" si="158"/>
        <v>Male</v>
      </c>
      <c r="E833" t="str">
        <f t="shared" ca="1" si="159"/>
        <v>Dresses</v>
      </c>
      <c r="F833">
        <f t="shared" ca="1" si="160"/>
        <v>6355</v>
      </c>
      <c r="G833">
        <f t="shared" ca="1" si="161"/>
        <v>10</v>
      </c>
      <c r="H833">
        <f t="shared" ca="1" si="162"/>
        <v>5719.5</v>
      </c>
      <c r="I833">
        <f t="shared" ca="1" si="163"/>
        <v>1</v>
      </c>
      <c r="J833">
        <f t="shared" ca="1" si="164"/>
        <v>1</v>
      </c>
      <c r="K833">
        <f t="shared" ca="1" si="165"/>
        <v>0</v>
      </c>
      <c r="L833">
        <f t="shared" ca="1" si="166"/>
        <v>0</v>
      </c>
      <c r="M833">
        <f t="shared" ca="1" si="167"/>
        <v>7</v>
      </c>
      <c r="N833">
        <f t="shared" ca="1" si="168"/>
        <v>0</v>
      </c>
    </row>
    <row r="834" spans="1:14" x14ac:dyDescent="0.35">
      <c r="A834" t="s">
        <v>851</v>
      </c>
      <c r="B834" t="str">
        <f t="shared" si="156"/>
        <v>Control</v>
      </c>
      <c r="C834">
        <f t="shared" ca="1" si="157"/>
        <v>20</v>
      </c>
      <c r="D834" t="str">
        <f t="shared" ca="1" si="158"/>
        <v>Male</v>
      </c>
      <c r="E834" t="str">
        <f t="shared" ca="1" si="159"/>
        <v>Tops</v>
      </c>
      <c r="F834">
        <f t="shared" ca="1" si="160"/>
        <v>7970</v>
      </c>
      <c r="G834">
        <f t="shared" ca="1" si="161"/>
        <v>10</v>
      </c>
      <c r="H834">
        <f t="shared" ca="1" si="162"/>
        <v>7173</v>
      </c>
      <c r="I834">
        <f t="shared" ca="1" si="163"/>
        <v>1</v>
      </c>
      <c r="J834">
        <f t="shared" ca="1" si="164"/>
        <v>1</v>
      </c>
      <c r="K834">
        <f t="shared" ca="1" si="165"/>
        <v>0</v>
      </c>
      <c r="L834">
        <f t="shared" ca="1" si="166"/>
        <v>0</v>
      </c>
      <c r="M834">
        <f t="shared" ca="1" si="167"/>
        <v>4</v>
      </c>
      <c r="N834">
        <f t="shared" ca="1" si="168"/>
        <v>0</v>
      </c>
    </row>
    <row r="835" spans="1:14" x14ac:dyDescent="0.35">
      <c r="A835" t="s">
        <v>852</v>
      </c>
      <c r="B835" t="str">
        <f t="shared" si="156"/>
        <v>Control</v>
      </c>
      <c r="C835">
        <f t="shared" ca="1" si="157"/>
        <v>32</v>
      </c>
      <c r="D835" t="str">
        <f t="shared" ca="1" si="158"/>
        <v>Other</v>
      </c>
      <c r="E835" t="str">
        <f t="shared" ca="1" si="159"/>
        <v>Sportswear</v>
      </c>
      <c r="F835">
        <f t="shared" ca="1" si="160"/>
        <v>4198</v>
      </c>
      <c r="G835">
        <f t="shared" ca="1" si="161"/>
        <v>10</v>
      </c>
      <c r="H835">
        <f t="shared" ca="1" si="162"/>
        <v>3778.2000000000003</v>
      </c>
      <c r="I835">
        <f t="shared" ca="1" si="163"/>
        <v>1</v>
      </c>
      <c r="J835">
        <f t="shared" ca="1" si="164"/>
        <v>1</v>
      </c>
      <c r="K835">
        <f t="shared" ca="1" si="165"/>
        <v>1</v>
      </c>
      <c r="L835">
        <f t="shared" ca="1" si="166"/>
        <v>3778.2000000000003</v>
      </c>
      <c r="M835">
        <f t="shared" ca="1" si="167"/>
        <v>7</v>
      </c>
      <c r="N835">
        <f t="shared" ca="1" si="168"/>
        <v>0</v>
      </c>
    </row>
    <row r="836" spans="1:14" x14ac:dyDescent="0.35">
      <c r="A836" t="s">
        <v>853</v>
      </c>
      <c r="B836" t="str">
        <f t="shared" si="156"/>
        <v>Control</v>
      </c>
      <c r="C836">
        <f t="shared" ca="1" si="157"/>
        <v>23</v>
      </c>
      <c r="D836" t="str">
        <f t="shared" ca="1" si="158"/>
        <v>Female</v>
      </c>
      <c r="E836" t="str">
        <f t="shared" ca="1" si="159"/>
        <v>T-shirts</v>
      </c>
      <c r="F836">
        <f t="shared" ca="1" si="160"/>
        <v>2111</v>
      </c>
      <c r="G836">
        <f t="shared" ca="1" si="161"/>
        <v>10</v>
      </c>
      <c r="H836">
        <f t="shared" ca="1" si="162"/>
        <v>1899.9</v>
      </c>
      <c r="I836">
        <f t="shared" ca="1" si="163"/>
        <v>0</v>
      </c>
      <c r="J836">
        <f t="shared" ca="1" si="164"/>
        <v>0</v>
      </c>
      <c r="K836">
        <f t="shared" ca="1" si="165"/>
        <v>0</v>
      </c>
      <c r="L836">
        <f t="shared" ca="1" si="166"/>
        <v>0</v>
      </c>
      <c r="M836">
        <f t="shared" ca="1" si="167"/>
        <v>1</v>
      </c>
      <c r="N836">
        <f t="shared" ca="1" si="168"/>
        <v>0</v>
      </c>
    </row>
    <row r="837" spans="1:14" x14ac:dyDescent="0.35">
      <c r="A837" t="s">
        <v>854</v>
      </c>
      <c r="B837" t="str">
        <f t="shared" ref="B837:B900" si="169">IF(ROW()&lt;=1001,"Control","Test")</f>
        <v>Control</v>
      </c>
      <c r="C837">
        <f t="shared" ref="C837:C900" ca="1" si="170">RANDBETWEEN(18,45)</f>
        <v>22</v>
      </c>
      <c r="D837" t="str">
        <f t="shared" ref="D837:D900" ca="1" si="171">CHOOSE(RANDBETWEEN(1,20),"Female","Female","Female","Female","Female","Female","Female","Female","Female","Female","Male","Male","Male","Male","Male","Male","Male","Male","Other","Other")</f>
        <v>Female</v>
      </c>
      <c r="E837" t="str">
        <f t="shared" ref="E837:E900" ca="1" si="172">CHOOSE(RANDBETWEEN(1,8),"T-shirts","Dresses","Jeans","Shoes","Ethnic Wear","Tops","Sportswear","Accessories")</f>
        <v>Sportswear</v>
      </c>
      <c r="F837">
        <f t="shared" ref="F837:F900" ca="1" si="173">RANDBETWEEN(300,8000)</f>
        <v>2144</v>
      </c>
      <c r="G837">
        <f t="shared" ref="G837:G900" ca="1" si="174">IF(B837="Control",10,CHOOSE(RANDBETWEEN(1,3),15,20,25))</f>
        <v>10</v>
      </c>
      <c r="H837">
        <f t="shared" ref="H837:H900" ca="1" si="175">F837*(1-G837/100)</f>
        <v>1929.6000000000001</v>
      </c>
      <c r="I837">
        <f t="shared" ref="I837:I900" ca="1" si="176">IF(RAND()&lt;0.85,1,0)</f>
        <v>1</v>
      </c>
      <c r="J837">
        <f t="shared" ref="J837:J900" ca="1" si="177">IF(I837=1,IF(RAND()&lt;0.55,1,0),0)</f>
        <v>1</v>
      </c>
      <c r="K837">
        <f t="shared" ref="K837:K900" ca="1" si="178">IF(J837=1,IF(B837="Test",IF(RAND()&lt;0.4,1,0),IF(RAND()&lt;0.34,1,0)),0)</f>
        <v>0</v>
      </c>
      <c r="L837">
        <f t="shared" ref="L837:L900" ca="1" si="179">IF(K837=1,H837,0)</f>
        <v>0</v>
      </c>
      <c r="M837">
        <f t="shared" ref="M837:M900" ca="1" si="180">RANDBETWEEN(1,7)</f>
        <v>4</v>
      </c>
      <c r="N837">
        <f t="shared" ref="N837:N900" ca="1" si="181">IF(K837=1,IF(RAND()&lt;0.15,1,0),0)</f>
        <v>0</v>
      </c>
    </row>
    <row r="838" spans="1:14" x14ac:dyDescent="0.35">
      <c r="A838" t="s">
        <v>855</v>
      </c>
      <c r="B838" t="str">
        <f t="shared" si="169"/>
        <v>Control</v>
      </c>
      <c r="C838">
        <f t="shared" ca="1" si="170"/>
        <v>32</v>
      </c>
      <c r="D838" t="str">
        <f t="shared" ca="1" si="171"/>
        <v>Female</v>
      </c>
      <c r="E838" t="str">
        <f t="shared" ca="1" si="172"/>
        <v>Accessories</v>
      </c>
      <c r="F838">
        <f t="shared" ca="1" si="173"/>
        <v>7214</v>
      </c>
      <c r="G838">
        <f t="shared" ca="1" si="174"/>
        <v>10</v>
      </c>
      <c r="H838">
        <f t="shared" ca="1" si="175"/>
        <v>6492.6</v>
      </c>
      <c r="I838">
        <f t="shared" ca="1" si="176"/>
        <v>1</v>
      </c>
      <c r="J838">
        <f t="shared" ca="1" si="177"/>
        <v>0</v>
      </c>
      <c r="K838">
        <f t="shared" ca="1" si="178"/>
        <v>0</v>
      </c>
      <c r="L838">
        <f t="shared" ca="1" si="179"/>
        <v>0</v>
      </c>
      <c r="M838">
        <f t="shared" ca="1" si="180"/>
        <v>4</v>
      </c>
      <c r="N838">
        <f t="shared" ca="1" si="181"/>
        <v>0</v>
      </c>
    </row>
    <row r="839" spans="1:14" x14ac:dyDescent="0.35">
      <c r="A839" t="s">
        <v>856</v>
      </c>
      <c r="B839" t="str">
        <f t="shared" si="169"/>
        <v>Control</v>
      </c>
      <c r="C839">
        <f t="shared" ca="1" si="170"/>
        <v>20</v>
      </c>
      <c r="D839" t="str">
        <f t="shared" ca="1" si="171"/>
        <v>Male</v>
      </c>
      <c r="E839" t="str">
        <f t="shared" ca="1" si="172"/>
        <v>Ethnic Wear</v>
      </c>
      <c r="F839">
        <f t="shared" ca="1" si="173"/>
        <v>6832</v>
      </c>
      <c r="G839">
        <f t="shared" ca="1" si="174"/>
        <v>10</v>
      </c>
      <c r="H839">
        <f t="shared" ca="1" si="175"/>
        <v>6148.8</v>
      </c>
      <c r="I839">
        <f t="shared" ca="1" si="176"/>
        <v>1</v>
      </c>
      <c r="J839">
        <f t="shared" ca="1" si="177"/>
        <v>0</v>
      </c>
      <c r="K839">
        <f t="shared" ca="1" si="178"/>
        <v>0</v>
      </c>
      <c r="L839">
        <f t="shared" ca="1" si="179"/>
        <v>0</v>
      </c>
      <c r="M839">
        <f t="shared" ca="1" si="180"/>
        <v>1</v>
      </c>
      <c r="N839">
        <f t="shared" ca="1" si="181"/>
        <v>0</v>
      </c>
    </row>
    <row r="840" spans="1:14" x14ac:dyDescent="0.35">
      <c r="A840" t="s">
        <v>857</v>
      </c>
      <c r="B840" t="str">
        <f t="shared" si="169"/>
        <v>Control</v>
      </c>
      <c r="C840">
        <f t="shared" ca="1" si="170"/>
        <v>42</v>
      </c>
      <c r="D840" t="str">
        <f t="shared" ca="1" si="171"/>
        <v>Male</v>
      </c>
      <c r="E840" t="str">
        <f t="shared" ca="1" si="172"/>
        <v>Shoes</v>
      </c>
      <c r="F840">
        <f t="shared" ca="1" si="173"/>
        <v>6853</v>
      </c>
      <c r="G840">
        <f t="shared" ca="1" si="174"/>
        <v>10</v>
      </c>
      <c r="H840">
        <f t="shared" ca="1" si="175"/>
        <v>6167.7</v>
      </c>
      <c r="I840">
        <f t="shared" ca="1" si="176"/>
        <v>1</v>
      </c>
      <c r="J840">
        <f t="shared" ca="1" si="177"/>
        <v>1</v>
      </c>
      <c r="K840">
        <f t="shared" ca="1" si="178"/>
        <v>0</v>
      </c>
      <c r="L840">
        <f t="shared" ca="1" si="179"/>
        <v>0</v>
      </c>
      <c r="M840">
        <f t="shared" ca="1" si="180"/>
        <v>7</v>
      </c>
      <c r="N840">
        <f t="shared" ca="1" si="181"/>
        <v>0</v>
      </c>
    </row>
    <row r="841" spans="1:14" x14ac:dyDescent="0.35">
      <c r="A841" t="s">
        <v>858</v>
      </c>
      <c r="B841" t="str">
        <f t="shared" si="169"/>
        <v>Control</v>
      </c>
      <c r="C841">
        <f t="shared" ca="1" si="170"/>
        <v>31</v>
      </c>
      <c r="D841" t="str">
        <f t="shared" ca="1" si="171"/>
        <v>Female</v>
      </c>
      <c r="E841" t="str">
        <f t="shared" ca="1" si="172"/>
        <v>Tops</v>
      </c>
      <c r="F841">
        <f t="shared" ca="1" si="173"/>
        <v>3879</v>
      </c>
      <c r="G841">
        <f t="shared" ca="1" si="174"/>
        <v>10</v>
      </c>
      <c r="H841">
        <f t="shared" ca="1" si="175"/>
        <v>3491.1</v>
      </c>
      <c r="I841">
        <f t="shared" ca="1" si="176"/>
        <v>1</v>
      </c>
      <c r="J841">
        <f t="shared" ca="1" si="177"/>
        <v>0</v>
      </c>
      <c r="K841">
        <f t="shared" ca="1" si="178"/>
        <v>0</v>
      </c>
      <c r="L841">
        <f t="shared" ca="1" si="179"/>
        <v>0</v>
      </c>
      <c r="M841">
        <f t="shared" ca="1" si="180"/>
        <v>1</v>
      </c>
      <c r="N841">
        <f t="shared" ca="1" si="181"/>
        <v>0</v>
      </c>
    </row>
    <row r="842" spans="1:14" x14ac:dyDescent="0.35">
      <c r="A842" t="s">
        <v>859</v>
      </c>
      <c r="B842" t="str">
        <f t="shared" si="169"/>
        <v>Control</v>
      </c>
      <c r="C842">
        <f t="shared" ca="1" si="170"/>
        <v>30</v>
      </c>
      <c r="D842" t="str">
        <f t="shared" ca="1" si="171"/>
        <v>Female</v>
      </c>
      <c r="E842" t="str">
        <f t="shared" ca="1" si="172"/>
        <v>Ethnic Wear</v>
      </c>
      <c r="F842">
        <f t="shared" ca="1" si="173"/>
        <v>4454</v>
      </c>
      <c r="G842">
        <f t="shared" ca="1" si="174"/>
        <v>10</v>
      </c>
      <c r="H842">
        <f t="shared" ca="1" si="175"/>
        <v>4008.6</v>
      </c>
      <c r="I842">
        <f t="shared" ca="1" si="176"/>
        <v>1</v>
      </c>
      <c r="J842">
        <f t="shared" ca="1" si="177"/>
        <v>0</v>
      </c>
      <c r="K842">
        <f t="shared" ca="1" si="178"/>
        <v>0</v>
      </c>
      <c r="L842">
        <f t="shared" ca="1" si="179"/>
        <v>0</v>
      </c>
      <c r="M842">
        <f t="shared" ca="1" si="180"/>
        <v>1</v>
      </c>
      <c r="N842">
        <f t="shared" ca="1" si="181"/>
        <v>0</v>
      </c>
    </row>
    <row r="843" spans="1:14" x14ac:dyDescent="0.35">
      <c r="A843" t="s">
        <v>860</v>
      </c>
      <c r="B843" t="str">
        <f t="shared" si="169"/>
        <v>Control</v>
      </c>
      <c r="C843">
        <f t="shared" ca="1" si="170"/>
        <v>40</v>
      </c>
      <c r="D843" t="str">
        <f t="shared" ca="1" si="171"/>
        <v>Female</v>
      </c>
      <c r="E843" t="str">
        <f t="shared" ca="1" si="172"/>
        <v>Sportswear</v>
      </c>
      <c r="F843">
        <f t="shared" ca="1" si="173"/>
        <v>1384</v>
      </c>
      <c r="G843">
        <f t="shared" ca="1" si="174"/>
        <v>10</v>
      </c>
      <c r="H843">
        <f t="shared" ca="1" si="175"/>
        <v>1245.6000000000001</v>
      </c>
      <c r="I843">
        <f t="shared" ca="1" si="176"/>
        <v>1</v>
      </c>
      <c r="J843">
        <f t="shared" ca="1" si="177"/>
        <v>0</v>
      </c>
      <c r="K843">
        <f t="shared" ca="1" si="178"/>
        <v>0</v>
      </c>
      <c r="L843">
        <f t="shared" ca="1" si="179"/>
        <v>0</v>
      </c>
      <c r="M843">
        <f t="shared" ca="1" si="180"/>
        <v>5</v>
      </c>
      <c r="N843">
        <f t="shared" ca="1" si="181"/>
        <v>0</v>
      </c>
    </row>
    <row r="844" spans="1:14" x14ac:dyDescent="0.35">
      <c r="A844" t="s">
        <v>861</v>
      </c>
      <c r="B844" t="str">
        <f t="shared" si="169"/>
        <v>Control</v>
      </c>
      <c r="C844">
        <f t="shared" ca="1" si="170"/>
        <v>40</v>
      </c>
      <c r="D844" t="str">
        <f t="shared" ca="1" si="171"/>
        <v>Female</v>
      </c>
      <c r="E844" t="str">
        <f t="shared" ca="1" si="172"/>
        <v>Tops</v>
      </c>
      <c r="F844">
        <f t="shared" ca="1" si="173"/>
        <v>5858</v>
      </c>
      <c r="G844">
        <f t="shared" ca="1" si="174"/>
        <v>10</v>
      </c>
      <c r="H844">
        <f t="shared" ca="1" si="175"/>
        <v>5272.2</v>
      </c>
      <c r="I844">
        <f t="shared" ca="1" si="176"/>
        <v>1</v>
      </c>
      <c r="J844">
        <f t="shared" ca="1" si="177"/>
        <v>1</v>
      </c>
      <c r="K844">
        <f t="shared" ca="1" si="178"/>
        <v>1</v>
      </c>
      <c r="L844">
        <f t="shared" ca="1" si="179"/>
        <v>5272.2</v>
      </c>
      <c r="M844">
        <f t="shared" ca="1" si="180"/>
        <v>3</v>
      </c>
      <c r="N844">
        <f t="shared" ca="1" si="181"/>
        <v>0</v>
      </c>
    </row>
    <row r="845" spans="1:14" x14ac:dyDescent="0.35">
      <c r="A845" t="s">
        <v>862</v>
      </c>
      <c r="B845" t="str">
        <f t="shared" si="169"/>
        <v>Control</v>
      </c>
      <c r="C845">
        <f t="shared" ca="1" si="170"/>
        <v>18</v>
      </c>
      <c r="D845" t="str">
        <f t="shared" ca="1" si="171"/>
        <v>Male</v>
      </c>
      <c r="E845" t="str">
        <f t="shared" ca="1" si="172"/>
        <v>Dresses</v>
      </c>
      <c r="F845">
        <f t="shared" ca="1" si="173"/>
        <v>7665</v>
      </c>
      <c r="G845">
        <f t="shared" ca="1" si="174"/>
        <v>10</v>
      </c>
      <c r="H845">
        <f t="shared" ca="1" si="175"/>
        <v>6898.5</v>
      </c>
      <c r="I845">
        <f t="shared" ca="1" si="176"/>
        <v>0</v>
      </c>
      <c r="J845">
        <f t="shared" ca="1" si="177"/>
        <v>0</v>
      </c>
      <c r="K845">
        <f t="shared" ca="1" si="178"/>
        <v>0</v>
      </c>
      <c r="L845">
        <f t="shared" ca="1" si="179"/>
        <v>0</v>
      </c>
      <c r="M845">
        <f t="shared" ca="1" si="180"/>
        <v>2</v>
      </c>
      <c r="N845">
        <f t="shared" ca="1" si="181"/>
        <v>0</v>
      </c>
    </row>
    <row r="846" spans="1:14" x14ac:dyDescent="0.35">
      <c r="A846" t="s">
        <v>863</v>
      </c>
      <c r="B846" t="str">
        <f t="shared" si="169"/>
        <v>Control</v>
      </c>
      <c r="C846">
        <f t="shared" ca="1" si="170"/>
        <v>29</v>
      </c>
      <c r="D846" t="str">
        <f t="shared" ca="1" si="171"/>
        <v>Female</v>
      </c>
      <c r="E846" t="str">
        <f t="shared" ca="1" si="172"/>
        <v>Dresses</v>
      </c>
      <c r="F846">
        <f t="shared" ca="1" si="173"/>
        <v>3198</v>
      </c>
      <c r="G846">
        <f t="shared" ca="1" si="174"/>
        <v>10</v>
      </c>
      <c r="H846">
        <f t="shared" ca="1" si="175"/>
        <v>2878.2000000000003</v>
      </c>
      <c r="I846">
        <f t="shared" ca="1" si="176"/>
        <v>0</v>
      </c>
      <c r="J846">
        <f t="shared" ca="1" si="177"/>
        <v>0</v>
      </c>
      <c r="K846">
        <f t="shared" ca="1" si="178"/>
        <v>0</v>
      </c>
      <c r="L846">
        <f t="shared" ca="1" si="179"/>
        <v>0</v>
      </c>
      <c r="M846">
        <f t="shared" ca="1" si="180"/>
        <v>5</v>
      </c>
      <c r="N846">
        <f t="shared" ca="1" si="181"/>
        <v>0</v>
      </c>
    </row>
    <row r="847" spans="1:14" x14ac:dyDescent="0.35">
      <c r="A847" t="s">
        <v>864</v>
      </c>
      <c r="B847" t="str">
        <f t="shared" si="169"/>
        <v>Control</v>
      </c>
      <c r="C847">
        <f t="shared" ca="1" si="170"/>
        <v>33</v>
      </c>
      <c r="D847" t="str">
        <f t="shared" ca="1" si="171"/>
        <v>Female</v>
      </c>
      <c r="E847" t="str">
        <f t="shared" ca="1" si="172"/>
        <v>T-shirts</v>
      </c>
      <c r="F847">
        <f t="shared" ca="1" si="173"/>
        <v>3823</v>
      </c>
      <c r="G847">
        <f t="shared" ca="1" si="174"/>
        <v>10</v>
      </c>
      <c r="H847">
        <f t="shared" ca="1" si="175"/>
        <v>3440.7000000000003</v>
      </c>
      <c r="I847">
        <f t="shared" ca="1" si="176"/>
        <v>1</v>
      </c>
      <c r="J847">
        <f t="shared" ca="1" si="177"/>
        <v>1</v>
      </c>
      <c r="K847">
        <f t="shared" ca="1" si="178"/>
        <v>1</v>
      </c>
      <c r="L847">
        <f t="shared" ca="1" si="179"/>
        <v>3440.7000000000003</v>
      </c>
      <c r="M847">
        <f t="shared" ca="1" si="180"/>
        <v>5</v>
      </c>
      <c r="N847">
        <f t="shared" ca="1" si="181"/>
        <v>0</v>
      </c>
    </row>
    <row r="848" spans="1:14" x14ac:dyDescent="0.35">
      <c r="A848" t="s">
        <v>865</v>
      </c>
      <c r="B848" t="str">
        <f t="shared" si="169"/>
        <v>Control</v>
      </c>
      <c r="C848">
        <f t="shared" ca="1" si="170"/>
        <v>44</v>
      </c>
      <c r="D848" t="str">
        <f t="shared" ca="1" si="171"/>
        <v>Male</v>
      </c>
      <c r="E848" t="str">
        <f t="shared" ca="1" si="172"/>
        <v>T-shirts</v>
      </c>
      <c r="F848">
        <f t="shared" ca="1" si="173"/>
        <v>2143</v>
      </c>
      <c r="G848">
        <f t="shared" ca="1" si="174"/>
        <v>10</v>
      </c>
      <c r="H848">
        <f t="shared" ca="1" si="175"/>
        <v>1928.7</v>
      </c>
      <c r="I848">
        <f t="shared" ca="1" si="176"/>
        <v>0</v>
      </c>
      <c r="J848">
        <f t="shared" ca="1" si="177"/>
        <v>0</v>
      </c>
      <c r="K848">
        <f t="shared" ca="1" si="178"/>
        <v>0</v>
      </c>
      <c r="L848">
        <f t="shared" ca="1" si="179"/>
        <v>0</v>
      </c>
      <c r="M848">
        <f t="shared" ca="1" si="180"/>
        <v>2</v>
      </c>
      <c r="N848">
        <f t="shared" ca="1" si="181"/>
        <v>0</v>
      </c>
    </row>
    <row r="849" spans="1:14" x14ac:dyDescent="0.35">
      <c r="A849" t="s">
        <v>866</v>
      </c>
      <c r="B849" t="str">
        <f t="shared" si="169"/>
        <v>Control</v>
      </c>
      <c r="C849">
        <f t="shared" ca="1" si="170"/>
        <v>36</v>
      </c>
      <c r="D849" t="str">
        <f t="shared" ca="1" si="171"/>
        <v>Female</v>
      </c>
      <c r="E849" t="str">
        <f t="shared" ca="1" si="172"/>
        <v>Sportswear</v>
      </c>
      <c r="F849">
        <f t="shared" ca="1" si="173"/>
        <v>1752</v>
      </c>
      <c r="G849">
        <f t="shared" ca="1" si="174"/>
        <v>10</v>
      </c>
      <c r="H849">
        <f t="shared" ca="1" si="175"/>
        <v>1576.8</v>
      </c>
      <c r="I849">
        <f t="shared" ca="1" si="176"/>
        <v>1</v>
      </c>
      <c r="J849">
        <f t="shared" ca="1" si="177"/>
        <v>0</v>
      </c>
      <c r="K849">
        <f t="shared" ca="1" si="178"/>
        <v>0</v>
      </c>
      <c r="L849">
        <f t="shared" ca="1" si="179"/>
        <v>0</v>
      </c>
      <c r="M849">
        <f t="shared" ca="1" si="180"/>
        <v>7</v>
      </c>
      <c r="N849">
        <f t="shared" ca="1" si="181"/>
        <v>0</v>
      </c>
    </row>
    <row r="850" spans="1:14" x14ac:dyDescent="0.35">
      <c r="A850" t="s">
        <v>867</v>
      </c>
      <c r="B850" t="str">
        <f t="shared" si="169"/>
        <v>Control</v>
      </c>
      <c r="C850">
        <f t="shared" ca="1" si="170"/>
        <v>19</v>
      </c>
      <c r="D850" t="str">
        <f t="shared" ca="1" si="171"/>
        <v>Male</v>
      </c>
      <c r="E850" t="str">
        <f t="shared" ca="1" si="172"/>
        <v>Accessories</v>
      </c>
      <c r="F850">
        <f t="shared" ca="1" si="173"/>
        <v>2314</v>
      </c>
      <c r="G850">
        <f t="shared" ca="1" si="174"/>
        <v>10</v>
      </c>
      <c r="H850">
        <f t="shared" ca="1" si="175"/>
        <v>2082.6</v>
      </c>
      <c r="I850">
        <f t="shared" ca="1" si="176"/>
        <v>1</v>
      </c>
      <c r="J850">
        <f t="shared" ca="1" si="177"/>
        <v>0</v>
      </c>
      <c r="K850">
        <f t="shared" ca="1" si="178"/>
        <v>0</v>
      </c>
      <c r="L850">
        <f t="shared" ca="1" si="179"/>
        <v>0</v>
      </c>
      <c r="M850">
        <f t="shared" ca="1" si="180"/>
        <v>6</v>
      </c>
      <c r="N850">
        <f t="shared" ca="1" si="181"/>
        <v>0</v>
      </c>
    </row>
    <row r="851" spans="1:14" x14ac:dyDescent="0.35">
      <c r="A851" t="s">
        <v>868</v>
      </c>
      <c r="B851" t="str">
        <f t="shared" si="169"/>
        <v>Control</v>
      </c>
      <c r="C851">
        <f t="shared" ca="1" si="170"/>
        <v>33</v>
      </c>
      <c r="D851" t="str">
        <f t="shared" ca="1" si="171"/>
        <v>Male</v>
      </c>
      <c r="E851" t="str">
        <f t="shared" ca="1" si="172"/>
        <v>Shoes</v>
      </c>
      <c r="F851">
        <f t="shared" ca="1" si="173"/>
        <v>4721</v>
      </c>
      <c r="G851">
        <f t="shared" ca="1" si="174"/>
        <v>10</v>
      </c>
      <c r="H851">
        <f t="shared" ca="1" si="175"/>
        <v>4248.9000000000005</v>
      </c>
      <c r="I851">
        <f t="shared" ca="1" si="176"/>
        <v>1</v>
      </c>
      <c r="J851">
        <f t="shared" ca="1" si="177"/>
        <v>0</v>
      </c>
      <c r="K851">
        <f t="shared" ca="1" si="178"/>
        <v>0</v>
      </c>
      <c r="L851">
        <f t="shared" ca="1" si="179"/>
        <v>0</v>
      </c>
      <c r="M851">
        <f t="shared" ca="1" si="180"/>
        <v>4</v>
      </c>
      <c r="N851">
        <f t="shared" ca="1" si="181"/>
        <v>0</v>
      </c>
    </row>
    <row r="852" spans="1:14" x14ac:dyDescent="0.35">
      <c r="A852" t="s">
        <v>869</v>
      </c>
      <c r="B852" t="str">
        <f t="shared" si="169"/>
        <v>Control</v>
      </c>
      <c r="C852">
        <f t="shared" ca="1" si="170"/>
        <v>36</v>
      </c>
      <c r="D852" t="str">
        <f t="shared" ca="1" si="171"/>
        <v>Female</v>
      </c>
      <c r="E852" t="str">
        <f t="shared" ca="1" si="172"/>
        <v>Accessories</v>
      </c>
      <c r="F852">
        <f t="shared" ca="1" si="173"/>
        <v>1388</v>
      </c>
      <c r="G852">
        <f t="shared" ca="1" si="174"/>
        <v>10</v>
      </c>
      <c r="H852">
        <f t="shared" ca="1" si="175"/>
        <v>1249.2</v>
      </c>
      <c r="I852">
        <f t="shared" ca="1" si="176"/>
        <v>1</v>
      </c>
      <c r="J852">
        <f t="shared" ca="1" si="177"/>
        <v>0</v>
      </c>
      <c r="K852">
        <f t="shared" ca="1" si="178"/>
        <v>0</v>
      </c>
      <c r="L852">
        <f t="shared" ca="1" si="179"/>
        <v>0</v>
      </c>
      <c r="M852">
        <f t="shared" ca="1" si="180"/>
        <v>1</v>
      </c>
      <c r="N852">
        <f t="shared" ca="1" si="181"/>
        <v>0</v>
      </c>
    </row>
    <row r="853" spans="1:14" x14ac:dyDescent="0.35">
      <c r="A853" t="s">
        <v>870</v>
      </c>
      <c r="B853" t="str">
        <f t="shared" si="169"/>
        <v>Control</v>
      </c>
      <c r="C853">
        <f t="shared" ca="1" si="170"/>
        <v>29</v>
      </c>
      <c r="D853" t="str">
        <f t="shared" ca="1" si="171"/>
        <v>Other</v>
      </c>
      <c r="E853" t="str">
        <f t="shared" ca="1" si="172"/>
        <v>T-shirts</v>
      </c>
      <c r="F853">
        <f t="shared" ca="1" si="173"/>
        <v>2428</v>
      </c>
      <c r="G853">
        <f t="shared" ca="1" si="174"/>
        <v>10</v>
      </c>
      <c r="H853">
        <f t="shared" ca="1" si="175"/>
        <v>2185.2000000000003</v>
      </c>
      <c r="I853">
        <f t="shared" ca="1" si="176"/>
        <v>1</v>
      </c>
      <c r="J853">
        <f t="shared" ca="1" si="177"/>
        <v>1</v>
      </c>
      <c r="K853">
        <f t="shared" ca="1" si="178"/>
        <v>1</v>
      </c>
      <c r="L853">
        <f t="shared" ca="1" si="179"/>
        <v>2185.2000000000003</v>
      </c>
      <c r="M853">
        <f t="shared" ca="1" si="180"/>
        <v>1</v>
      </c>
      <c r="N853">
        <f t="shared" ca="1" si="181"/>
        <v>0</v>
      </c>
    </row>
    <row r="854" spans="1:14" x14ac:dyDescent="0.35">
      <c r="A854" t="s">
        <v>871</v>
      </c>
      <c r="B854" t="str">
        <f t="shared" si="169"/>
        <v>Control</v>
      </c>
      <c r="C854">
        <f t="shared" ca="1" si="170"/>
        <v>26</v>
      </c>
      <c r="D854" t="str">
        <f t="shared" ca="1" si="171"/>
        <v>Female</v>
      </c>
      <c r="E854" t="str">
        <f t="shared" ca="1" si="172"/>
        <v>Tops</v>
      </c>
      <c r="F854">
        <f t="shared" ca="1" si="173"/>
        <v>2203</v>
      </c>
      <c r="G854">
        <f t="shared" ca="1" si="174"/>
        <v>10</v>
      </c>
      <c r="H854">
        <f t="shared" ca="1" si="175"/>
        <v>1982.7</v>
      </c>
      <c r="I854">
        <f t="shared" ca="1" si="176"/>
        <v>0</v>
      </c>
      <c r="J854">
        <f t="shared" ca="1" si="177"/>
        <v>0</v>
      </c>
      <c r="K854">
        <f t="shared" ca="1" si="178"/>
        <v>0</v>
      </c>
      <c r="L854">
        <f t="shared" ca="1" si="179"/>
        <v>0</v>
      </c>
      <c r="M854">
        <f t="shared" ca="1" si="180"/>
        <v>4</v>
      </c>
      <c r="N854">
        <f t="shared" ca="1" si="181"/>
        <v>0</v>
      </c>
    </row>
    <row r="855" spans="1:14" x14ac:dyDescent="0.35">
      <c r="A855" t="s">
        <v>872</v>
      </c>
      <c r="B855" t="str">
        <f t="shared" si="169"/>
        <v>Control</v>
      </c>
      <c r="C855">
        <f t="shared" ca="1" si="170"/>
        <v>31</v>
      </c>
      <c r="D855" t="str">
        <f t="shared" ca="1" si="171"/>
        <v>Male</v>
      </c>
      <c r="E855" t="str">
        <f t="shared" ca="1" si="172"/>
        <v>Ethnic Wear</v>
      </c>
      <c r="F855">
        <f t="shared" ca="1" si="173"/>
        <v>7131</v>
      </c>
      <c r="G855">
        <f t="shared" ca="1" si="174"/>
        <v>10</v>
      </c>
      <c r="H855">
        <f t="shared" ca="1" si="175"/>
        <v>6417.9000000000005</v>
      </c>
      <c r="I855">
        <f t="shared" ca="1" si="176"/>
        <v>1</v>
      </c>
      <c r="J855">
        <f t="shared" ca="1" si="177"/>
        <v>1</v>
      </c>
      <c r="K855">
        <f t="shared" ca="1" si="178"/>
        <v>0</v>
      </c>
      <c r="L855">
        <f t="shared" ca="1" si="179"/>
        <v>0</v>
      </c>
      <c r="M855">
        <f t="shared" ca="1" si="180"/>
        <v>5</v>
      </c>
      <c r="N855">
        <f t="shared" ca="1" si="181"/>
        <v>0</v>
      </c>
    </row>
    <row r="856" spans="1:14" x14ac:dyDescent="0.35">
      <c r="A856" t="s">
        <v>873</v>
      </c>
      <c r="B856" t="str">
        <f t="shared" si="169"/>
        <v>Control</v>
      </c>
      <c r="C856">
        <f t="shared" ca="1" si="170"/>
        <v>22</v>
      </c>
      <c r="D856" t="str">
        <f t="shared" ca="1" si="171"/>
        <v>Female</v>
      </c>
      <c r="E856" t="str">
        <f t="shared" ca="1" si="172"/>
        <v>Shoes</v>
      </c>
      <c r="F856">
        <f t="shared" ca="1" si="173"/>
        <v>769</v>
      </c>
      <c r="G856">
        <f t="shared" ca="1" si="174"/>
        <v>10</v>
      </c>
      <c r="H856">
        <f t="shared" ca="1" si="175"/>
        <v>692.1</v>
      </c>
      <c r="I856">
        <f t="shared" ca="1" si="176"/>
        <v>1</v>
      </c>
      <c r="J856">
        <f t="shared" ca="1" si="177"/>
        <v>0</v>
      </c>
      <c r="K856">
        <f t="shared" ca="1" si="178"/>
        <v>0</v>
      </c>
      <c r="L856">
        <f t="shared" ca="1" si="179"/>
        <v>0</v>
      </c>
      <c r="M856">
        <f t="shared" ca="1" si="180"/>
        <v>6</v>
      </c>
      <c r="N856">
        <f t="shared" ca="1" si="181"/>
        <v>0</v>
      </c>
    </row>
    <row r="857" spans="1:14" x14ac:dyDescent="0.35">
      <c r="A857" t="s">
        <v>874</v>
      </c>
      <c r="B857" t="str">
        <f t="shared" si="169"/>
        <v>Control</v>
      </c>
      <c r="C857">
        <f t="shared" ca="1" si="170"/>
        <v>45</v>
      </c>
      <c r="D857" t="str">
        <f t="shared" ca="1" si="171"/>
        <v>Male</v>
      </c>
      <c r="E857" t="str">
        <f t="shared" ca="1" si="172"/>
        <v>Accessories</v>
      </c>
      <c r="F857">
        <f t="shared" ca="1" si="173"/>
        <v>5153</v>
      </c>
      <c r="G857">
        <f t="shared" ca="1" si="174"/>
        <v>10</v>
      </c>
      <c r="H857">
        <f t="shared" ca="1" si="175"/>
        <v>4637.7</v>
      </c>
      <c r="I857">
        <f t="shared" ca="1" si="176"/>
        <v>1</v>
      </c>
      <c r="J857">
        <f t="shared" ca="1" si="177"/>
        <v>0</v>
      </c>
      <c r="K857">
        <f t="shared" ca="1" si="178"/>
        <v>0</v>
      </c>
      <c r="L857">
        <f t="shared" ca="1" si="179"/>
        <v>0</v>
      </c>
      <c r="M857">
        <f t="shared" ca="1" si="180"/>
        <v>5</v>
      </c>
      <c r="N857">
        <f t="shared" ca="1" si="181"/>
        <v>0</v>
      </c>
    </row>
    <row r="858" spans="1:14" x14ac:dyDescent="0.35">
      <c r="A858" t="s">
        <v>875</v>
      </c>
      <c r="B858" t="str">
        <f t="shared" si="169"/>
        <v>Control</v>
      </c>
      <c r="C858">
        <f t="shared" ca="1" si="170"/>
        <v>45</v>
      </c>
      <c r="D858" t="str">
        <f t="shared" ca="1" si="171"/>
        <v>Female</v>
      </c>
      <c r="E858" t="str">
        <f t="shared" ca="1" si="172"/>
        <v>Shoes</v>
      </c>
      <c r="F858">
        <f t="shared" ca="1" si="173"/>
        <v>3905</v>
      </c>
      <c r="G858">
        <f t="shared" ca="1" si="174"/>
        <v>10</v>
      </c>
      <c r="H858">
        <f t="shared" ca="1" si="175"/>
        <v>3514.5</v>
      </c>
      <c r="I858">
        <f t="shared" ca="1" si="176"/>
        <v>1</v>
      </c>
      <c r="J858">
        <f t="shared" ca="1" si="177"/>
        <v>0</v>
      </c>
      <c r="K858">
        <f t="shared" ca="1" si="178"/>
        <v>0</v>
      </c>
      <c r="L858">
        <f t="shared" ca="1" si="179"/>
        <v>0</v>
      </c>
      <c r="M858">
        <f t="shared" ca="1" si="180"/>
        <v>2</v>
      </c>
      <c r="N858">
        <f t="shared" ca="1" si="181"/>
        <v>0</v>
      </c>
    </row>
    <row r="859" spans="1:14" x14ac:dyDescent="0.35">
      <c r="A859" t="s">
        <v>876</v>
      </c>
      <c r="B859" t="str">
        <f t="shared" si="169"/>
        <v>Control</v>
      </c>
      <c r="C859">
        <f t="shared" ca="1" si="170"/>
        <v>24</v>
      </c>
      <c r="D859" t="str">
        <f t="shared" ca="1" si="171"/>
        <v>Male</v>
      </c>
      <c r="E859" t="str">
        <f t="shared" ca="1" si="172"/>
        <v>T-shirts</v>
      </c>
      <c r="F859">
        <f t="shared" ca="1" si="173"/>
        <v>7719</v>
      </c>
      <c r="G859">
        <f t="shared" ca="1" si="174"/>
        <v>10</v>
      </c>
      <c r="H859">
        <f t="shared" ca="1" si="175"/>
        <v>6947.1</v>
      </c>
      <c r="I859">
        <f t="shared" ca="1" si="176"/>
        <v>1</v>
      </c>
      <c r="J859">
        <f t="shared" ca="1" si="177"/>
        <v>1</v>
      </c>
      <c r="K859">
        <f t="shared" ca="1" si="178"/>
        <v>1</v>
      </c>
      <c r="L859">
        <f t="shared" ca="1" si="179"/>
        <v>6947.1</v>
      </c>
      <c r="M859">
        <f t="shared" ca="1" si="180"/>
        <v>2</v>
      </c>
      <c r="N859">
        <f t="shared" ca="1" si="181"/>
        <v>0</v>
      </c>
    </row>
    <row r="860" spans="1:14" x14ac:dyDescent="0.35">
      <c r="A860" t="s">
        <v>877</v>
      </c>
      <c r="B860" t="str">
        <f t="shared" si="169"/>
        <v>Control</v>
      </c>
      <c r="C860">
        <f t="shared" ca="1" si="170"/>
        <v>38</v>
      </c>
      <c r="D860" t="str">
        <f t="shared" ca="1" si="171"/>
        <v>Male</v>
      </c>
      <c r="E860" t="str">
        <f t="shared" ca="1" si="172"/>
        <v>Shoes</v>
      </c>
      <c r="F860">
        <f t="shared" ca="1" si="173"/>
        <v>3877</v>
      </c>
      <c r="G860">
        <f t="shared" ca="1" si="174"/>
        <v>10</v>
      </c>
      <c r="H860">
        <f t="shared" ca="1" si="175"/>
        <v>3489.3</v>
      </c>
      <c r="I860">
        <f t="shared" ca="1" si="176"/>
        <v>1</v>
      </c>
      <c r="J860">
        <f t="shared" ca="1" si="177"/>
        <v>1</v>
      </c>
      <c r="K860">
        <f t="shared" ca="1" si="178"/>
        <v>0</v>
      </c>
      <c r="L860">
        <f t="shared" ca="1" si="179"/>
        <v>0</v>
      </c>
      <c r="M860">
        <f t="shared" ca="1" si="180"/>
        <v>7</v>
      </c>
      <c r="N860">
        <f t="shared" ca="1" si="181"/>
        <v>0</v>
      </c>
    </row>
    <row r="861" spans="1:14" x14ac:dyDescent="0.35">
      <c r="A861" t="s">
        <v>878</v>
      </c>
      <c r="B861" t="str">
        <f t="shared" si="169"/>
        <v>Control</v>
      </c>
      <c r="C861">
        <f t="shared" ca="1" si="170"/>
        <v>31</v>
      </c>
      <c r="D861" t="str">
        <f t="shared" ca="1" si="171"/>
        <v>Male</v>
      </c>
      <c r="E861" t="str">
        <f t="shared" ca="1" si="172"/>
        <v>Jeans</v>
      </c>
      <c r="F861">
        <f t="shared" ca="1" si="173"/>
        <v>3397</v>
      </c>
      <c r="G861">
        <f t="shared" ca="1" si="174"/>
        <v>10</v>
      </c>
      <c r="H861">
        <f t="shared" ca="1" si="175"/>
        <v>3057.3</v>
      </c>
      <c r="I861">
        <f t="shared" ca="1" si="176"/>
        <v>1</v>
      </c>
      <c r="J861">
        <f t="shared" ca="1" si="177"/>
        <v>1</v>
      </c>
      <c r="K861">
        <f t="shared" ca="1" si="178"/>
        <v>1</v>
      </c>
      <c r="L861">
        <f t="shared" ca="1" si="179"/>
        <v>3057.3</v>
      </c>
      <c r="M861">
        <f t="shared" ca="1" si="180"/>
        <v>3</v>
      </c>
      <c r="N861">
        <f t="shared" ca="1" si="181"/>
        <v>0</v>
      </c>
    </row>
    <row r="862" spans="1:14" x14ac:dyDescent="0.35">
      <c r="A862" t="s">
        <v>879</v>
      </c>
      <c r="B862" t="str">
        <f t="shared" si="169"/>
        <v>Control</v>
      </c>
      <c r="C862">
        <f t="shared" ca="1" si="170"/>
        <v>44</v>
      </c>
      <c r="D862" t="str">
        <f t="shared" ca="1" si="171"/>
        <v>Female</v>
      </c>
      <c r="E862" t="str">
        <f t="shared" ca="1" si="172"/>
        <v>Dresses</v>
      </c>
      <c r="F862">
        <f t="shared" ca="1" si="173"/>
        <v>6033</v>
      </c>
      <c r="G862">
        <f t="shared" ca="1" si="174"/>
        <v>10</v>
      </c>
      <c r="H862">
        <f t="shared" ca="1" si="175"/>
        <v>5429.7</v>
      </c>
      <c r="I862">
        <f t="shared" ca="1" si="176"/>
        <v>1</v>
      </c>
      <c r="J862">
        <f t="shared" ca="1" si="177"/>
        <v>1</v>
      </c>
      <c r="K862">
        <f t="shared" ca="1" si="178"/>
        <v>0</v>
      </c>
      <c r="L862">
        <f t="shared" ca="1" si="179"/>
        <v>0</v>
      </c>
      <c r="M862">
        <f t="shared" ca="1" si="180"/>
        <v>7</v>
      </c>
      <c r="N862">
        <f t="shared" ca="1" si="181"/>
        <v>0</v>
      </c>
    </row>
    <row r="863" spans="1:14" x14ac:dyDescent="0.35">
      <c r="A863" t="s">
        <v>880</v>
      </c>
      <c r="B863" t="str">
        <f t="shared" si="169"/>
        <v>Control</v>
      </c>
      <c r="C863">
        <f t="shared" ca="1" si="170"/>
        <v>27</v>
      </c>
      <c r="D863" t="str">
        <f t="shared" ca="1" si="171"/>
        <v>Male</v>
      </c>
      <c r="E863" t="str">
        <f t="shared" ca="1" si="172"/>
        <v>Dresses</v>
      </c>
      <c r="F863">
        <f t="shared" ca="1" si="173"/>
        <v>2350</v>
      </c>
      <c r="G863">
        <f t="shared" ca="1" si="174"/>
        <v>10</v>
      </c>
      <c r="H863">
        <f t="shared" ca="1" si="175"/>
        <v>2115</v>
      </c>
      <c r="I863">
        <f t="shared" ca="1" si="176"/>
        <v>0</v>
      </c>
      <c r="J863">
        <f t="shared" ca="1" si="177"/>
        <v>0</v>
      </c>
      <c r="K863">
        <f t="shared" ca="1" si="178"/>
        <v>0</v>
      </c>
      <c r="L863">
        <f t="shared" ca="1" si="179"/>
        <v>0</v>
      </c>
      <c r="M863">
        <f t="shared" ca="1" si="180"/>
        <v>3</v>
      </c>
      <c r="N863">
        <f t="shared" ca="1" si="181"/>
        <v>0</v>
      </c>
    </row>
    <row r="864" spans="1:14" x14ac:dyDescent="0.35">
      <c r="A864" t="s">
        <v>881</v>
      </c>
      <c r="B864" t="str">
        <f t="shared" si="169"/>
        <v>Control</v>
      </c>
      <c r="C864">
        <f t="shared" ca="1" si="170"/>
        <v>35</v>
      </c>
      <c r="D864" t="str">
        <f t="shared" ca="1" si="171"/>
        <v>Male</v>
      </c>
      <c r="E864" t="str">
        <f t="shared" ca="1" si="172"/>
        <v>Sportswear</v>
      </c>
      <c r="F864">
        <f t="shared" ca="1" si="173"/>
        <v>4268</v>
      </c>
      <c r="G864">
        <f t="shared" ca="1" si="174"/>
        <v>10</v>
      </c>
      <c r="H864">
        <f t="shared" ca="1" si="175"/>
        <v>3841.2000000000003</v>
      </c>
      <c r="I864">
        <f t="shared" ca="1" si="176"/>
        <v>1</v>
      </c>
      <c r="J864">
        <f t="shared" ca="1" si="177"/>
        <v>0</v>
      </c>
      <c r="K864">
        <f t="shared" ca="1" si="178"/>
        <v>0</v>
      </c>
      <c r="L864">
        <f t="shared" ca="1" si="179"/>
        <v>0</v>
      </c>
      <c r="M864">
        <f t="shared" ca="1" si="180"/>
        <v>7</v>
      </c>
      <c r="N864">
        <f t="shared" ca="1" si="181"/>
        <v>0</v>
      </c>
    </row>
    <row r="865" spans="1:14" x14ac:dyDescent="0.35">
      <c r="A865" t="s">
        <v>882</v>
      </c>
      <c r="B865" t="str">
        <f t="shared" si="169"/>
        <v>Control</v>
      </c>
      <c r="C865">
        <f t="shared" ca="1" si="170"/>
        <v>32</v>
      </c>
      <c r="D865" t="str">
        <f t="shared" ca="1" si="171"/>
        <v>Female</v>
      </c>
      <c r="E865" t="str">
        <f t="shared" ca="1" si="172"/>
        <v>Shoes</v>
      </c>
      <c r="F865">
        <f t="shared" ca="1" si="173"/>
        <v>1372</v>
      </c>
      <c r="G865">
        <f t="shared" ca="1" si="174"/>
        <v>10</v>
      </c>
      <c r="H865">
        <f t="shared" ca="1" si="175"/>
        <v>1234.8</v>
      </c>
      <c r="I865">
        <f t="shared" ca="1" si="176"/>
        <v>0</v>
      </c>
      <c r="J865">
        <f t="shared" ca="1" si="177"/>
        <v>0</v>
      </c>
      <c r="K865">
        <f t="shared" ca="1" si="178"/>
        <v>0</v>
      </c>
      <c r="L865">
        <f t="shared" ca="1" si="179"/>
        <v>0</v>
      </c>
      <c r="M865">
        <f t="shared" ca="1" si="180"/>
        <v>1</v>
      </c>
      <c r="N865">
        <f t="shared" ca="1" si="181"/>
        <v>0</v>
      </c>
    </row>
    <row r="866" spans="1:14" x14ac:dyDescent="0.35">
      <c r="A866" t="s">
        <v>883</v>
      </c>
      <c r="B866" t="str">
        <f t="shared" si="169"/>
        <v>Control</v>
      </c>
      <c r="C866">
        <f t="shared" ca="1" si="170"/>
        <v>18</v>
      </c>
      <c r="D866" t="str">
        <f t="shared" ca="1" si="171"/>
        <v>Female</v>
      </c>
      <c r="E866" t="str">
        <f t="shared" ca="1" si="172"/>
        <v>Jeans</v>
      </c>
      <c r="F866">
        <f t="shared" ca="1" si="173"/>
        <v>7212</v>
      </c>
      <c r="G866">
        <f t="shared" ca="1" si="174"/>
        <v>10</v>
      </c>
      <c r="H866">
        <f t="shared" ca="1" si="175"/>
        <v>6490.8</v>
      </c>
      <c r="I866">
        <f t="shared" ca="1" si="176"/>
        <v>1</v>
      </c>
      <c r="J866">
        <f t="shared" ca="1" si="177"/>
        <v>1</v>
      </c>
      <c r="K866">
        <f t="shared" ca="1" si="178"/>
        <v>0</v>
      </c>
      <c r="L866">
        <f t="shared" ca="1" si="179"/>
        <v>0</v>
      </c>
      <c r="M866">
        <f t="shared" ca="1" si="180"/>
        <v>4</v>
      </c>
      <c r="N866">
        <f t="shared" ca="1" si="181"/>
        <v>0</v>
      </c>
    </row>
    <row r="867" spans="1:14" x14ac:dyDescent="0.35">
      <c r="A867" t="s">
        <v>884</v>
      </c>
      <c r="B867" t="str">
        <f t="shared" si="169"/>
        <v>Control</v>
      </c>
      <c r="C867">
        <f t="shared" ca="1" si="170"/>
        <v>45</v>
      </c>
      <c r="D867" t="str">
        <f t="shared" ca="1" si="171"/>
        <v>Other</v>
      </c>
      <c r="E867" t="str">
        <f t="shared" ca="1" si="172"/>
        <v>T-shirts</v>
      </c>
      <c r="F867">
        <f t="shared" ca="1" si="173"/>
        <v>1339</v>
      </c>
      <c r="G867">
        <f t="shared" ca="1" si="174"/>
        <v>10</v>
      </c>
      <c r="H867">
        <f t="shared" ca="1" si="175"/>
        <v>1205.1000000000001</v>
      </c>
      <c r="I867">
        <f t="shared" ca="1" si="176"/>
        <v>1</v>
      </c>
      <c r="J867">
        <f t="shared" ca="1" si="177"/>
        <v>1</v>
      </c>
      <c r="K867">
        <f t="shared" ca="1" si="178"/>
        <v>1</v>
      </c>
      <c r="L867">
        <f t="shared" ca="1" si="179"/>
        <v>1205.1000000000001</v>
      </c>
      <c r="M867">
        <f t="shared" ca="1" si="180"/>
        <v>6</v>
      </c>
      <c r="N867">
        <f t="shared" ca="1" si="181"/>
        <v>0</v>
      </c>
    </row>
    <row r="868" spans="1:14" x14ac:dyDescent="0.35">
      <c r="A868" t="s">
        <v>885</v>
      </c>
      <c r="B868" t="str">
        <f t="shared" si="169"/>
        <v>Control</v>
      </c>
      <c r="C868">
        <f t="shared" ca="1" si="170"/>
        <v>25</v>
      </c>
      <c r="D868" t="str">
        <f t="shared" ca="1" si="171"/>
        <v>Female</v>
      </c>
      <c r="E868" t="str">
        <f t="shared" ca="1" si="172"/>
        <v>Dresses</v>
      </c>
      <c r="F868">
        <f t="shared" ca="1" si="173"/>
        <v>7737</v>
      </c>
      <c r="G868">
        <f t="shared" ca="1" si="174"/>
        <v>10</v>
      </c>
      <c r="H868">
        <f t="shared" ca="1" si="175"/>
        <v>6963.3</v>
      </c>
      <c r="I868">
        <f t="shared" ca="1" si="176"/>
        <v>1</v>
      </c>
      <c r="J868">
        <f t="shared" ca="1" si="177"/>
        <v>0</v>
      </c>
      <c r="K868">
        <f t="shared" ca="1" si="178"/>
        <v>0</v>
      </c>
      <c r="L868">
        <f t="shared" ca="1" si="179"/>
        <v>0</v>
      </c>
      <c r="M868">
        <f t="shared" ca="1" si="180"/>
        <v>6</v>
      </c>
      <c r="N868">
        <f t="shared" ca="1" si="181"/>
        <v>0</v>
      </c>
    </row>
    <row r="869" spans="1:14" x14ac:dyDescent="0.35">
      <c r="A869" t="s">
        <v>886</v>
      </c>
      <c r="B869" t="str">
        <f t="shared" si="169"/>
        <v>Control</v>
      </c>
      <c r="C869">
        <f t="shared" ca="1" si="170"/>
        <v>27</v>
      </c>
      <c r="D869" t="str">
        <f t="shared" ca="1" si="171"/>
        <v>Female</v>
      </c>
      <c r="E869" t="str">
        <f t="shared" ca="1" si="172"/>
        <v>Sportswear</v>
      </c>
      <c r="F869">
        <f t="shared" ca="1" si="173"/>
        <v>7249</v>
      </c>
      <c r="G869">
        <f t="shared" ca="1" si="174"/>
        <v>10</v>
      </c>
      <c r="H869">
        <f t="shared" ca="1" si="175"/>
        <v>6524.1</v>
      </c>
      <c r="I869">
        <f t="shared" ca="1" si="176"/>
        <v>1</v>
      </c>
      <c r="J869">
        <f t="shared" ca="1" si="177"/>
        <v>0</v>
      </c>
      <c r="K869">
        <f t="shared" ca="1" si="178"/>
        <v>0</v>
      </c>
      <c r="L869">
        <f t="shared" ca="1" si="179"/>
        <v>0</v>
      </c>
      <c r="M869">
        <f t="shared" ca="1" si="180"/>
        <v>3</v>
      </c>
      <c r="N869">
        <f t="shared" ca="1" si="181"/>
        <v>0</v>
      </c>
    </row>
    <row r="870" spans="1:14" x14ac:dyDescent="0.35">
      <c r="A870" t="s">
        <v>887</v>
      </c>
      <c r="B870" t="str">
        <f t="shared" si="169"/>
        <v>Control</v>
      </c>
      <c r="C870">
        <f t="shared" ca="1" si="170"/>
        <v>38</v>
      </c>
      <c r="D870" t="str">
        <f t="shared" ca="1" si="171"/>
        <v>Other</v>
      </c>
      <c r="E870" t="str">
        <f t="shared" ca="1" si="172"/>
        <v>Jeans</v>
      </c>
      <c r="F870">
        <f t="shared" ca="1" si="173"/>
        <v>7567</v>
      </c>
      <c r="G870">
        <f t="shared" ca="1" si="174"/>
        <v>10</v>
      </c>
      <c r="H870">
        <f t="shared" ca="1" si="175"/>
        <v>6810.3</v>
      </c>
      <c r="I870">
        <f t="shared" ca="1" si="176"/>
        <v>0</v>
      </c>
      <c r="J870">
        <f t="shared" ca="1" si="177"/>
        <v>0</v>
      </c>
      <c r="K870">
        <f t="shared" ca="1" si="178"/>
        <v>0</v>
      </c>
      <c r="L870">
        <f t="shared" ca="1" si="179"/>
        <v>0</v>
      </c>
      <c r="M870">
        <f t="shared" ca="1" si="180"/>
        <v>5</v>
      </c>
      <c r="N870">
        <f t="shared" ca="1" si="181"/>
        <v>0</v>
      </c>
    </row>
    <row r="871" spans="1:14" x14ac:dyDescent="0.35">
      <c r="A871" t="s">
        <v>888</v>
      </c>
      <c r="B871" t="str">
        <f t="shared" si="169"/>
        <v>Control</v>
      </c>
      <c r="C871">
        <f t="shared" ca="1" si="170"/>
        <v>22</v>
      </c>
      <c r="D871" t="str">
        <f t="shared" ca="1" si="171"/>
        <v>Other</v>
      </c>
      <c r="E871" t="str">
        <f t="shared" ca="1" si="172"/>
        <v>Tops</v>
      </c>
      <c r="F871">
        <f t="shared" ca="1" si="173"/>
        <v>6690</v>
      </c>
      <c r="G871">
        <f t="shared" ca="1" si="174"/>
        <v>10</v>
      </c>
      <c r="H871">
        <f t="shared" ca="1" si="175"/>
        <v>6021</v>
      </c>
      <c r="I871">
        <f t="shared" ca="1" si="176"/>
        <v>1</v>
      </c>
      <c r="J871">
        <f t="shared" ca="1" si="177"/>
        <v>1</v>
      </c>
      <c r="K871">
        <f t="shared" ca="1" si="178"/>
        <v>1</v>
      </c>
      <c r="L871">
        <f t="shared" ca="1" si="179"/>
        <v>6021</v>
      </c>
      <c r="M871">
        <f t="shared" ca="1" si="180"/>
        <v>4</v>
      </c>
      <c r="N871">
        <f t="shared" ca="1" si="181"/>
        <v>0</v>
      </c>
    </row>
    <row r="872" spans="1:14" x14ac:dyDescent="0.35">
      <c r="A872" t="s">
        <v>889</v>
      </c>
      <c r="B872" t="str">
        <f t="shared" si="169"/>
        <v>Control</v>
      </c>
      <c r="C872">
        <f t="shared" ca="1" si="170"/>
        <v>35</v>
      </c>
      <c r="D872" t="str">
        <f t="shared" ca="1" si="171"/>
        <v>Male</v>
      </c>
      <c r="E872" t="str">
        <f t="shared" ca="1" si="172"/>
        <v>T-shirts</v>
      </c>
      <c r="F872">
        <f t="shared" ca="1" si="173"/>
        <v>4212</v>
      </c>
      <c r="G872">
        <f t="shared" ca="1" si="174"/>
        <v>10</v>
      </c>
      <c r="H872">
        <f t="shared" ca="1" si="175"/>
        <v>3790.8</v>
      </c>
      <c r="I872">
        <f t="shared" ca="1" si="176"/>
        <v>1</v>
      </c>
      <c r="J872">
        <f t="shared" ca="1" si="177"/>
        <v>1</v>
      </c>
      <c r="K872">
        <f t="shared" ca="1" si="178"/>
        <v>0</v>
      </c>
      <c r="L872">
        <f t="shared" ca="1" si="179"/>
        <v>0</v>
      </c>
      <c r="M872">
        <f t="shared" ca="1" si="180"/>
        <v>2</v>
      </c>
      <c r="N872">
        <f t="shared" ca="1" si="181"/>
        <v>0</v>
      </c>
    </row>
    <row r="873" spans="1:14" x14ac:dyDescent="0.35">
      <c r="A873" t="s">
        <v>890</v>
      </c>
      <c r="B873" t="str">
        <f t="shared" si="169"/>
        <v>Control</v>
      </c>
      <c r="C873">
        <f t="shared" ca="1" si="170"/>
        <v>25</v>
      </c>
      <c r="D873" t="str">
        <f t="shared" ca="1" si="171"/>
        <v>Female</v>
      </c>
      <c r="E873" t="str">
        <f t="shared" ca="1" si="172"/>
        <v>Jeans</v>
      </c>
      <c r="F873">
        <f t="shared" ca="1" si="173"/>
        <v>2377</v>
      </c>
      <c r="G873">
        <f t="shared" ca="1" si="174"/>
        <v>10</v>
      </c>
      <c r="H873">
        <f t="shared" ca="1" si="175"/>
        <v>2139.3000000000002</v>
      </c>
      <c r="I873">
        <f t="shared" ca="1" si="176"/>
        <v>1</v>
      </c>
      <c r="J873">
        <f t="shared" ca="1" si="177"/>
        <v>1</v>
      </c>
      <c r="K873">
        <f t="shared" ca="1" si="178"/>
        <v>0</v>
      </c>
      <c r="L873">
        <f t="shared" ca="1" si="179"/>
        <v>0</v>
      </c>
      <c r="M873">
        <f t="shared" ca="1" si="180"/>
        <v>4</v>
      </c>
      <c r="N873">
        <f t="shared" ca="1" si="181"/>
        <v>0</v>
      </c>
    </row>
    <row r="874" spans="1:14" x14ac:dyDescent="0.35">
      <c r="A874" t="s">
        <v>891</v>
      </c>
      <c r="B874" t="str">
        <f t="shared" si="169"/>
        <v>Control</v>
      </c>
      <c r="C874">
        <f t="shared" ca="1" si="170"/>
        <v>42</v>
      </c>
      <c r="D874" t="str">
        <f t="shared" ca="1" si="171"/>
        <v>Female</v>
      </c>
      <c r="E874" t="str">
        <f t="shared" ca="1" si="172"/>
        <v>Jeans</v>
      </c>
      <c r="F874">
        <f t="shared" ca="1" si="173"/>
        <v>6651</v>
      </c>
      <c r="G874">
        <f t="shared" ca="1" si="174"/>
        <v>10</v>
      </c>
      <c r="H874">
        <f t="shared" ca="1" si="175"/>
        <v>5985.9000000000005</v>
      </c>
      <c r="I874">
        <f t="shared" ca="1" si="176"/>
        <v>1</v>
      </c>
      <c r="J874">
        <f t="shared" ca="1" si="177"/>
        <v>1</v>
      </c>
      <c r="K874">
        <f t="shared" ca="1" si="178"/>
        <v>0</v>
      </c>
      <c r="L874">
        <f t="shared" ca="1" si="179"/>
        <v>0</v>
      </c>
      <c r="M874">
        <f t="shared" ca="1" si="180"/>
        <v>4</v>
      </c>
      <c r="N874">
        <f t="shared" ca="1" si="181"/>
        <v>0</v>
      </c>
    </row>
    <row r="875" spans="1:14" x14ac:dyDescent="0.35">
      <c r="A875" t="s">
        <v>892</v>
      </c>
      <c r="B875" t="str">
        <f t="shared" si="169"/>
        <v>Control</v>
      </c>
      <c r="C875">
        <f t="shared" ca="1" si="170"/>
        <v>26</v>
      </c>
      <c r="D875" t="str">
        <f t="shared" ca="1" si="171"/>
        <v>Male</v>
      </c>
      <c r="E875" t="str">
        <f t="shared" ca="1" si="172"/>
        <v>Sportswear</v>
      </c>
      <c r="F875">
        <f t="shared" ca="1" si="173"/>
        <v>1553</v>
      </c>
      <c r="G875">
        <f t="shared" ca="1" si="174"/>
        <v>10</v>
      </c>
      <c r="H875">
        <f t="shared" ca="1" si="175"/>
        <v>1397.7</v>
      </c>
      <c r="I875">
        <f t="shared" ca="1" si="176"/>
        <v>1</v>
      </c>
      <c r="J875">
        <f t="shared" ca="1" si="177"/>
        <v>1</v>
      </c>
      <c r="K875">
        <f t="shared" ca="1" si="178"/>
        <v>0</v>
      </c>
      <c r="L875">
        <f t="shared" ca="1" si="179"/>
        <v>0</v>
      </c>
      <c r="M875">
        <f t="shared" ca="1" si="180"/>
        <v>4</v>
      </c>
      <c r="N875">
        <f t="shared" ca="1" si="181"/>
        <v>0</v>
      </c>
    </row>
    <row r="876" spans="1:14" x14ac:dyDescent="0.35">
      <c r="A876" t="s">
        <v>893</v>
      </c>
      <c r="B876" t="str">
        <f t="shared" si="169"/>
        <v>Control</v>
      </c>
      <c r="C876">
        <f t="shared" ca="1" si="170"/>
        <v>23</v>
      </c>
      <c r="D876" t="str">
        <f t="shared" ca="1" si="171"/>
        <v>Female</v>
      </c>
      <c r="E876" t="str">
        <f t="shared" ca="1" si="172"/>
        <v>Shoes</v>
      </c>
      <c r="F876">
        <f t="shared" ca="1" si="173"/>
        <v>4857</v>
      </c>
      <c r="G876">
        <f t="shared" ca="1" si="174"/>
        <v>10</v>
      </c>
      <c r="H876">
        <f t="shared" ca="1" si="175"/>
        <v>4371.3</v>
      </c>
      <c r="I876">
        <f t="shared" ca="1" si="176"/>
        <v>1</v>
      </c>
      <c r="J876">
        <f t="shared" ca="1" si="177"/>
        <v>1</v>
      </c>
      <c r="K876">
        <f t="shared" ca="1" si="178"/>
        <v>0</v>
      </c>
      <c r="L876">
        <f t="shared" ca="1" si="179"/>
        <v>0</v>
      </c>
      <c r="M876">
        <f t="shared" ca="1" si="180"/>
        <v>2</v>
      </c>
      <c r="N876">
        <f t="shared" ca="1" si="181"/>
        <v>0</v>
      </c>
    </row>
    <row r="877" spans="1:14" x14ac:dyDescent="0.35">
      <c r="A877" t="s">
        <v>894</v>
      </c>
      <c r="B877" t="str">
        <f t="shared" si="169"/>
        <v>Control</v>
      </c>
      <c r="C877">
        <f t="shared" ca="1" si="170"/>
        <v>38</v>
      </c>
      <c r="D877" t="str">
        <f t="shared" ca="1" si="171"/>
        <v>Female</v>
      </c>
      <c r="E877" t="str">
        <f t="shared" ca="1" si="172"/>
        <v>Ethnic Wear</v>
      </c>
      <c r="F877">
        <f t="shared" ca="1" si="173"/>
        <v>3537</v>
      </c>
      <c r="G877">
        <f t="shared" ca="1" si="174"/>
        <v>10</v>
      </c>
      <c r="H877">
        <f t="shared" ca="1" si="175"/>
        <v>3183.3</v>
      </c>
      <c r="I877">
        <f t="shared" ca="1" si="176"/>
        <v>1</v>
      </c>
      <c r="J877">
        <f t="shared" ca="1" si="177"/>
        <v>0</v>
      </c>
      <c r="K877">
        <f t="shared" ca="1" si="178"/>
        <v>0</v>
      </c>
      <c r="L877">
        <f t="shared" ca="1" si="179"/>
        <v>0</v>
      </c>
      <c r="M877">
        <f t="shared" ca="1" si="180"/>
        <v>3</v>
      </c>
      <c r="N877">
        <f t="shared" ca="1" si="181"/>
        <v>0</v>
      </c>
    </row>
    <row r="878" spans="1:14" x14ac:dyDescent="0.35">
      <c r="A878" t="s">
        <v>895</v>
      </c>
      <c r="B878" t="str">
        <f t="shared" si="169"/>
        <v>Control</v>
      </c>
      <c r="C878">
        <f t="shared" ca="1" si="170"/>
        <v>29</v>
      </c>
      <c r="D878" t="str">
        <f t="shared" ca="1" si="171"/>
        <v>Other</v>
      </c>
      <c r="E878" t="str">
        <f t="shared" ca="1" si="172"/>
        <v>Dresses</v>
      </c>
      <c r="F878">
        <f t="shared" ca="1" si="173"/>
        <v>3485</v>
      </c>
      <c r="G878">
        <f t="shared" ca="1" si="174"/>
        <v>10</v>
      </c>
      <c r="H878">
        <f t="shared" ca="1" si="175"/>
        <v>3136.5</v>
      </c>
      <c r="I878">
        <f t="shared" ca="1" si="176"/>
        <v>1</v>
      </c>
      <c r="J878">
        <f t="shared" ca="1" si="177"/>
        <v>1</v>
      </c>
      <c r="K878">
        <f t="shared" ca="1" si="178"/>
        <v>0</v>
      </c>
      <c r="L878">
        <f t="shared" ca="1" si="179"/>
        <v>0</v>
      </c>
      <c r="M878">
        <f t="shared" ca="1" si="180"/>
        <v>5</v>
      </c>
      <c r="N878">
        <f t="shared" ca="1" si="181"/>
        <v>0</v>
      </c>
    </row>
    <row r="879" spans="1:14" x14ac:dyDescent="0.35">
      <c r="A879" t="s">
        <v>896</v>
      </c>
      <c r="B879" t="str">
        <f t="shared" si="169"/>
        <v>Control</v>
      </c>
      <c r="C879">
        <f t="shared" ca="1" si="170"/>
        <v>18</v>
      </c>
      <c r="D879" t="str">
        <f t="shared" ca="1" si="171"/>
        <v>Female</v>
      </c>
      <c r="E879" t="str">
        <f t="shared" ca="1" si="172"/>
        <v>Sportswear</v>
      </c>
      <c r="F879">
        <f t="shared" ca="1" si="173"/>
        <v>4690</v>
      </c>
      <c r="G879">
        <f t="shared" ca="1" si="174"/>
        <v>10</v>
      </c>
      <c r="H879">
        <f t="shared" ca="1" si="175"/>
        <v>4221</v>
      </c>
      <c r="I879">
        <f t="shared" ca="1" si="176"/>
        <v>1</v>
      </c>
      <c r="J879">
        <f t="shared" ca="1" si="177"/>
        <v>1</v>
      </c>
      <c r="K879">
        <f t="shared" ca="1" si="178"/>
        <v>0</v>
      </c>
      <c r="L879">
        <f t="shared" ca="1" si="179"/>
        <v>0</v>
      </c>
      <c r="M879">
        <f t="shared" ca="1" si="180"/>
        <v>5</v>
      </c>
      <c r="N879">
        <f t="shared" ca="1" si="181"/>
        <v>0</v>
      </c>
    </row>
    <row r="880" spans="1:14" x14ac:dyDescent="0.35">
      <c r="A880" t="s">
        <v>897</v>
      </c>
      <c r="B880" t="str">
        <f t="shared" si="169"/>
        <v>Control</v>
      </c>
      <c r="C880">
        <f t="shared" ca="1" si="170"/>
        <v>18</v>
      </c>
      <c r="D880" t="str">
        <f t="shared" ca="1" si="171"/>
        <v>Female</v>
      </c>
      <c r="E880" t="str">
        <f t="shared" ca="1" si="172"/>
        <v>Tops</v>
      </c>
      <c r="F880">
        <f t="shared" ca="1" si="173"/>
        <v>4253</v>
      </c>
      <c r="G880">
        <f t="shared" ca="1" si="174"/>
        <v>10</v>
      </c>
      <c r="H880">
        <f t="shared" ca="1" si="175"/>
        <v>3827.7000000000003</v>
      </c>
      <c r="I880">
        <f t="shared" ca="1" si="176"/>
        <v>1</v>
      </c>
      <c r="J880">
        <f t="shared" ca="1" si="177"/>
        <v>0</v>
      </c>
      <c r="K880">
        <f t="shared" ca="1" si="178"/>
        <v>0</v>
      </c>
      <c r="L880">
        <f t="shared" ca="1" si="179"/>
        <v>0</v>
      </c>
      <c r="M880">
        <f t="shared" ca="1" si="180"/>
        <v>4</v>
      </c>
      <c r="N880">
        <f t="shared" ca="1" si="181"/>
        <v>0</v>
      </c>
    </row>
    <row r="881" spans="1:14" x14ac:dyDescent="0.35">
      <c r="A881" t="s">
        <v>898</v>
      </c>
      <c r="B881" t="str">
        <f t="shared" si="169"/>
        <v>Control</v>
      </c>
      <c r="C881">
        <f t="shared" ca="1" si="170"/>
        <v>26</v>
      </c>
      <c r="D881" t="str">
        <f t="shared" ca="1" si="171"/>
        <v>Male</v>
      </c>
      <c r="E881" t="str">
        <f t="shared" ca="1" si="172"/>
        <v>Sportswear</v>
      </c>
      <c r="F881">
        <f t="shared" ca="1" si="173"/>
        <v>4138</v>
      </c>
      <c r="G881">
        <f t="shared" ca="1" si="174"/>
        <v>10</v>
      </c>
      <c r="H881">
        <f t="shared" ca="1" si="175"/>
        <v>3724.2000000000003</v>
      </c>
      <c r="I881">
        <f t="shared" ca="1" si="176"/>
        <v>1</v>
      </c>
      <c r="J881">
        <f t="shared" ca="1" si="177"/>
        <v>0</v>
      </c>
      <c r="K881">
        <f t="shared" ca="1" si="178"/>
        <v>0</v>
      </c>
      <c r="L881">
        <f t="shared" ca="1" si="179"/>
        <v>0</v>
      </c>
      <c r="M881">
        <f t="shared" ca="1" si="180"/>
        <v>1</v>
      </c>
      <c r="N881">
        <f t="shared" ca="1" si="181"/>
        <v>0</v>
      </c>
    </row>
    <row r="882" spans="1:14" x14ac:dyDescent="0.35">
      <c r="A882" t="s">
        <v>899</v>
      </c>
      <c r="B882" t="str">
        <f t="shared" si="169"/>
        <v>Control</v>
      </c>
      <c r="C882">
        <f t="shared" ca="1" si="170"/>
        <v>20</v>
      </c>
      <c r="D882" t="str">
        <f t="shared" ca="1" si="171"/>
        <v>Female</v>
      </c>
      <c r="E882" t="str">
        <f t="shared" ca="1" si="172"/>
        <v>Jeans</v>
      </c>
      <c r="F882">
        <f t="shared" ca="1" si="173"/>
        <v>5110</v>
      </c>
      <c r="G882">
        <f t="shared" ca="1" si="174"/>
        <v>10</v>
      </c>
      <c r="H882">
        <f t="shared" ca="1" si="175"/>
        <v>4599</v>
      </c>
      <c r="I882">
        <f t="shared" ca="1" si="176"/>
        <v>1</v>
      </c>
      <c r="J882">
        <f t="shared" ca="1" si="177"/>
        <v>1</v>
      </c>
      <c r="K882">
        <f t="shared" ca="1" si="178"/>
        <v>0</v>
      </c>
      <c r="L882">
        <f t="shared" ca="1" si="179"/>
        <v>0</v>
      </c>
      <c r="M882">
        <f t="shared" ca="1" si="180"/>
        <v>6</v>
      </c>
      <c r="N882">
        <f t="shared" ca="1" si="181"/>
        <v>0</v>
      </c>
    </row>
    <row r="883" spans="1:14" x14ac:dyDescent="0.35">
      <c r="A883" t="s">
        <v>900</v>
      </c>
      <c r="B883" t="str">
        <f t="shared" si="169"/>
        <v>Control</v>
      </c>
      <c r="C883">
        <f t="shared" ca="1" si="170"/>
        <v>38</v>
      </c>
      <c r="D883" t="str">
        <f t="shared" ca="1" si="171"/>
        <v>Male</v>
      </c>
      <c r="E883" t="str">
        <f t="shared" ca="1" si="172"/>
        <v>Accessories</v>
      </c>
      <c r="F883">
        <f t="shared" ca="1" si="173"/>
        <v>2787</v>
      </c>
      <c r="G883">
        <f t="shared" ca="1" si="174"/>
        <v>10</v>
      </c>
      <c r="H883">
        <f t="shared" ca="1" si="175"/>
        <v>2508.3000000000002</v>
      </c>
      <c r="I883">
        <f t="shared" ca="1" si="176"/>
        <v>1</v>
      </c>
      <c r="J883">
        <f t="shared" ca="1" si="177"/>
        <v>0</v>
      </c>
      <c r="K883">
        <f t="shared" ca="1" si="178"/>
        <v>0</v>
      </c>
      <c r="L883">
        <f t="shared" ca="1" si="179"/>
        <v>0</v>
      </c>
      <c r="M883">
        <f t="shared" ca="1" si="180"/>
        <v>7</v>
      </c>
      <c r="N883">
        <f t="shared" ca="1" si="181"/>
        <v>0</v>
      </c>
    </row>
    <row r="884" spans="1:14" x14ac:dyDescent="0.35">
      <c r="A884" t="s">
        <v>901</v>
      </c>
      <c r="B884" t="str">
        <f t="shared" si="169"/>
        <v>Control</v>
      </c>
      <c r="C884">
        <f t="shared" ca="1" si="170"/>
        <v>21</v>
      </c>
      <c r="D884" t="str">
        <f t="shared" ca="1" si="171"/>
        <v>Male</v>
      </c>
      <c r="E884" t="str">
        <f t="shared" ca="1" si="172"/>
        <v>T-shirts</v>
      </c>
      <c r="F884">
        <f t="shared" ca="1" si="173"/>
        <v>4751</v>
      </c>
      <c r="G884">
        <f t="shared" ca="1" si="174"/>
        <v>10</v>
      </c>
      <c r="H884">
        <f t="shared" ca="1" si="175"/>
        <v>4275.9000000000005</v>
      </c>
      <c r="I884">
        <f t="shared" ca="1" si="176"/>
        <v>1</v>
      </c>
      <c r="J884">
        <f t="shared" ca="1" si="177"/>
        <v>0</v>
      </c>
      <c r="K884">
        <f t="shared" ca="1" si="178"/>
        <v>0</v>
      </c>
      <c r="L884">
        <f t="shared" ca="1" si="179"/>
        <v>0</v>
      </c>
      <c r="M884">
        <f t="shared" ca="1" si="180"/>
        <v>1</v>
      </c>
      <c r="N884">
        <f t="shared" ca="1" si="181"/>
        <v>0</v>
      </c>
    </row>
    <row r="885" spans="1:14" x14ac:dyDescent="0.35">
      <c r="A885" t="s">
        <v>902</v>
      </c>
      <c r="B885" t="str">
        <f t="shared" si="169"/>
        <v>Control</v>
      </c>
      <c r="C885">
        <f t="shared" ca="1" si="170"/>
        <v>42</v>
      </c>
      <c r="D885" t="str">
        <f t="shared" ca="1" si="171"/>
        <v>Female</v>
      </c>
      <c r="E885" t="str">
        <f t="shared" ca="1" si="172"/>
        <v>Tops</v>
      </c>
      <c r="F885">
        <f t="shared" ca="1" si="173"/>
        <v>375</v>
      </c>
      <c r="G885">
        <f t="shared" ca="1" si="174"/>
        <v>10</v>
      </c>
      <c r="H885">
        <f t="shared" ca="1" si="175"/>
        <v>337.5</v>
      </c>
      <c r="I885">
        <f t="shared" ca="1" si="176"/>
        <v>1</v>
      </c>
      <c r="J885">
        <f t="shared" ca="1" si="177"/>
        <v>0</v>
      </c>
      <c r="K885">
        <f t="shared" ca="1" si="178"/>
        <v>0</v>
      </c>
      <c r="L885">
        <f t="shared" ca="1" si="179"/>
        <v>0</v>
      </c>
      <c r="M885">
        <f t="shared" ca="1" si="180"/>
        <v>6</v>
      </c>
      <c r="N885">
        <f t="shared" ca="1" si="181"/>
        <v>0</v>
      </c>
    </row>
    <row r="886" spans="1:14" x14ac:dyDescent="0.35">
      <c r="A886" t="s">
        <v>903</v>
      </c>
      <c r="B886" t="str">
        <f t="shared" si="169"/>
        <v>Control</v>
      </c>
      <c r="C886">
        <f t="shared" ca="1" si="170"/>
        <v>45</v>
      </c>
      <c r="D886" t="str">
        <f t="shared" ca="1" si="171"/>
        <v>Female</v>
      </c>
      <c r="E886" t="str">
        <f t="shared" ca="1" si="172"/>
        <v>Tops</v>
      </c>
      <c r="F886">
        <f t="shared" ca="1" si="173"/>
        <v>2861</v>
      </c>
      <c r="G886">
        <f t="shared" ca="1" si="174"/>
        <v>10</v>
      </c>
      <c r="H886">
        <f t="shared" ca="1" si="175"/>
        <v>2574.9</v>
      </c>
      <c r="I886">
        <f t="shared" ca="1" si="176"/>
        <v>1</v>
      </c>
      <c r="J886">
        <f t="shared" ca="1" si="177"/>
        <v>1</v>
      </c>
      <c r="K886">
        <f t="shared" ca="1" si="178"/>
        <v>1</v>
      </c>
      <c r="L886">
        <f t="shared" ca="1" si="179"/>
        <v>2574.9</v>
      </c>
      <c r="M886">
        <f t="shared" ca="1" si="180"/>
        <v>2</v>
      </c>
      <c r="N886">
        <f t="shared" ca="1" si="181"/>
        <v>0</v>
      </c>
    </row>
    <row r="887" spans="1:14" x14ac:dyDescent="0.35">
      <c r="A887" t="s">
        <v>904</v>
      </c>
      <c r="B887" t="str">
        <f t="shared" si="169"/>
        <v>Control</v>
      </c>
      <c r="C887">
        <f t="shared" ca="1" si="170"/>
        <v>18</v>
      </c>
      <c r="D887" t="str">
        <f t="shared" ca="1" si="171"/>
        <v>Other</v>
      </c>
      <c r="E887" t="str">
        <f t="shared" ca="1" si="172"/>
        <v>T-shirts</v>
      </c>
      <c r="F887">
        <f t="shared" ca="1" si="173"/>
        <v>4665</v>
      </c>
      <c r="G887">
        <f t="shared" ca="1" si="174"/>
        <v>10</v>
      </c>
      <c r="H887">
        <f t="shared" ca="1" si="175"/>
        <v>4198.5</v>
      </c>
      <c r="I887">
        <f t="shared" ca="1" si="176"/>
        <v>0</v>
      </c>
      <c r="J887">
        <f t="shared" ca="1" si="177"/>
        <v>0</v>
      </c>
      <c r="K887">
        <f t="shared" ca="1" si="178"/>
        <v>0</v>
      </c>
      <c r="L887">
        <f t="shared" ca="1" si="179"/>
        <v>0</v>
      </c>
      <c r="M887">
        <f t="shared" ca="1" si="180"/>
        <v>2</v>
      </c>
      <c r="N887">
        <f t="shared" ca="1" si="181"/>
        <v>0</v>
      </c>
    </row>
    <row r="888" spans="1:14" x14ac:dyDescent="0.35">
      <c r="A888" t="s">
        <v>905</v>
      </c>
      <c r="B888" t="str">
        <f t="shared" si="169"/>
        <v>Control</v>
      </c>
      <c r="C888">
        <f t="shared" ca="1" si="170"/>
        <v>39</v>
      </c>
      <c r="D888" t="str">
        <f t="shared" ca="1" si="171"/>
        <v>Female</v>
      </c>
      <c r="E888" t="str">
        <f t="shared" ca="1" si="172"/>
        <v>T-shirts</v>
      </c>
      <c r="F888">
        <f t="shared" ca="1" si="173"/>
        <v>3289</v>
      </c>
      <c r="G888">
        <f t="shared" ca="1" si="174"/>
        <v>10</v>
      </c>
      <c r="H888">
        <f t="shared" ca="1" si="175"/>
        <v>2960.1</v>
      </c>
      <c r="I888">
        <f t="shared" ca="1" si="176"/>
        <v>0</v>
      </c>
      <c r="J888">
        <f t="shared" ca="1" si="177"/>
        <v>0</v>
      </c>
      <c r="K888">
        <f t="shared" ca="1" si="178"/>
        <v>0</v>
      </c>
      <c r="L888">
        <f t="shared" ca="1" si="179"/>
        <v>0</v>
      </c>
      <c r="M888">
        <f t="shared" ca="1" si="180"/>
        <v>3</v>
      </c>
      <c r="N888">
        <f t="shared" ca="1" si="181"/>
        <v>0</v>
      </c>
    </row>
    <row r="889" spans="1:14" x14ac:dyDescent="0.35">
      <c r="A889" t="s">
        <v>906</v>
      </c>
      <c r="B889" t="str">
        <f t="shared" si="169"/>
        <v>Control</v>
      </c>
      <c r="C889">
        <f t="shared" ca="1" si="170"/>
        <v>18</v>
      </c>
      <c r="D889" t="str">
        <f t="shared" ca="1" si="171"/>
        <v>Female</v>
      </c>
      <c r="E889" t="str">
        <f t="shared" ca="1" si="172"/>
        <v>Jeans</v>
      </c>
      <c r="F889">
        <f t="shared" ca="1" si="173"/>
        <v>4827</v>
      </c>
      <c r="G889">
        <f t="shared" ca="1" si="174"/>
        <v>10</v>
      </c>
      <c r="H889">
        <f t="shared" ca="1" si="175"/>
        <v>4344.3</v>
      </c>
      <c r="I889">
        <f t="shared" ca="1" si="176"/>
        <v>0</v>
      </c>
      <c r="J889">
        <f t="shared" ca="1" si="177"/>
        <v>0</v>
      </c>
      <c r="K889">
        <f t="shared" ca="1" si="178"/>
        <v>0</v>
      </c>
      <c r="L889">
        <f t="shared" ca="1" si="179"/>
        <v>0</v>
      </c>
      <c r="M889">
        <f t="shared" ca="1" si="180"/>
        <v>1</v>
      </c>
      <c r="N889">
        <f t="shared" ca="1" si="181"/>
        <v>0</v>
      </c>
    </row>
    <row r="890" spans="1:14" x14ac:dyDescent="0.35">
      <c r="A890" t="s">
        <v>907</v>
      </c>
      <c r="B890" t="str">
        <f t="shared" si="169"/>
        <v>Control</v>
      </c>
      <c r="C890">
        <f t="shared" ca="1" si="170"/>
        <v>37</v>
      </c>
      <c r="D890" t="str">
        <f t="shared" ca="1" si="171"/>
        <v>Other</v>
      </c>
      <c r="E890" t="str">
        <f t="shared" ca="1" si="172"/>
        <v>Accessories</v>
      </c>
      <c r="F890">
        <f t="shared" ca="1" si="173"/>
        <v>4801</v>
      </c>
      <c r="G890">
        <f t="shared" ca="1" si="174"/>
        <v>10</v>
      </c>
      <c r="H890">
        <f t="shared" ca="1" si="175"/>
        <v>4320.9000000000005</v>
      </c>
      <c r="I890">
        <f t="shared" ca="1" si="176"/>
        <v>1</v>
      </c>
      <c r="J890">
        <f t="shared" ca="1" si="177"/>
        <v>0</v>
      </c>
      <c r="K890">
        <f t="shared" ca="1" si="178"/>
        <v>0</v>
      </c>
      <c r="L890">
        <f t="shared" ca="1" si="179"/>
        <v>0</v>
      </c>
      <c r="M890">
        <f t="shared" ca="1" si="180"/>
        <v>5</v>
      </c>
      <c r="N890">
        <f t="shared" ca="1" si="181"/>
        <v>0</v>
      </c>
    </row>
    <row r="891" spans="1:14" x14ac:dyDescent="0.35">
      <c r="A891" t="s">
        <v>908</v>
      </c>
      <c r="B891" t="str">
        <f t="shared" si="169"/>
        <v>Control</v>
      </c>
      <c r="C891">
        <f t="shared" ca="1" si="170"/>
        <v>25</v>
      </c>
      <c r="D891" t="str">
        <f t="shared" ca="1" si="171"/>
        <v>Female</v>
      </c>
      <c r="E891" t="str">
        <f t="shared" ca="1" si="172"/>
        <v>Accessories</v>
      </c>
      <c r="F891">
        <f t="shared" ca="1" si="173"/>
        <v>3140</v>
      </c>
      <c r="G891">
        <f t="shared" ca="1" si="174"/>
        <v>10</v>
      </c>
      <c r="H891">
        <f t="shared" ca="1" si="175"/>
        <v>2826</v>
      </c>
      <c r="I891">
        <f t="shared" ca="1" si="176"/>
        <v>1</v>
      </c>
      <c r="J891">
        <f t="shared" ca="1" si="177"/>
        <v>0</v>
      </c>
      <c r="K891">
        <f t="shared" ca="1" si="178"/>
        <v>0</v>
      </c>
      <c r="L891">
        <f t="shared" ca="1" si="179"/>
        <v>0</v>
      </c>
      <c r="M891">
        <f t="shared" ca="1" si="180"/>
        <v>2</v>
      </c>
      <c r="N891">
        <f t="shared" ca="1" si="181"/>
        <v>0</v>
      </c>
    </row>
    <row r="892" spans="1:14" x14ac:dyDescent="0.35">
      <c r="A892" t="s">
        <v>909</v>
      </c>
      <c r="B892" t="str">
        <f t="shared" si="169"/>
        <v>Control</v>
      </c>
      <c r="C892">
        <f t="shared" ca="1" si="170"/>
        <v>27</v>
      </c>
      <c r="D892" t="str">
        <f t="shared" ca="1" si="171"/>
        <v>Female</v>
      </c>
      <c r="E892" t="str">
        <f t="shared" ca="1" si="172"/>
        <v>Accessories</v>
      </c>
      <c r="F892">
        <f t="shared" ca="1" si="173"/>
        <v>2710</v>
      </c>
      <c r="G892">
        <f t="shared" ca="1" si="174"/>
        <v>10</v>
      </c>
      <c r="H892">
        <f t="shared" ca="1" si="175"/>
        <v>2439</v>
      </c>
      <c r="I892">
        <f t="shared" ca="1" si="176"/>
        <v>0</v>
      </c>
      <c r="J892">
        <f t="shared" ca="1" si="177"/>
        <v>0</v>
      </c>
      <c r="K892">
        <f t="shared" ca="1" si="178"/>
        <v>0</v>
      </c>
      <c r="L892">
        <f t="shared" ca="1" si="179"/>
        <v>0</v>
      </c>
      <c r="M892">
        <f t="shared" ca="1" si="180"/>
        <v>4</v>
      </c>
      <c r="N892">
        <f t="shared" ca="1" si="181"/>
        <v>0</v>
      </c>
    </row>
    <row r="893" spans="1:14" x14ac:dyDescent="0.35">
      <c r="A893" t="s">
        <v>910</v>
      </c>
      <c r="B893" t="str">
        <f t="shared" si="169"/>
        <v>Control</v>
      </c>
      <c r="C893">
        <f t="shared" ca="1" si="170"/>
        <v>33</v>
      </c>
      <c r="D893" t="str">
        <f t="shared" ca="1" si="171"/>
        <v>Female</v>
      </c>
      <c r="E893" t="str">
        <f t="shared" ca="1" si="172"/>
        <v>Ethnic Wear</v>
      </c>
      <c r="F893">
        <f t="shared" ca="1" si="173"/>
        <v>1198</v>
      </c>
      <c r="G893">
        <f t="shared" ca="1" si="174"/>
        <v>10</v>
      </c>
      <c r="H893">
        <f t="shared" ca="1" si="175"/>
        <v>1078.2</v>
      </c>
      <c r="I893">
        <f t="shared" ca="1" si="176"/>
        <v>1</v>
      </c>
      <c r="J893">
        <f t="shared" ca="1" si="177"/>
        <v>0</v>
      </c>
      <c r="K893">
        <f t="shared" ca="1" si="178"/>
        <v>0</v>
      </c>
      <c r="L893">
        <f t="shared" ca="1" si="179"/>
        <v>0</v>
      </c>
      <c r="M893">
        <f t="shared" ca="1" si="180"/>
        <v>5</v>
      </c>
      <c r="N893">
        <f t="shared" ca="1" si="181"/>
        <v>0</v>
      </c>
    </row>
    <row r="894" spans="1:14" x14ac:dyDescent="0.35">
      <c r="A894" t="s">
        <v>911</v>
      </c>
      <c r="B894" t="str">
        <f t="shared" si="169"/>
        <v>Control</v>
      </c>
      <c r="C894">
        <f t="shared" ca="1" si="170"/>
        <v>22</v>
      </c>
      <c r="D894" t="str">
        <f t="shared" ca="1" si="171"/>
        <v>Male</v>
      </c>
      <c r="E894" t="str">
        <f t="shared" ca="1" si="172"/>
        <v>Ethnic Wear</v>
      </c>
      <c r="F894">
        <f t="shared" ca="1" si="173"/>
        <v>1848</v>
      </c>
      <c r="G894">
        <f t="shared" ca="1" si="174"/>
        <v>10</v>
      </c>
      <c r="H894">
        <f t="shared" ca="1" si="175"/>
        <v>1663.2</v>
      </c>
      <c r="I894">
        <f t="shared" ca="1" si="176"/>
        <v>1</v>
      </c>
      <c r="J894">
        <f t="shared" ca="1" si="177"/>
        <v>0</v>
      </c>
      <c r="K894">
        <f t="shared" ca="1" si="178"/>
        <v>0</v>
      </c>
      <c r="L894">
        <f t="shared" ca="1" si="179"/>
        <v>0</v>
      </c>
      <c r="M894">
        <f t="shared" ca="1" si="180"/>
        <v>4</v>
      </c>
      <c r="N894">
        <f t="shared" ca="1" si="181"/>
        <v>0</v>
      </c>
    </row>
    <row r="895" spans="1:14" x14ac:dyDescent="0.35">
      <c r="A895" t="s">
        <v>912</v>
      </c>
      <c r="B895" t="str">
        <f t="shared" si="169"/>
        <v>Control</v>
      </c>
      <c r="C895">
        <f t="shared" ca="1" si="170"/>
        <v>29</v>
      </c>
      <c r="D895" t="str">
        <f t="shared" ca="1" si="171"/>
        <v>Female</v>
      </c>
      <c r="E895" t="str">
        <f t="shared" ca="1" si="172"/>
        <v>Tops</v>
      </c>
      <c r="F895">
        <f t="shared" ca="1" si="173"/>
        <v>6784</v>
      </c>
      <c r="G895">
        <f t="shared" ca="1" si="174"/>
        <v>10</v>
      </c>
      <c r="H895">
        <f t="shared" ca="1" si="175"/>
        <v>6105.6</v>
      </c>
      <c r="I895">
        <f t="shared" ca="1" si="176"/>
        <v>1</v>
      </c>
      <c r="J895">
        <f t="shared" ca="1" si="177"/>
        <v>0</v>
      </c>
      <c r="K895">
        <f t="shared" ca="1" si="178"/>
        <v>0</v>
      </c>
      <c r="L895">
        <f t="shared" ca="1" si="179"/>
        <v>0</v>
      </c>
      <c r="M895">
        <f t="shared" ca="1" si="180"/>
        <v>5</v>
      </c>
      <c r="N895">
        <f t="shared" ca="1" si="181"/>
        <v>0</v>
      </c>
    </row>
    <row r="896" spans="1:14" x14ac:dyDescent="0.35">
      <c r="A896" t="s">
        <v>913</v>
      </c>
      <c r="B896" t="str">
        <f t="shared" si="169"/>
        <v>Control</v>
      </c>
      <c r="C896">
        <f t="shared" ca="1" si="170"/>
        <v>30</v>
      </c>
      <c r="D896" t="str">
        <f t="shared" ca="1" si="171"/>
        <v>Female</v>
      </c>
      <c r="E896" t="str">
        <f t="shared" ca="1" si="172"/>
        <v>Tops</v>
      </c>
      <c r="F896">
        <f t="shared" ca="1" si="173"/>
        <v>1865</v>
      </c>
      <c r="G896">
        <f t="shared" ca="1" si="174"/>
        <v>10</v>
      </c>
      <c r="H896">
        <f t="shared" ca="1" si="175"/>
        <v>1678.5</v>
      </c>
      <c r="I896">
        <f t="shared" ca="1" si="176"/>
        <v>1</v>
      </c>
      <c r="J896">
        <f t="shared" ca="1" si="177"/>
        <v>1</v>
      </c>
      <c r="K896">
        <f t="shared" ca="1" si="178"/>
        <v>1</v>
      </c>
      <c r="L896">
        <f t="shared" ca="1" si="179"/>
        <v>1678.5</v>
      </c>
      <c r="M896">
        <f t="shared" ca="1" si="180"/>
        <v>7</v>
      </c>
      <c r="N896">
        <f t="shared" ca="1" si="181"/>
        <v>0</v>
      </c>
    </row>
    <row r="897" spans="1:14" x14ac:dyDescent="0.35">
      <c r="A897" t="s">
        <v>914</v>
      </c>
      <c r="B897" t="str">
        <f t="shared" si="169"/>
        <v>Control</v>
      </c>
      <c r="C897">
        <f t="shared" ca="1" si="170"/>
        <v>38</v>
      </c>
      <c r="D897" t="str">
        <f t="shared" ca="1" si="171"/>
        <v>Female</v>
      </c>
      <c r="E897" t="str">
        <f t="shared" ca="1" si="172"/>
        <v>Sportswear</v>
      </c>
      <c r="F897">
        <f t="shared" ca="1" si="173"/>
        <v>7048</v>
      </c>
      <c r="G897">
        <f t="shared" ca="1" si="174"/>
        <v>10</v>
      </c>
      <c r="H897">
        <f t="shared" ca="1" si="175"/>
        <v>6343.2</v>
      </c>
      <c r="I897">
        <f t="shared" ca="1" si="176"/>
        <v>1</v>
      </c>
      <c r="J897">
        <f t="shared" ca="1" si="177"/>
        <v>1</v>
      </c>
      <c r="K897">
        <f t="shared" ca="1" si="178"/>
        <v>0</v>
      </c>
      <c r="L897">
        <f t="shared" ca="1" si="179"/>
        <v>0</v>
      </c>
      <c r="M897">
        <f t="shared" ca="1" si="180"/>
        <v>5</v>
      </c>
      <c r="N897">
        <f t="shared" ca="1" si="181"/>
        <v>0</v>
      </c>
    </row>
    <row r="898" spans="1:14" x14ac:dyDescent="0.35">
      <c r="A898" t="s">
        <v>915</v>
      </c>
      <c r="B898" t="str">
        <f t="shared" si="169"/>
        <v>Control</v>
      </c>
      <c r="C898">
        <f t="shared" ca="1" si="170"/>
        <v>43</v>
      </c>
      <c r="D898" t="str">
        <f t="shared" ca="1" si="171"/>
        <v>Female</v>
      </c>
      <c r="E898" t="str">
        <f t="shared" ca="1" si="172"/>
        <v>Ethnic Wear</v>
      </c>
      <c r="F898">
        <f t="shared" ca="1" si="173"/>
        <v>307</v>
      </c>
      <c r="G898">
        <f t="shared" ca="1" si="174"/>
        <v>10</v>
      </c>
      <c r="H898">
        <f t="shared" ca="1" si="175"/>
        <v>276.3</v>
      </c>
      <c r="I898">
        <f t="shared" ca="1" si="176"/>
        <v>0</v>
      </c>
      <c r="J898">
        <f t="shared" ca="1" si="177"/>
        <v>0</v>
      </c>
      <c r="K898">
        <f t="shared" ca="1" si="178"/>
        <v>0</v>
      </c>
      <c r="L898">
        <f t="shared" ca="1" si="179"/>
        <v>0</v>
      </c>
      <c r="M898">
        <f t="shared" ca="1" si="180"/>
        <v>2</v>
      </c>
      <c r="N898">
        <f t="shared" ca="1" si="181"/>
        <v>0</v>
      </c>
    </row>
    <row r="899" spans="1:14" x14ac:dyDescent="0.35">
      <c r="A899" t="s">
        <v>916</v>
      </c>
      <c r="B899" t="str">
        <f t="shared" si="169"/>
        <v>Control</v>
      </c>
      <c r="C899">
        <f t="shared" ca="1" si="170"/>
        <v>44</v>
      </c>
      <c r="D899" t="str">
        <f t="shared" ca="1" si="171"/>
        <v>Female</v>
      </c>
      <c r="E899" t="str">
        <f t="shared" ca="1" si="172"/>
        <v>Dresses</v>
      </c>
      <c r="F899">
        <f t="shared" ca="1" si="173"/>
        <v>7504</v>
      </c>
      <c r="G899">
        <f t="shared" ca="1" si="174"/>
        <v>10</v>
      </c>
      <c r="H899">
        <f t="shared" ca="1" si="175"/>
        <v>6753.6</v>
      </c>
      <c r="I899">
        <f t="shared" ca="1" si="176"/>
        <v>1</v>
      </c>
      <c r="J899">
        <f t="shared" ca="1" si="177"/>
        <v>1</v>
      </c>
      <c r="K899">
        <f t="shared" ca="1" si="178"/>
        <v>1</v>
      </c>
      <c r="L899">
        <f t="shared" ca="1" si="179"/>
        <v>6753.6</v>
      </c>
      <c r="M899">
        <f t="shared" ca="1" si="180"/>
        <v>6</v>
      </c>
      <c r="N899">
        <f t="shared" ca="1" si="181"/>
        <v>0</v>
      </c>
    </row>
    <row r="900" spans="1:14" x14ac:dyDescent="0.35">
      <c r="A900" t="s">
        <v>917</v>
      </c>
      <c r="B900" t="str">
        <f t="shared" si="169"/>
        <v>Control</v>
      </c>
      <c r="C900">
        <f t="shared" ca="1" si="170"/>
        <v>36</v>
      </c>
      <c r="D900" t="str">
        <f t="shared" ca="1" si="171"/>
        <v>Female</v>
      </c>
      <c r="E900" t="str">
        <f t="shared" ca="1" si="172"/>
        <v>Shoes</v>
      </c>
      <c r="F900">
        <f t="shared" ca="1" si="173"/>
        <v>857</v>
      </c>
      <c r="G900">
        <f t="shared" ca="1" si="174"/>
        <v>10</v>
      </c>
      <c r="H900">
        <f t="shared" ca="1" si="175"/>
        <v>771.30000000000007</v>
      </c>
      <c r="I900">
        <f t="shared" ca="1" si="176"/>
        <v>0</v>
      </c>
      <c r="J900">
        <f t="shared" ca="1" si="177"/>
        <v>0</v>
      </c>
      <c r="K900">
        <f t="shared" ca="1" si="178"/>
        <v>0</v>
      </c>
      <c r="L900">
        <f t="shared" ca="1" si="179"/>
        <v>0</v>
      </c>
      <c r="M900">
        <f t="shared" ca="1" si="180"/>
        <v>7</v>
      </c>
      <c r="N900">
        <f t="shared" ca="1" si="181"/>
        <v>0</v>
      </c>
    </row>
    <row r="901" spans="1:14" x14ac:dyDescent="0.35">
      <c r="A901" t="s">
        <v>918</v>
      </c>
      <c r="B901" t="str">
        <f t="shared" ref="B901:B964" si="182">IF(ROW()&lt;=1001,"Control","Test")</f>
        <v>Control</v>
      </c>
      <c r="C901">
        <f t="shared" ref="C901:C964" ca="1" si="183">RANDBETWEEN(18,45)</f>
        <v>45</v>
      </c>
      <c r="D901" t="str">
        <f t="shared" ref="D901:D964" ca="1" si="184">CHOOSE(RANDBETWEEN(1,20),"Female","Female","Female","Female","Female","Female","Female","Female","Female","Female","Male","Male","Male","Male","Male","Male","Male","Male","Other","Other")</f>
        <v>Other</v>
      </c>
      <c r="E901" t="str">
        <f t="shared" ref="E901:E964" ca="1" si="185">CHOOSE(RANDBETWEEN(1,8),"T-shirts","Dresses","Jeans","Shoes","Ethnic Wear","Tops","Sportswear","Accessories")</f>
        <v>Ethnic Wear</v>
      </c>
      <c r="F901">
        <f t="shared" ref="F901:F964" ca="1" si="186">RANDBETWEEN(300,8000)</f>
        <v>780</v>
      </c>
      <c r="G901">
        <f t="shared" ref="G901:G964" ca="1" si="187">IF(B901="Control",10,CHOOSE(RANDBETWEEN(1,3),15,20,25))</f>
        <v>10</v>
      </c>
      <c r="H901">
        <f t="shared" ref="H901:H964" ca="1" si="188">F901*(1-G901/100)</f>
        <v>702</v>
      </c>
      <c r="I901">
        <f t="shared" ref="I901:I964" ca="1" si="189">IF(RAND()&lt;0.85,1,0)</f>
        <v>1</v>
      </c>
      <c r="J901">
        <f t="shared" ref="J901:J964" ca="1" si="190">IF(I901=1,IF(RAND()&lt;0.55,1,0),0)</f>
        <v>1</v>
      </c>
      <c r="K901">
        <f t="shared" ref="K901:K964" ca="1" si="191">IF(J901=1,IF(B901="Test",IF(RAND()&lt;0.4,1,0),IF(RAND()&lt;0.34,1,0)),0)</f>
        <v>0</v>
      </c>
      <c r="L901">
        <f t="shared" ref="L901:L964" ca="1" si="192">IF(K901=1,H901,0)</f>
        <v>0</v>
      </c>
      <c r="M901">
        <f t="shared" ref="M901:M964" ca="1" si="193">RANDBETWEEN(1,7)</f>
        <v>2</v>
      </c>
      <c r="N901">
        <f t="shared" ref="N901:N964" ca="1" si="194">IF(K901=1,IF(RAND()&lt;0.15,1,0),0)</f>
        <v>0</v>
      </c>
    </row>
    <row r="902" spans="1:14" x14ac:dyDescent="0.35">
      <c r="A902" t="s">
        <v>919</v>
      </c>
      <c r="B902" t="str">
        <f t="shared" si="182"/>
        <v>Control</v>
      </c>
      <c r="C902">
        <f t="shared" ca="1" si="183"/>
        <v>33</v>
      </c>
      <c r="D902" t="str">
        <f t="shared" ca="1" si="184"/>
        <v>Male</v>
      </c>
      <c r="E902" t="str">
        <f t="shared" ca="1" si="185"/>
        <v>Jeans</v>
      </c>
      <c r="F902">
        <f t="shared" ca="1" si="186"/>
        <v>732</v>
      </c>
      <c r="G902">
        <f t="shared" ca="1" si="187"/>
        <v>10</v>
      </c>
      <c r="H902">
        <f t="shared" ca="1" si="188"/>
        <v>658.80000000000007</v>
      </c>
      <c r="I902">
        <f t="shared" ca="1" si="189"/>
        <v>1</v>
      </c>
      <c r="J902">
        <f t="shared" ca="1" si="190"/>
        <v>0</v>
      </c>
      <c r="K902">
        <f t="shared" ca="1" si="191"/>
        <v>0</v>
      </c>
      <c r="L902">
        <f t="shared" ca="1" si="192"/>
        <v>0</v>
      </c>
      <c r="M902">
        <f t="shared" ca="1" si="193"/>
        <v>4</v>
      </c>
      <c r="N902">
        <f t="shared" ca="1" si="194"/>
        <v>0</v>
      </c>
    </row>
    <row r="903" spans="1:14" x14ac:dyDescent="0.35">
      <c r="A903" t="s">
        <v>920</v>
      </c>
      <c r="B903" t="str">
        <f t="shared" si="182"/>
        <v>Control</v>
      </c>
      <c r="C903">
        <f t="shared" ca="1" si="183"/>
        <v>18</v>
      </c>
      <c r="D903" t="str">
        <f t="shared" ca="1" si="184"/>
        <v>Female</v>
      </c>
      <c r="E903" t="str">
        <f t="shared" ca="1" si="185"/>
        <v>Ethnic Wear</v>
      </c>
      <c r="F903">
        <f t="shared" ca="1" si="186"/>
        <v>4278</v>
      </c>
      <c r="G903">
        <f t="shared" ca="1" si="187"/>
        <v>10</v>
      </c>
      <c r="H903">
        <f t="shared" ca="1" si="188"/>
        <v>3850.2000000000003</v>
      </c>
      <c r="I903">
        <f t="shared" ca="1" si="189"/>
        <v>1</v>
      </c>
      <c r="J903">
        <f t="shared" ca="1" si="190"/>
        <v>0</v>
      </c>
      <c r="K903">
        <f t="shared" ca="1" si="191"/>
        <v>0</v>
      </c>
      <c r="L903">
        <f t="shared" ca="1" si="192"/>
        <v>0</v>
      </c>
      <c r="M903">
        <f t="shared" ca="1" si="193"/>
        <v>3</v>
      </c>
      <c r="N903">
        <f t="shared" ca="1" si="194"/>
        <v>0</v>
      </c>
    </row>
    <row r="904" spans="1:14" x14ac:dyDescent="0.35">
      <c r="A904" t="s">
        <v>921</v>
      </c>
      <c r="B904" t="str">
        <f t="shared" si="182"/>
        <v>Control</v>
      </c>
      <c r="C904">
        <f t="shared" ca="1" si="183"/>
        <v>23</v>
      </c>
      <c r="D904" t="str">
        <f t="shared" ca="1" si="184"/>
        <v>Male</v>
      </c>
      <c r="E904" t="str">
        <f t="shared" ca="1" si="185"/>
        <v>Tops</v>
      </c>
      <c r="F904">
        <f t="shared" ca="1" si="186"/>
        <v>5103</v>
      </c>
      <c r="G904">
        <f t="shared" ca="1" si="187"/>
        <v>10</v>
      </c>
      <c r="H904">
        <f t="shared" ca="1" si="188"/>
        <v>4592.7</v>
      </c>
      <c r="I904">
        <f t="shared" ca="1" si="189"/>
        <v>1</v>
      </c>
      <c r="J904">
        <f t="shared" ca="1" si="190"/>
        <v>1</v>
      </c>
      <c r="K904">
        <f t="shared" ca="1" si="191"/>
        <v>1</v>
      </c>
      <c r="L904">
        <f t="shared" ca="1" si="192"/>
        <v>4592.7</v>
      </c>
      <c r="M904">
        <f t="shared" ca="1" si="193"/>
        <v>3</v>
      </c>
      <c r="N904">
        <f t="shared" ca="1" si="194"/>
        <v>0</v>
      </c>
    </row>
    <row r="905" spans="1:14" x14ac:dyDescent="0.35">
      <c r="A905" t="s">
        <v>922</v>
      </c>
      <c r="B905" t="str">
        <f t="shared" si="182"/>
        <v>Control</v>
      </c>
      <c r="C905">
        <f t="shared" ca="1" si="183"/>
        <v>31</v>
      </c>
      <c r="D905" t="str">
        <f t="shared" ca="1" si="184"/>
        <v>Female</v>
      </c>
      <c r="E905" t="str">
        <f t="shared" ca="1" si="185"/>
        <v>Sportswear</v>
      </c>
      <c r="F905">
        <f t="shared" ca="1" si="186"/>
        <v>2874</v>
      </c>
      <c r="G905">
        <f t="shared" ca="1" si="187"/>
        <v>10</v>
      </c>
      <c r="H905">
        <f t="shared" ca="1" si="188"/>
        <v>2586.6</v>
      </c>
      <c r="I905">
        <f t="shared" ca="1" si="189"/>
        <v>1</v>
      </c>
      <c r="J905">
        <f t="shared" ca="1" si="190"/>
        <v>1</v>
      </c>
      <c r="K905">
        <f t="shared" ca="1" si="191"/>
        <v>1</v>
      </c>
      <c r="L905">
        <f t="shared" ca="1" si="192"/>
        <v>2586.6</v>
      </c>
      <c r="M905">
        <f t="shared" ca="1" si="193"/>
        <v>2</v>
      </c>
      <c r="N905">
        <f t="shared" ca="1" si="194"/>
        <v>0</v>
      </c>
    </row>
    <row r="906" spans="1:14" x14ac:dyDescent="0.35">
      <c r="A906" t="s">
        <v>923</v>
      </c>
      <c r="B906" t="str">
        <f t="shared" si="182"/>
        <v>Control</v>
      </c>
      <c r="C906">
        <f t="shared" ca="1" si="183"/>
        <v>35</v>
      </c>
      <c r="D906" t="str">
        <f t="shared" ca="1" si="184"/>
        <v>Female</v>
      </c>
      <c r="E906" t="str">
        <f t="shared" ca="1" si="185"/>
        <v>Jeans</v>
      </c>
      <c r="F906">
        <f t="shared" ca="1" si="186"/>
        <v>4251</v>
      </c>
      <c r="G906">
        <f t="shared" ca="1" si="187"/>
        <v>10</v>
      </c>
      <c r="H906">
        <f t="shared" ca="1" si="188"/>
        <v>3825.9</v>
      </c>
      <c r="I906">
        <f t="shared" ca="1" si="189"/>
        <v>0</v>
      </c>
      <c r="J906">
        <f t="shared" ca="1" si="190"/>
        <v>0</v>
      </c>
      <c r="K906">
        <f t="shared" ca="1" si="191"/>
        <v>0</v>
      </c>
      <c r="L906">
        <f t="shared" ca="1" si="192"/>
        <v>0</v>
      </c>
      <c r="M906">
        <f t="shared" ca="1" si="193"/>
        <v>3</v>
      </c>
      <c r="N906">
        <f t="shared" ca="1" si="194"/>
        <v>0</v>
      </c>
    </row>
    <row r="907" spans="1:14" x14ac:dyDescent="0.35">
      <c r="A907" t="s">
        <v>924</v>
      </c>
      <c r="B907" t="str">
        <f t="shared" si="182"/>
        <v>Control</v>
      </c>
      <c r="C907">
        <f t="shared" ca="1" si="183"/>
        <v>26</v>
      </c>
      <c r="D907" t="str">
        <f t="shared" ca="1" si="184"/>
        <v>Female</v>
      </c>
      <c r="E907" t="str">
        <f t="shared" ca="1" si="185"/>
        <v>Ethnic Wear</v>
      </c>
      <c r="F907">
        <f t="shared" ca="1" si="186"/>
        <v>323</v>
      </c>
      <c r="G907">
        <f t="shared" ca="1" si="187"/>
        <v>10</v>
      </c>
      <c r="H907">
        <f t="shared" ca="1" si="188"/>
        <v>290.7</v>
      </c>
      <c r="I907">
        <f t="shared" ca="1" si="189"/>
        <v>1</v>
      </c>
      <c r="J907">
        <f t="shared" ca="1" si="190"/>
        <v>1</v>
      </c>
      <c r="K907">
        <f t="shared" ca="1" si="191"/>
        <v>1</v>
      </c>
      <c r="L907">
        <f t="shared" ca="1" si="192"/>
        <v>290.7</v>
      </c>
      <c r="M907">
        <f t="shared" ca="1" si="193"/>
        <v>1</v>
      </c>
      <c r="N907">
        <f t="shared" ca="1" si="194"/>
        <v>0</v>
      </c>
    </row>
    <row r="908" spans="1:14" x14ac:dyDescent="0.35">
      <c r="A908" t="s">
        <v>925</v>
      </c>
      <c r="B908" t="str">
        <f t="shared" si="182"/>
        <v>Control</v>
      </c>
      <c r="C908">
        <f t="shared" ca="1" si="183"/>
        <v>26</v>
      </c>
      <c r="D908" t="str">
        <f t="shared" ca="1" si="184"/>
        <v>Female</v>
      </c>
      <c r="E908" t="str">
        <f t="shared" ca="1" si="185"/>
        <v>T-shirts</v>
      </c>
      <c r="F908">
        <f t="shared" ca="1" si="186"/>
        <v>6768</v>
      </c>
      <c r="G908">
        <f t="shared" ca="1" si="187"/>
        <v>10</v>
      </c>
      <c r="H908">
        <f t="shared" ca="1" si="188"/>
        <v>6091.2</v>
      </c>
      <c r="I908">
        <f t="shared" ca="1" si="189"/>
        <v>1</v>
      </c>
      <c r="J908">
        <f t="shared" ca="1" si="190"/>
        <v>0</v>
      </c>
      <c r="K908">
        <f t="shared" ca="1" si="191"/>
        <v>0</v>
      </c>
      <c r="L908">
        <f t="shared" ca="1" si="192"/>
        <v>0</v>
      </c>
      <c r="M908">
        <f t="shared" ca="1" si="193"/>
        <v>7</v>
      </c>
      <c r="N908">
        <f t="shared" ca="1" si="194"/>
        <v>0</v>
      </c>
    </row>
    <row r="909" spans="1:14" x14ac:dyDescent="0.35">
      <c r="A909" t="s">
        <v>926</v>
      </c>
      <c r="B909" t="str">
        <f t="shared" si="182"/>
        <v>Control</v>
      </c>
      <c r="C909">
        <f t="shared" ca="1" si="183"/>
        <v>41</v>
      </c>
      <c r="D909" t="str">
        <f t="shared" ca="1" si="184"/>
        <v>Male</v>
      </c>
      <c r="E909" t="str">
        <f t="shared" ca="1" si="185"/>
        <v>Tops</v>
      </c>
      <c r="F909">
        <f t="shared" ca="1" si="186"/>
        <v>2357</v>
      </c>
      <c r="G909">
        <f t="shared" ca="1" si="187"/>
        <v>10</v>
      </c>
      <c r="H909">
        <f t="shared" ca="1" si="188"/>
        <v>2121.3000000000002</v>
      </c>
      <c r="I909">
        <f t="shared" ca="1" si="189"/>
        <v>1</v>
      </c>
      <c r="J909">
        <f t="shared" ca="1" si="190"/>
        <v>0</v>
      </c>
      <c r="K909">
        <f t="shared" ca="1" si="191"/>
        <v>0</v>
      </c>
      <c r="L909">
        <f t="shared" ca="1" si="192"/>
        <v>0</v>
      </c>
      <c r="M909">
        <f t="shared" ca="1" si="193"/>
        <v>1</v>
      </c>
      <c r="N909">
        <f t="shared" ca="1" si="194"/>
        <v>0</v>
      </c>
    </row>
    <row r="910" spans="1:14" x14ac:dyDescent="0.35">
      <c r="A910" t="s">
        <v>927</v>
      </c>
      <c r="B910" t="str">
        <f t="shared" si="182"/>
        <v>Control</v>
      </c>
      <c r="C910">
        <f t="shared" ca="1" si="183"/>
        <v>23</v>
      </c>
      <c r="D910" t="str">
        <f t="shared" ca="1" si="184"/>
        <v>Female</v>
      </c>
      <c r="E910" t="str">
        <f t="shared" ca="1" si="185"/>
        <v>Jeans</v>
      </c>
      <c r="F910">
        <f t="shared" ca="1" si="186"/>
        <v>1963</v>
      </c>
      <c r="G910">
        <f t="shared" ca="1" si="187"/>
        <v>10</v>
      </c>
      <c r="H910">
        <f t="shared" ca="1" si="188"/>
        <v>1766.7</v>
      </c>
      <c r="I910">
        <f t="shared" ca="1" si="189"/>
        <v>1</v>
      </c>
      <c r="J910">
        <f t="shared" ca="1" si="190"/>
        <v>1</v>
      </c>
      <c r="K910">
        <f t="shared" ca="1" si="191"/>
        <v>0</v>
      </c>
      <c r="L910">
        <f t="shared" ca="1" si="192"/>
        <v>0</v>
      </c>
      <c r="M910">
        <f t="shared" ca="1" si="193"/>
        <v>3</v>
      </c>
      <c r="N910">
        <f t="shared" ca="1" si="194"/>
        <v>0</v>
      </c>
    </row>
    <row r="911" spans="1:14" x14ac:dyDescent="0.35">
      <c r="A911" t="s">
        <v>928</v>
      </c>
      <c r="B911" t="str">
        <f t="shared" si="182"/>
        <v>Control</v>
      </c>
      <c r="C911">
        <f t="shared" ca="1" si="183"/>
        <v>35</v>
      </c>
      <c r="D911" t="str">
        <f t="shared" ca="1" si="184"/>
        <v>Female</v>
      </c>
      <c r="E911" t="str">
        <f t="shared" ca="1" si="185"/>
        <v>Sportswear</v>
      </c>
      <c r="F911">
        <f t="shared" ca="1" si="186"/>
        <v>7146</v>
      </c>
      <c r="G911">
        <f t="shared" ca="1" si="187"/>
        <v>10</v>
      </c>
      <c r="H911">
        <f t="shared" ca="1" si="188"/>
        <v>6431.4000000000005</v>
      </c>
      <c r="I911">
        <f t="shared" ca="1" si="189"/>
        <v>1</v>
      </c>
      <c r="J911">
        <f t="shared" ca="1" si="190"/>
        <v>1</v>
      </c>
      <c r="K911">
        <f t="shared" ca="1" si="191"/>
        <v>0</v>
      </c>
      <c r="L911">
        <f t="shared" ca="1" si="192"/>
        <v>0</v>
      </c>
      <c r="M911">
        <f t="shared" ca="1" si="193"/>
        <v>2</v>
      </c>
      <c r="N911">
        <f t="shared" ca="1" si="194"/>
        <v>0</v>
      </c>
    </row>
    <row r="912" spans="1:14" x14ac:dyDescent="0.35">
      <c r="A912" t="s">
        <v>929</v>
      </c>
      <c r="B912" t="str">
        <f t="shared" si="182"/>
        <v>Control</v>
      </c>
      <c r="C912">
        <f t="shared" ca="1" si="183"/>
        <v>19</v>
      </c>
      <c r="D912" t="str">
        <f t="shared" ca="1" si="184"/>
        <v>Male</v>
      </c>
      <c r="E912" t="str">
        <f t="shared" ca="1" si="185"/>
        <v>Jeans</v>
      </c>
      <c r="F912">
        <f t="shared" ca="1" si="186"/>
        <v>4707</v>
      </c>
      <c r="G912">
        <f t="shared" ca="1" si="187"/>
        <v>10</v>
      </c>
      <c r="H912">
        <f t="shared" ca="1" si="188"/>
        <v>4236.3</v>
      </c>
      <c r="I912">
        <f t="shared" ca="1" si="189"/>
        <v>1</v>
      </c>
      <c r="J912">
        <f t="shared" ca="1" si="190"/>
        <v>1</v>
      </c>
      <c r="K912">
        <f t="shared" ca="1" si="191"/>
        <v>0</v>
      </c>
      <c r="L912">
        <f t="shared" ca="1" si="192"/>
        <v>0</v>
      </c>
      <c r="M912">
        <f t="shared" ca="1" si="193"/>
        <v>7</v>
      </c>
      <c r="N912">
        <f t="shared" ca="1" si="194"/>
        <v>0</v>
      </c>
    </row>
    <row r="913" spans="1:14" x14ac:dyDescent="0.35">
      <c r="A913" t="s">
        <v>930</v>
      </c>
      <c r="B913" t="str">
        <f t="shared" si="182"/>
        <v>Control</v>
      </c>
      <c r="C913">
        <f t="shared" ca="1" si="183"/>
        <v>32</v>
      </c>
      <c r="D913" t="str">
        <f t="shared" ca="1" si="184"/>
        <v>Female</v>
      </c>
      <c r="E913" t="str">
        <f t="shared" ca="1" si="185"/>
        <v>T-shirts</v>
      </c>
      <c r="F913">
        <f t="shared" ca="1" si="186"/>
        <v>3417</v>
      </c>
      <c r="G913">
        <f t="shared" ca="1" si="187"/>
        <v>10</v>
      </c>
      <c r="H913">
        <f t="shared" ca="1" si="188"/>
        <v>3075.3</v>
      </c>
      <c r="I913">
        <f t="shared" ca="1" si="189"/>
        <v>0</v>
      </c>
      <c r="J913">
        <f t="shared" ca="1" si="190"/>
        <v>0</v>
      </c>
      <c r="K913">
        <f t="shared" ca="1" si="191"/>
        <v>0</v>
      </c>
      <c r="L913">
        <f t="shared" ca="1" si="192"/>
        <v>0</v>
      </c>
      <c r="M913">
        <f t="shared" ca="1" si="193"/>
        <v>3</v>
      </c>
      <c r="N913">
        <f t="shared" ca="1" si="194"/>
        <v>0</v>
      </c>
    </row>
    <row r="914" spans="1:14" x14ac:dyDescent="0.35">
      <c r="A914" t="s">
        <v>931</v>
      </c>
      <c r="B914" t="str">
        <f t="shared" si="182"/>
        <v>Control</v>
      </c>
      <c r="C914">
        <f t="shared" ca="1" si="183"/>
        <v>35</v>
      </c>
      <c r="D914" t="str">
        <f t="shared" ca="1" si="184"/>
        <v>Female</v>
      </c>
      <c r="E914" t="str">
        <f t="shared" ca="1" si="185"/>
        <v>Shoes</v>
      </c>
      <c r="F914">
        <f t="shared" ca="1" si="186"/>
        <v>3747</v>
      </c>
      <c r="G914">
        <f t="shared" ca="1" si="187"/>
        <v>10</v>
      </c>
      <c r="H914">
        <f t="shared" ca="1" si="188"/>
        <v>3372.3</v>
      </c>
      <c r="I914">
        <f t="shared" ca="1" si="189"/>
        <v>0</v>
      </c>
      <c r="J914">
        <f t="shared" ca="1" si="190"/>
        <v>0</v>
      </c>
      <c r="K914">
        <f t="shared" ca="1" si="191"/>
        <v>0</v>
      </c>
      <c r="L914">
        <f t="shared" ca="1" si="192"/>
        <v>0</v>
      </c>
      <c r="M914">
        <f t="shared" ca="1" si="193"/>
        <v>2</v>
      </c>
      <c r="N914">
        <f t="shared" ca="1" si="194"/>
        <v>0</v>
      </c>
    </row>
    <row r="915" spans="1:14" x14ac:dyDescent="0.35">
      <c r="A915" t="s">
        <v>932</v>
      </c>
      <c r="B915" t="str">
        <f t="shared" si="182"/>
        <v>Control</v>
      </c>
      <c r="C915">
        <f t="shared" ca="1" si="183"/>
        <v>44</v>
      </c>
      <c r="D915" t="str">
        <f t="shared" ca="1" si="184"/>
        <v>Male</v>
      </c>
      <c r="E915" t="str">
        <f t="shared" ca="1" si="185"/>
        <v>Accessories</v>
      </c>
      <c r="F915">
        <f t="shared" ca="1" si="186"/>
        <v>1939</v>
      </c>
      <c r="G915">
        <f t="shared" ca="1" si="187"/>
        <v>10</v>
      </c>
      <c r="H915">
        <f t="shared" ca="1" si="188"/>
        <v>1745.1000000000001</v>
      </c>
      <c r="I915">
        <f t="shared" ca="1" si="189"/>
        <v>1</v>
      </c>
      <c r="J915">
        <f t="shared" ca="1" si="190"/>
        <v>1</v>
      </c>
      <c r="K915">
        <f t="shared" ca="1" si="191"/>
        <v>1</v>
      </c>
      <c r="L915">
        <f t="shared" ca="1" si="192"/>
        <v>1745.1000000000001</v>
      </c>
      <c r="M915">
        <f t="shared" ca="1" si="193"/>
        <v>2</v>
      </c>
      <c r="N915">
        <f t="shared" ca="1" si="194"/>
        <v>0</v>
      </c>
    </row>
    <row r="916" spans="1:14" x14ac:dyDescent="0.35">
      <c r="A916" t="s">
        <v>933</v>
      </c>
      <c r="B916" t="str">
        <f t="shared" si="182"/>
        <v>Control</v>
      </c>
      <c r="C916">
        <f t="shared" ca="1" si="183"/>
        <v>39</v>
      </c>
      <c r="D916" t="str">
        <f t="shared" ca="1" si="184"/>
        <v>Female</v>
      </c>
      <c r="E916" t="str">
        <f t="shared" ca="1" si="185"/>
        <v>Jeans</v>
      </c>
      <c r="F916">
        <f t="shared" ca="1" si="186"/>
        <v>2945</v>
      </c>
      <c r="G916">
        <f t="shared" ca="1" si="187"/>
        <v>10</v>
      </c>
      <c r="H916">
        <f t="shared" ca="1" si="188"/>
        <v>2650.5</v>
      </c>
      <c r="I916">
        <f t="shared" ca="1" si="189"/>
        <v>0</v>
      </c>
      <c r="J916">
        <f t="shared" ca="1" si="190"/>
        <v>0</v>
      </c>
      <c r="K916">
        <f t="shared" ca="1" si="191"/>
        <v>0</v>
      </c>
      <c r="L916">
        <f t="shared" ca="1" si="192"/>
        <v>0</v>
      </c>
      <c r="M916">
        <f t="shared" ca="1" si="193"/>
        <v>3</v>
      </c>
      <c r="N916">
        <f t="shared" ca="1" si="194"/>
        <v>0</v>
      </c>
    </row>
    <row r="917" spans="1:14" x14ac:dyDescent="0.35">
      <c r="A917" t="s">
        <v>934</v>
      </c>
      <c r="B917" t="str">
        <f t="shared" si="182"/>
        <v>Control</v>
      </c>
      <c r="C917">
        <f t="shared" ca="1" si="183"/>
        <v>19</v>
      </c>
      <c r="D917" t="str">
        <f t="shared" ca="1" si="184"/>
        <v>Male</v>
      </c>
      <c r="E917" t="str">
        <f t="shared" ca="1" si="185"/>
        <v>Accessories</v>
      </c>
      <c r="F917">
        <f t="shared" ca="1" si="186"/>
        <v>3818</v>
      </c>
      <c r="G917">
        <f t="shared" ca="1" si="187"/>
        <v>10</v>
      </c>
      <c r="H917">
        <f t="shared" ca="1" si="188"/>
        <v>3436.2000000000003</v>
      </c>
      <c r="I917">
        <f t="shared" ca="1" si="189"/>
        <v>1</v>
      </c>
      <c r="J917">
        <f t="shared" ca="1" si="190"/>
        <v>1</v>
      </c>
      <c r="K917">
        <f t="shared" ca="1" si="191"/>
        <v>1</v>
      </c>
      <c r="L917">
        <f t="shared" ca="1" si="192"/>
        <v>3436.2000000000003</v>
      </c>
      <c r="M917">
        <f t="shared" ca="1" si="193"/>
        <v>4</v>
      </c>
      <c r="N917">
        <f t="shared" ca="1" si="194"/>
        <v>0</v>
      </c>
    </row>
    <row r="918" spans="1:14" x14ac:dyDescent="0.35">
      <c r="A918" t="s">
        <v>935</v>
      </c>
      <c r="B918" t="str">
        <f t="shared" si="182"/>
        <v>Control</v>
      </c>
      <c r="C918">
        <f t="shared" ca="1" si="183"/>
        <v>19</v>
      </c>
      <c r="D918" t="str">
        <f t="shared" ca="1" si="184"/>
        <v>Female</v>
      </c>
      <c r="E918" t="str">
        <f t="shared" ca="1" si="185"/>
        <v>Sportswear</v>
      </c>
      <c r="F918">
        <f t="shared" ca="1" si="186"/>
        <v>5722</v>
      </c>
      <c r="G918">
        <f t="shared" ca="1" si="187"/>
        <v>10</v>
      </c>
      <c r="H918">
        <f t="shared" ca="1" si="188"/>
        <v>5149.8</v>
      </c>
      <c r="I918">
        <f t="shared" ca="1" si="189"/>
        <v>1</v>
      </c>
      <c r="J918">
        <f t="shared" ca="1" si="190"/>
        <v>1</v>
      </c>
      <c r="K918">
        <f t="shared" ca="1" si="191"/>
        <v>1</v>
      </c>
      <c r="L918">
        <f t="shared" ca="1" si="192"/>
        <v>5149.8</v>
      </c>
      <c r="M918">
        <f t="shared" ca="1" si="193"/>
        <v>6</v>
      </c>
      <c r="N918">
        <f t="shared" ca="1" si="194"/>
        <v>1</v>
      </c>
    </row>
    <row r="919" spans="1:14" x14ac:dyDescent="0.35">
      <c r="A919" t="s">
        <v>936</v>
      </c>
      <c r="B919" t="str">
        <f t="shared" si="182"/>
        <v>Control</v>
      </c>
      <c r="C919">
        <f t="shared" ca="1" si="183"/>
        <v>43</v>
      </c>
      <c r="D919" t="str">
        <f t="shared" ca="1" si="184"/>
        <v>Male</v>
      </c>
      <c r="E919" t="str">
        <f t="shared" ca="1" si="185"/>
        <v>Jeans</v>
      </c>
      <c r="F919">
        <f t="shared" ca="1" si="186"/>
        <v>6193</v>
      </c>
      <c r="G919">
        <f t="shared" ca="1" si="187"/>
        <v>10</v>
      </c>
      <c r="H919">
        <f t="shared" ca="1" si="188"/>
        <v>5573.7</v>
      </c>
      <c r="I919">
        <f t="shared" ca="1" si="189"/>
        <v>1</v>
      </c>
      <c r="J919">
        <f t="shared" ca="1" si="190"/>
        <v>0</v>
      </c>
      <c r="K919">
        <f t="shared" ca="1" si="191"/>
        <v>0</v>
      </c>
      <c r="L919">
        <f t="shared" ca="1" si="192"/>
        <v>0</v>
      </c>
      <c r="M919">
        <f t="shared" ca="1" si="193"/>
        <v>3</v>
      </c>
      <c r="N919">
        <f t="shared" ca="1" si="194"/>
        <v>0</v>
      </c>
    </row>
    <row r="920" spans="1:14" x14ac:dyDescent="0.35">
      <c r="A920" t="s">
        <v>937</v>
      </c>
      <c r="B920" t="str">
        <f t="shared" si="182"/>
        <v>Control</v>
      </c>
      <c r="C920">
        <f t="shared" ca="1" si="183"/>
        <v>39</v>
      </c>
      <c r="D920" t="str">
        <f t="shared" ca="1" si="184"/>
        <v>Female</v>
      </c>
      <c r="E920" t="str">
        <f t="shared" ca="1" si="185"/>
        <v>Accessories</v>
      </c>
      <c r="F920">
        <f t="shared" ca="1" si="186"/>
        <v>5982</v>
      </c>
      <c r="G920">
        <f t="shared" ca="1" si="187"/>
        <v>10</v>
      </c>
      <c r="H920">
        <f t="shared" ca="1" si="188"/>
        <v>5383.8</v>
      </c>
      <c r="I920">
        <f t="shared" ca="1" si="189"/>
        <v>1</v>
      </c>
      <c r="J920">
        <f t="shared" ca="1" si="190"/>
        <v>1</v>
      </c>
      <c r="K920">
        <f t="shared" ca="1" si="191"/>
        <v>0</v>
      </c>
      <c r="L920">
        <f t="shared" ca="1" si="192"/>
        <v>0</v>
      </c>
      <c r="M920">
        <f t="shared" ca="1" si="193"/>
        <v>1</v>
      </c>
      <c r="N920">
        <f t="shared" ca="1" si="194"/>
        <v>0</v>
      </c>
    </row>
    <row r="921" spans="1:14" x14ac:dyDescent="0.35">
      <c r="A921" t="s">
        <v>938</v>
      </c>
      <c r="B921" t="str">
        <f t="shared" si="182"/>
        <v>Control</v>
      </c>
      <c r="C921">
        <f t="shared" ca="1" si="183"/>
        <v>35</v>
      </c>
      <c r="D921" t="str">
        <f t="shared" ca="1" si="184"/>
        <v>Female</v>
      </c>
      <c r="E921" t="str">
        <f t="shared" ca="1" si="185"/>
        <v>Ethnic Wear</v>
      </c>
      <c r="F921">
        <f t="shared" ca="1" si="186"/>
        <v>4394</v>
      </c>
      <c r="G921">
        <f t="shared" ca="1" si="187"/>
        <v>10</v>
      </c>
      <c r="H921">
        <f t="shared" ca="1" si="188"/>
        <v>3954.6</v>
      </c>
      <c r="I921">
        <f t="shared" ca="1" si="189"/>
        <v>1</v>
      </c>
      <c r="J921">
        <f t="shared" ca="1" si="190"/>
        <v>1</v>
      </c>
      <c r="K921">
        <f t="shared" ca="1" si="191"/>
        <v>0</v>
      </c>
      <c r="L921">
        <f t="shared" ca="1" si="192"/>
        <v>0</v>
      </c>
      <c r="M921">
        <f t="shared" ca="1" si="193"/>
        <v>6</v>
      </c>
      <c r="N921">
        <f t="shared" ca="1" si="194"/>
        <v>0</v>
      </c>
    </row>
    <row r="922" spans="1:14" x14ac:dyDescent="0.35">
      <c r="A922" t="s">
        <v>939</v>
      </c>
      <c r="B922" t="str">
        <f t="shared" si="182"/>
        <v>Control</v>
      </c>
      <c r="C922">
        <f t="shared" ca="1" si="183"/>
        <v>44</v>
      </c>
      <c r="D922" t="str">
        <f t="shared" ca="1" si="184"/>
        <v>Female</v>
      </c>
      <c r="E922" t="str">
        <f t="shared" ca="1" si="185"/>
        <v>Sportswear</v>
      </c>
      <c r="F922">
        <f t="shared" ca="1" si="186"/>
        <v>7672</v>
      </c>
      <c r="G922">
        <f t="shared" ca="1" si="187"/>
        <v>10</v>
      </c>
      <c r="H922">
        <f t="shared" ca="1" si="188"/>
        <v>6904.8</v>
      </c>
      <c r="I922">
        <f t="shared" ca="1" si="189"/>
        <v>1</v>
      </c>
      <c r="J922">
        <f t="shared" ca="1" si="190"/>
        <v>0</v>
      </c>
      <c r="K922">
        <f t="shared" ca="1" si="191"/>
        <v>0</v>
      </c>
      <c r="L922">
        <f t="shared" ca="1" si="192"/>
        <v>0</v>
      </c>
      <c r="M922">
        <f t="shared" ca="1" si="193"/>
        <v>2</v>
      </c>
      <c r="N922">
        <f t="shared" ca="1" si="194"/>
        <v>0</v>
      </c>
    </row>
    <row r="923" spans="1:14" x14ac:dyDescent="0.35">
      <c r="A923" t="s">
        <v>940</v>
      </c>
      <c r="B923" t="str">
        <f t="shared" si="182"/>
        <v>Control</v>
      </c>
      <c r="C923">
        <f t="shared" ca="1" si="183"/>
        <v>33</v>
      </c>
      <c r="D923" t="str">
        <f t="shared" ca="1" si="184"/>
        <v>Male</v>
      </c>
      <c r="E923" t="str">
        <f t="shared" ca="1" si="185"/>
        <v>Ethnic Wear</v>
      </c>
      <c r="F923">
        <f t="shared" ca="1" si="186"/>
        <v>662</v>
      </c>
      <c r="G923">
        <f t="shared" ca="1" si="187"/>
        <v>10</v>
      </c>
      <c r="H923">
        <f t="shared" ca="1" si="188"/>
        <v>595.80000000000007</v>
      </c>
      <c r="I923">
        <f t="shared" ca="1" si="189"/>
        <v>1</v>
      </c>
      <c r="J923">
        <f t="shared" ca="1" si="190"/>
        <v>0</v>
      </c>
      <c r="K923">
        <f t="shared" ca="1" si="191"/>
        <v>0</v>
      </c>
      <c r="L923">
        <f t="shared" ca="1" si="192"/>
        <v>0</v>
      </c>
      <c r="M923">
        <f t="shared" ca="1" si="193"/>
        <v>1</v>
      </c>
      <c r="N923">
        <f t="shared" ca="1" si="194"/>
        <v>0</v>
      </c>
    </row>
    <row r="924" spans="1:14" x14ac:dyDescent="0.35">
      <c r="A924" t="s">
        <v>941</v>
      </c>
      <c r="B924" t="str">
        <f t="shared" si="182"/>
        <v>Control</v>
      </c>
      <c r="C924">
        <f t="shared" ca="1" si="183"/>
        <v>23</v>
      </c>
      <c r="D924" t="str">
        <f t="shared" ca="1" si="184"/>
        <v>Female</v>
      </c>
      <c r="E924" t="str">
        <f t="shared" ca="1" si="185"/>
        <v>Ethnic Wear</v>
      </c>
      <c r="F924">
        <f t="shared" ca="1" si="186"/>
        <v>5485</v>
      </c>
      <c r="G924">
        <f t="shared" ca="1" si="187"/>
        <v>10</v>
      </c>
      <c r="H924">
        <f t="shared" ca="1" si="188"/>
        <v>4936.5</v>
      </c>
      <c r="I924">
        <f t="shared" ca="1" si="189"/>
        <v>1</v>
      </c>
      <c r="J924">
        <f t="shared" ca="1" si="190"/>
        <v>1</v>
      </c>
      <c r="K924">
        <f t="shared" ca="1" si="191"/>
        <v>0</v>
      </c>
      <c r="L924">
        <f t="shared" ca="1" si="192"/>
        <v>0</v>
      </c>
      <c r="M924">
        <f t="shared" ca="1" si="193"/>
        <v>4</v>
      </c>
      <c r="N924">
        <f t="shared" ca="1" si="194"/>
        <v>0</v>
      </c>
    </row>
    <row r="925" spans="1:14" x14ac:dyDescent="0.35">
      <c r="A925" t="s">
        <v>942</v>
      </c>
      <c r="B925" t="str">
        <f t="shared" si="182"/>
        <v>Control</v>
      </c>
      <c r="C925">
        <f t="shared" ca="1" si="183"/>
        <v>19</v>
      </c>
      <c r="D925" t="str">
        <f t="shared" ca="1" si="184"/>
        <v>Female</v>
      </c>
      <c r="E925" t="str">
        <f t="shared" ca="1" si="185"/>
        <v>Shoes</v>
      </c>
      <c r="F925">
        <f t="shared" ca="1" si="186"/>
        <v>2979</v>
      </c>
      <c r="G925">
        <f t="shared" ca="1" si="187"/>
        <v>10</v>
      </c>
      <c r="H925">
        <f t="shared" ca="1" si="188"/>
        <v>2681.1</v>
      </c>
      <c r="I925">
        <f t="shared" ca="1" si="189"/>
        <v>1</v>
      </c>
      <c r="J925">
        <f t="shared" ca="1" si="190"/>
        <v>1</v>
      </c>
      <c r="K925">
        <f t="shared" ca="1" si="191"/>
        <v>1</v>
      </c>
      <c r="L925">
        <f t="shared" ca="1" si="192"/>
        <v>2681.1</v>
      </c>
      <c r="M925">
        <f t="shared" ca="1" si="193"/>
        <v>1</v>
      </c>
      <c r="N925">
        <f t="shared" ca="1" si="194"/>
        <v>1</v>
      </c>
    </row>
    <row r="926" spans="1:14" x14ac:dyDescent="0.35">
      <c r="A926" t="s">
        <v>943</v>
      </c>
      <c r="B926" t="str">
        <f t="shared" si="182"/>
        <v>Control</v>
      </c>
      <c r="C926">
        <f t="shared" ca="1" si="183"/>
        <v>38</v>
      </c>
      <c r="D926" t="str">
        <f t="shared" ca="1" si="184"/>
        <v>Male</v>
      </c>
      <c r="E926" t="str">
        <f t="shared" ca="1" si="185"/>
        <v>Tops</v>
      </c>
      <c r="F926">
        <f t="shared" ca="1" si="186"/>
        <v>690</v>
      </c>
      <c r="G926">
        <f t="shared" ca="1" si="187"/>
        <v>10</v>
      </c>
      <c r="H926">
        <f t="shared" ca="1" si="188"/>
        <v>621</v>
      </c>
      <c r="I926">
        <f t="shared" ca="1" si="189"/>
        <v>1</v>
      </c>
      <c r="J926">
        <f t="shared" ca="1" si="190"/>
        <v>1</v>
      </c>
      <c r="K926">
        <f t="shared" ca="1" si="191"/>
        <v>0</v>
      </c>
      <c r="L926">
        <f t="shared" ca="1" si="192"/>
        <v>0</v>
      </c>
      <c r="M926">
        <f t="shared" ca="1" si="193"/>
        <v>5</v>
      </c>
      <c r="N926">
        <f t="shared" ca="1" si="194"/>
        <v>0</v>
      </c>
    </row>
    <row r="927" spans="1:14" x14ac:dyDescent="0.35">
      <c r="A927" t="s">
        <v>944</v>
      </c>
      <c r="B927" t="str">
        <f t="shared" si="182"/>
        <v>Control</v>
      </c>
      <c r="C927">
        <f t="shared" ca="1" si="183"/>
        <v>41</v>
      </c>
      <c r="D927" t="str">
        <f t="shared" ca="1" si="184"/>
        <v>Female</v>
      </c>
      <c r="E927" t="str">
        <f t="shared" ca="1" si="185"/>
        <v>Accessories</v>
      </c>
      <c r="F927">
        <f t="shared" ca="1" si="186"/>
        <v>1944</v>
      </c>
      <c r="G927">
        <f t="shared" ca="1" si="187"/>
        <v>10</v>
      </c>
      <c r="H927">
        <f t="shared" ca="1" si="188"/>
        <v>1749.6000000000001</v>
      </c>
      <c r="I927">
        <f t="shared" ca="1" si="189"/>
        <v>0</v>
      </c>
      <c r="J927">
        <f t="shared" ca="1" si="190"/>
        <v>0</v>
      </c>
      <c r="K927">
        <f t="shared" ca="1" si="191"/>
        <v>0</v>
      </c>
      <c r="L927">
        <f t="shared" ca="1" si="192"/>
        <v>0</v>
      </c>
      <c r="M927">
        <f t="shared" ca="1" si="193"/>
        <v>4</v>
      </c>
      <c r="N927">
        <f t="shared" ca="1" si="194"/>
        <v>0</v>
      </c>
    </row>
    <row r="928" spans="1:14" x14ac:dyDescent="0.35">
      <c r="A928" t="s">
        <v>945</v>
      </c>
      <c r="B928" t="str">
        <f t="shared" si="182"/>
        <v>Control</v>
      </c>
      <c r="C928">
        <f t="shared" ca="1" si="183"/>
        <v>26</v>
      </c>
      <c r="D928" t="str">
        <f t="shared" ca="1" si="184"/>
        <v>Male</v>
      </c>
      <c r="E928" t="str">
        <f t="shared" ca="1" si="185"/>
        <v>T-shirts</v>
      </c>
      <c r="F928">
        <f t="shared" ca="1" si="186"/>
        <v>7664</v>
      </c>
      <c r="G928">
        <f t="shared" ca="1" si="187"/>
        <v>10</v>
      </c>
      <c r="H928">
        <f t="shared" ca="1" si="188"/>
        <v>6897.6</v>
      </c>
      <c r="I928">
        <f t="shared" ca="1" si="189"/>
        <v>1</v>
      </c>
      <c r="J928">
        <f t="shared" ca="1" si="190"/>
        <v>1</v>
      </c>
      <c r="K928">
        <f t="shared" ca="1" si="191"/>
        <v>0</v>
      </c>
      <c r="L928">
        <f t="shared" ca="1" si="192"/>
        <v>0</v>
      </c>
      <c r="M928">
        <f t="shared" ca="1" si="193"/>
        <v>6</v>
      </c>
      <c r="N928">
        <f t="shared" ca="1" si="194"/>
        <v>0</v>
      </c>
    </row>
    <row r="929" spans="1:14" x14ac:dyDescent="0.35">
      <c r="A929" t="s">
        <v>946</v>
      </c>
      <c r="B929" t="str">
        <f t="shared" si="182"/>
        <v>Control</v>
      </c>
      <c r="C929">
        <f t="shared" ca="1" si="183"/>
        <v>43</v>
      </c>
      <c r="D929" t="str">
        <f t="shared" ca="1" si="184"/>
        <v>Female</v>
      </c>
      <c r="E929" t="str">
        <f t="shared" ca="1" si="185"/>
        <v>Sportswear</v>
      </c>
      <c r="F929">
        <f t="shared" ca="1" si="186"/>
        <v>5461</v>
      </c>
      <c r="G929">
        <f t="shared" ca="1" si="187"/>
        <v>10</v>
      </c>
      <c r="H929">
        <f t="shared" ca="1" si="188"/>
        <v>4914.9000000000005</v>
      </c>
      <c r="I929">
        <f t="shared" ca="1" si="189"/>
        <v>1</v>
      </c>
      <c r="J929">
        <f t="shared" ca="1" si="190"/>
        <v>0</v>
      </c>
      <c r="K929">
        <f t="shared" ca="1" si="191"/>
        <v>0</v>
      </c>
      <c r="L929">
        <f t="shared" ca="1" si="192"/>
        <v>0</v>
      </c>
      <c r="M929">
        <f t="shared" ca="1" si="193"/>
        <v>3</v>
      </c>
      <c r="N929">
        <f t="shared" ca="1" si="194"/>
        <v>0</v>
      </c>
    </row>
    <row r="930" spans="1:14" x14ac:dyDescent="0.35">
      <c r="A930" t="s">
        <v>947</v>
      </c>
      <c r="B930" t="str">
        <f t="shared" si="182"/>
        <v>Control</v>
      </c>
      <c r="C930">
        <f t="shared" ca="1" si="183"/>
        <v>41</v>
      </c>
      <c r="D930" t="str">
        <f t="shared" ca="1" si="184"/>
        <v>Other</v>
      </c>
      <c r="E930" t="str">
        <f t="shared" ca="1" si="185"/>
        <v>Jeans</v>
      </c>
      <c r="F930">
        <f t="shared" ca="1" si="186"/>
        <v>308</v>
      </c>
      <c r="G930">
        <f t="shared" ca="1" si="187"/>
        <v>10</v>
      </c>
      <c r="H930">
        <f t="shared" ca="1" si="188"/>
        <v>277.2</v>
      </c>
      <c r="I930">
        <f t="shared" ca="1" si="189"/>
        <v>1</v>
      </c>
      <c r="J930">
        <f t="shared" ca="1" si="190"/>
        <v>0</v>
      </c>
      <c r="K930">
        <f t="shared" ca="1" si="191"/>
        <v>0</v>
      </c>
      <c r="L930">
        <f t="shared" ca="1" si="192"/>
        <v>0</v>
      </c>
      <c r="M930">
        <f t="shared" ca="1" si="193"/>
        <v>5</v>
      </c>
      <c r="N930">
        <f t="shared" ca="1" si="194"/>
        <v>0</v>
      </c>
    </row>
    <row r="931" spans="1:14" x14ac:dyDescent="0.35">
      <c r="A931" t="s">
        <v>948</v>
      </c>
      <c r="B931" t="str">
        <f t="shared" si="182"/>
        <v>Control</v>
      </c>
      <c r="C931">
        <f t="shared" ca="1" si="183"/>
        <v>27</v>
      </c>
      <c r="D931" t="str">
        <f t="shared" ca="1" si="184"/>
        <v>Female</v>
      </c>
      <c r="E931" t="str">
        <f t="shared" ca="1" si="185"/>
        <v>Sportswear</v>
      </c>
      <c r="F931">
        <f t="shared" ca="1" si="186"/>
        <v>5782</v>
      </c>
      <c r="G931">
        <f t="shared" ca="1" si="187"/>
        <v>10</v>
      </c>
      <c r="H931">
        <f t="shared" ca="1" si="188"/>
        <v>5203.8</v>
      </c>
      <c r="I931">
        <f t="shared" ca="1" si="189"/>
        <v>0</v>
      </c>
      <c r="J931">
        <f t="shared" ca="1" si="190"/>
        <v>0</v>
      </c>
      <c r="K931">
        <f t="shared" ca="1" si="191"/>
        <v>0</v>
      </c>
      <c r="L931">
        <f t="shared" ca="1" si="192"/>
        <v>0</v>
      </c>
      <c r="M931">
        <f t="shared" ca="1" si="193"/>
        <v>1</v>
      </c>
      <c r="N931">
        <f t="shared" ca="1" si="194"/>
        <v>0</v>
      </c>
    </row>
    <row r="932" spans="1:14" x14ac:dyDescent="0.35">
      <c r="A932" t="s">
        <v>949</v>
      </c>
      <c r="B932" t="str">
        <f t="shared" si="182"/>
        <v>Control</v>
      </c>
      <c r="C932">
        <f t="shared" ca="1" si="183"/>
        <v>41</v>
      </c>
      <c r="D932" t="str">
        <f t="shared" ca="1" si="184"/>
        <v>Female</v>
      </c>
      <c r="E932" t="str">
        <f t="shared" ca="1" si="185"/>
        <v>Tops</v>
      </c>
      <c r="F932">
        <f t="shared" ca="1" si="186"/>
        <v>7643</v>
      </c>
      <c r="G932">
        <f t="shared" ca="1" si="187"/>
        <v>10</v>
      </c>
      <c r="H932">
        <f t="shared" ca="1" si="188"/>
        <v>6878.7</v>
      </c>
      <c r="I932">
        <f t="shared" ca="1" si="189"/>
        <v>1</v>
      </c>
      <c r="J932">
        <f t="shared" ca="1" si="190"/>
        <v>1</v>
      </c>
      <c r="K932">
        <f t="shared" ca="1" si="191"/>
        <v>0</v>
      </c>
      <c r="L932">
        <f t="shared" ca="1" si="192"/>
        <v>0</v>
      </c>
      <c r="M932">
        <f t="shared" ca="1" si="193"/>
        <v>5</v>
      </c>
      <c r="N932">
        <f t="shared" ca="1" si="194"/>
        <v>0</v>
      </c>
    </row>
    <row r="933" spans="1:14" x14ac:dyDescent="0.35">
      <c r="A933" t="s">
        <v>950</v>
      </c>
      <c r="B933" t="str">
        <f t="shared" si="182"/>
        <v>Control</v>
      </c>
      <c r="C933">
        <f t="shared" ca="1" si="183"/>
        <v>24</v>
      </c>
      <c r="D933" t="str">
        <f t="shared" ca="1" si="184"/>
        <v>Male</v>
      </c>
      <c r="E933" t="str">
        <f t="shared" ca="1" si="185"/>
        <v>T-shirts</v>
      </c>
      <c r="F933">
        <f t="shared" ca="1" si="186"/>
        <v>7110</v>
      </c>
      <c r="G933">
        <f t="shared" ca="1" si="187"/>
        <v>10</v>
      </c>
      <c r="H933">
        <f t="shared" ca="1" si="188"/>
        <v>6399</v>
      </c>
      <c r="I933">
        <f t="shared" ca="1" si="189"/>
        <v>0</v>
      </c>
      <c r="J933">
        <f t="shared" ca="1" si="190"/>
        <v>0</v>
      </c>
      <c r="K933">
        <f t="shared" ca="1" si="191"/>
        <v>0</v>
      </c>
      <c r="L933">
        <f t="shared" ca="1" si="192"/>
        <v>0</v>
      </c>
      <c r="M933">
        <f t="shared" ca="1" si="193"/>
        <v>1</v>
      </c>
      <c r="N933">
        <f t="shared" ca="1" si="194"/>
        <v>0</v>
      </c>
    </row>
    <row r="934" spans="1:14" x14ac:dyDescent="0.35">
      <c r="A934" t="s">
        <v>951</v>
      </c>
      <c r="B934" t="str">
        <f t="shared" si="182"/>
        <v>Control</v>
      </c>
      <c r="C934">
        <f t="shared" ca="1" si="183"/>
        <v>22</v>
      </c>
      <c r="D934" t="str">
        <f t="shared" ca="1" si="184"/>
        <v>Female</v>
      </c>
      <c r="E934" t="str">
        <f t="shared" ca="1" si="185"/>
        <v>T-shirts</v>
      </c>
      <c r="F934">
        <f t="shared" ca="1" si="186"/>
        <v>1595</v>
      </c>
      <c r="G934">
        <f t="shared" ca="1" si="187"/>
        <v>10</v>
      </c>
      <c r="H934">
        <f t="shared" ca="1" si="188"/>
        <v>1435.5</v>
      </c>
      <c r="I934">
        <f t="shared" ca="1" si="189"/>
        <v>1</v>
      </c>
      <c r="J934">
        <f t="shared" ca="1" si="190"/>
        <v>0</v>
      </c>
      <c r="K934">
        <f t="shared" ca="1" si="191"/>
        <v>0</v>
      </c>
      <c r="L934">
        <f t="shared" ca="1" si="192"/>
        <v>0</v>
      </c>
      <c r="M934">
        <f t="shared" ca="1" si="193"/>
        <v>3</v>
      </c>
      <c r="N934">
        <f t="shared" ca="1" si="194"/>
        <v>0</v>
      </c>
    </row>
    <row r="935" spans="1:14" x14ac:dyDescent="0.35">
      <c r="A935" t="s">
        <v>952</v>
      </c>
      <c r="B935" t="str">
        <f t="shared" si="182"/>
        <v>Control</v>
      </c>
      <c r="C935">
        <f t="shared" ca="1" si="183"/>
        <v>23</v>
      </c>
      <c r="D935" t="str">
        <f t="shared" ca="1" si="184"/>
        <v>Female</v>
      </c>
      <c r="E935" t="str">
        <f t="shared" ca="1" si="185"/>
        <v>Ethnic Wear</v>
      </c>
      <c r="F935">
        <f t="shared" ca="1" si="186"/>
        <v>2718</v>
      </c>
      <c r="G935">
        <f t="shared" ca="1" si="187"/>
        <v>10</v>
      </c>
      <c r="H935">
        <f t="shared" ca="1" si="188"/>
        <v>2446.2000000000003</v>
      </c>
      <c r="I935">
        <f t="shared" ca="1" si="189"/>
        <v>1</v>
      </c>
      <c r="J935">
        <f t="shared" ca="1" si="190"/>
        <v>0</v>
      </c>
      <c r="K935">
        <f t="shared" ca="1" si="191"/>
        <v>0</v>
      </c>
      <c r="L935">
        <f t="shared" ca="1" si="192"/>
        <v>0</v>
      </c>
      <c r="M935">
        <f t="shared" ca="1" si="193"/>
        <v>5</v>
      </c>
      <c r="N935">
        <f t="shared" ca="1" si="194"/>
        <v>0</v>
      </c>
    </row>
    <row r="936" spans="1:14" x14ac:dyDescent="0.35">
      <c r="A936" t="s">
        <v>953</v>
      </c>
      <c r="B936" t="str">
        <f t="shared" si="182"/>
        <v>Control</v>
      </c>
      <c r="C936">
        <f t="shared" ca="1" si="183"/>
        <v>31</v>
      </c>
      <c r="D936" t="str">
        <f t="shared" ca="1" si="184"/>
        <v>Female</v>
      </c>
      <c r="E936" t="str">
        <f t="shared" ca="1" si="185"/>
        <v>Sportswear</v>
      </c>
      <c r="F936">
        <f t="shared" ca="1" si="186"/>
        <v>455</v>
      </c>
      <c r="G936">
        <f t="shared" ca="1" si="187"/>
        <v>10</v>
      </c>
      <c r="H936">
        <f t="shared" ca="1" si="188"/>
        <v>409.5</v>
      </c>
      <c r="I936">
        <f t="shared" ca="1" si="189"/>
        <v>1</v>
      </c>
      <c r="J936">
        <f t="shared" ca="1" si="190"/>
        <v>1</v>
      </c>
      <c r="K936">
        <f t="shared" ca="1" si="191"/>
        <v>0</v>
      </c>
      <c r="L936">
        <f t="shared" ca="1" si="192"/>
        <v>0</v>
      </c>
      <c r="M936">
        <f t="shared" ca="1" si="193"/>
        <v>7</v>
      </c>
      <c r="N936">
        <f t="shared" ca="1" si="194"/>
        <v>0</v>
      </c>
    </row>
    <row r="937" spans="1:14" x14ac:dyDescent="0.35">
      <c r="A937" t="s">
        <v>954</v>
      </c>
      <c r="B937" t="str">
        <f t="shared" si="182"/>
        <v>Control</v>
      </c>
      <c r="C937">
        <f t="shared" ca="1" si="183"/>
        <v>29</v>
      </c>
      <c r="D937" t="str">
        <f t="shared" ca="1" si="184"/>
        <v>Male</v>
      </c>
      <c r="E937" t="str">
        <f t="shared" ca="1" si="185"/>
        <v>Jeans</v>
      </c>
      <c r="F937">
        <f t="shared" ca="1" si="186"/>
        <v>6416</v>
      </c>
      <c r="G937">
        <f t="shared" ca="1" si="187"/>
        <v>10</v>
      </c>
      <c r="H937">
        <f t="shared" ca="1" si="188"/>
        <v>5774.4000000000005</v>
      </c>
      <c r="I937">
        <f t="shared" ca="1" si="189"/>
        <v>1</v>
      </c>
      <c r="J937">
        <f t="shared" ca="1" si="190"/>
        <v>1</v>
      </c>
      <c r="K937">
        <f t="shared" ca="1" si="191"/>
        <v>0</v>
      </c>
      <c r="L937">
        <f t="shared" ca="1" si="192"/>
        <v>0</v>
      </c>
      <c r="M937">
        <f t="shared" ca="1" si="193"/>
        <v>7</v>
      </c>
      <c r="N937">
        <f t="shared" ca="1" si="194"/>
        <v>0</v>
      </c>
    </row>
    <row r="938" spans="1:14" x14ac:dyDescent="0.35">
      <c r="A938" t="s">
        <v>955</v>
      </c>
      <c r="B938" t="str">
        <f t="shared" si="182"/>
        <v>Control</v>
      </c>
      <c r="C938">
        <f t="shared" ca="1" si="183"/>
        <v>26</v>
      </c>
      <c r="D938" t="str">
        <f t="shared" ca="1" si="184"/>
        <v>Male</v>
      </c>
      <c r="E938" t="str">
        <f t="shared" ca="1" si="185"/>
        <v>Shoes</v>
      </c>
      <c r="F938">
        <f t="shared" ca="1" si="186"/>
        <v>7822</v>
      </c>
      <c r="G938">
        <f t="shared" ca="1" si="187"/>
        <v>10</v>
      </c>
      <c r="H938">
        <f t="shared" ca="1" si="188"/>
        <v>7039.8</v>
      </c>
      <c r="I938">
        <f t="shared" ca="1" si="189"/>
        <v>1</v>
      </c>
      <c r="J938">
        <f t="shared" ca="1" si="190"/>
        <v>1</v>
      </c>
      <c r="K938">
        <f t="shared" ca="1" si="191"/>
        <v>0</v>
      </c>
      <c r="L938">
        <f t="shared" ca="1" si="192"/>
        <v>0</v>
      </c>
      <c r="M938">
        <f t="shared" ca="1" si="193"/>
        <v>4</v>
      </c>
      <c r="N938">
        <f t="shared" ca="1" si="194"/>
        <v>0</v>
      </c>
    </row>
    <row r="939" spans="1:14" x14ac:dyDescent="0.35">
      <c r="A939" t="s">
        <v>956</v>
      </c>
      <c r="B939" t="str">
        <f t="shared" si="182"/>
        <v>Control</v>
      </c>
      <c r="C939">
        <f t="shared" ca="1" si="183"/>
        <v>31</v>
      </c>
      <c r="D939" t="str">
        <f t="shared" ca="1" si="184"/>
        <v>Female</v>
      </c>
      <c r="E939" t="str">
        <f t="shared" ca="1" si="185"/>
        <v>Jeans</v>
      </c>
      <c r="F939">
        <f t="shared" ca="1" si="186"/>
        <v>6724</v>
      </c>
      <c r="G939">
        <f t="shared" ca="1" si="187"/>
        <v>10</v>
      </c>
      <c r="H939">
        <f t="shared" ca="1" si="188"/>
        <v>6051.6</v>
      </c>
      <c r="I939">
        <f t="shared" ca="1" si="189"/>
        <v>1</v>
      </c>
      <c r="J939">
        <f t="shared" ca="1" si="190"/>
        <v>1</v>
      </c>
      <c r="K939">
        <f t="shared" ca="1" si="191"/>
        <v>1</v>
      </c>
      <c r="L939">
        <f t="shared" ca="1" si="192"/>
        <v>6051.6</v>
      </c>
      <c r="M939">
        <f t="shared" ca="1" si="193"/>
        <v>3</v>
      </c>
      <c r="N939">
        <f t="shared" ca="1" si="194"/>
        <v>0</v>
      </c>
    </row>
    <row r="940" spans="1:14" x14ac:dyDescent="0.35">
      <c r="A940" t="s">
        <v>957</v>
      </c>
      <c r="B940" t="str">
        <f t="shared" si="182"/>
        <v>Control</v>
      </c>
      <c r="C940">
        <f t="shared" ca="1" si="183"/>
        <v>41</v>
      </c>
      <c r="D940" t="str">
        <f t="shared" ca="1" si="184"/>
        <v>Female</v>
      </c>
      <c r="E940" t="str">
        <f t="shared" ca="1" si="185"/>
        <v>T-shirts</v>
      </c>
      <c r="F940">
        <f t="shared" ca="1" si="186"/>
        <v>1069</v>
      </c>
      <c r="G940">
        <f t="shared" ca="1" si="187"/>
        <v>10</v>
      </c>
      <c r="H940">
        <f t="shared" ca="1" si="188"/>
        <v>962.1</v>
      </c>
      <c r="I940">
        <f t="shared" ca="1" si="189"/>
        <v>0</v>
      </c>
      <c r="J940">
        <f t="shared" ca="1" si="190"/>
        <v>0</v>
      </c>
      <c r="K940">
        <f t="shared" ca="1" si="191"/>
        <v>0</v>
      </c>
      <c r="L940">
        <f t="shared" ca="1" si="192"/>
        <v>0</v>
      </c>
      <c r="M940">
        <f t="shared" ca="1" si="193"/>
        <v>2</v>
      </c>
      <c r="N940">
        <f t="shared" ca="1" si="194"/>
        <v>0</v>
      </c>
    </row>
    <row r="941" spans="1:14" x14ac:dyDescent="0.35">
      <c r="A941" t="s">
        <v>958</v>
      </c>
      <c r="B941" t="str">
        <f t="shared" si="182"/>
        <v>Control</v>
      </c>
      <c r="C941">
        <f t="shared" ca="1" si="183"/>
        <v>20</v>
      </c>
      <c r="D941" t="str">
        <f t="shared" ca="1" si="184"/>
        <v>Female</v>
      </c>
      <c r="E941" t="str">
        <f t="shared" ca="1" si="185"/>
        <v>Ethnic Wear</v>
      </c>
      <c r="F941">
        <f t="shared" ca="1" si="186"/>
        <v>6083</v>
      </c>
      <c r="G941">
        <f t="shared" ca="1" si="187"/>
        <v>10</v>
      </c>
      <c r="H941">
        <f t="shared" ca="1" si="188"/>
        <v>5474.7</v>
      </c>
      <c r="I941">
        <f t="shared" ca="1" si="189"/>
        <v>1</v>
      </c>
      <c r="J941">
        <f t="shared" ca="1" si="190"/>
        <v>1</v>
      </c>
      <c r="K941">
        <f t="shared" ca="1" si="191"/>
        <v>1</v>
      </c>
      <c r="L941">
        <f t="shared" ca="1" si="192"/>
        <v>5474.7</v>
      </c>
      <c r="M941">
        <f t="shared" ca="1" si="193"/>
        <v>3</v>
      </c>
      <c r="N941">
        <f t="shared" ca="1" si="194"/>
        <v>1</v>
      </c>
    </row>
    <row r="942" spans="1:14" x14ac:dyDescent="0.35">
      <c r="A942" t="s">
        <v>959</v>
      </c>
      <c r="B942" t="str">
        <f t="shared" si="182"/>
        <v>Control</v>
      </c>
      <c r="C942">
        <f t="shared" ca="1" si="183"/>
        <v>38</v>
      </c>
      <c r="D942" t="str">
        <f t="shared" ca="1" si="184"/>
        <v>Female</v>
      </c>
      <c r="E942" t="str">
        <f t="shared" ca="1" si="185"/>
        <v>Ethnic Wear</v>
      </c>
      <c r="F942">
        <f t="shared" ca="1" si="186"/>
        <v>4038</v>
      </c>
      <c r="G942">
        <f t="shared" ca="1" si="187"/>
        <v>10</v>
      </c>
      <c r="H942">
        <f t="shared" ca="1" si="188"/>
        <v>3634.2000000000003</v>
      </c>
      <c r="I942">
        <f t="shared" ca="1" si="189"/>
        <v>0</v>
      </c>
      <c r="J942">
        <f t="shared" ca="1" si="190"/>
        <v>0</v>
      </c>
      <c r="K942">
        <f t="shared" ca="1" si="191"/>
        <v>0</v>
      </c>
      <c r="L942">
        <f t="shared" ca="1" si="192"/>
        <v>0</v>
      </c>
      <c r="M942">
        <f t="shared" ca="1" si="193"/>
        <v>1</v>
      </c>
      <c r="N942">
        <f t="shared" ca="1" si="194"/>
        <v>0</v>
      </c>
    </row>
    <row r="943" spans="1:14" x14ac:dyDescent="0.35">
      <c r="A943" t="s">
        <v>960</v>
      </c>
      <c r="B943" t="str">
        <f t="shared" si="182"/>
        <v>Control</v>
      </c>
      <c r="C943">
        <f t="shared" ca="1" si="183"/>
        <v>38</v>
      </c>
      <c r="D943" t="str">
        <f t="shared" ca="1" si="184"/>
        <v>Other</v>
      </c>
      <c r="E943" t="str">
        <f t="shared" ca="1" si="185"/>
        <v>T-shirts</v>
      </c>
      <c r="F943">
        <f t="shared" ca="1" si="186"/>
        <v>5257</v>
      </c>
      <c r="G943">
        <f t="shared" ca="1" si="187"/>
        <v>10</v>
      </c>
      <c r="H943">
        <f t="shared" ca="1" si="188"/>
        <v>4731.3</v>
      </c>
      <c r="I943">
        <f t="shared" ca="1" si="189"/>
        <v>1</v>
      </c>
      <c r="J943">
        <f t="shared" ca="1" si="190"/>
        <v>1</v>
      </c>
      <c r="K943">
        <f t="shared" ca="1" si="191"/>
        <v>1</v>
      </c>
      <c r="L943">
        <f t="shared" ca="1" si="192"/>
        <v>4731.3</v>
      </c>
      <c r="M943">
        <f t="shared" ca="1" si="193"/>
        <v>4</v>
      </c>
      <c r="N943">
        <f t="shared" ca="1" si="194"/>
        <v>1</v>
      </c>
    </row>
    <row r="944" spans="1:14" x14ac:dyDescent="0.35">
      <c r="A944" t="s">
        <v>961</v>
      </c>
      <c r="B944" t="str">
        <f t="shared" si="182"/>
        <v>Control</v>
      </c>
      <c r="C944">
        <f t="shared" ca="1" si="183"/>
        <v>35</v>
      </c>
      <c r="D944" t="str">
        <f t="shared" ca="1" si="184"/>
        <v>Male</v>
      </c>
      <c r="E944" t="str">
        <f t="shared" ca="1" si="185"/>
        <v>Dresses</v>
      </c>
      <c r="F944">
        <f t="shared" ca="1" si="186"/>
        <v>3756</v>
      </c>
      <c r="G944">
        <f t="shared" ca="1" si="187"/>
        <v>10</v>
      </c>
      <c r="H944">
        <f t="shared" ca="1" si="188"/>
        <v>3380.4</v>
      </c>
      <c r="I944">
        <f t="shared" ca="1" si="189"/>
        <v>1</v>
      </c>
      <c r="J944">
        <f t="shared" ca="1" si="190"/>
        <v>1</v>
      </c>
      <c r="K944">
        <f t="shared" ca="1" si="191"/>
        <v>0</v>
      </c>
      <c r="L944">
        <f t="shared" ca="1" si="192"/>
        <v>0</v>
      </c>
      <c r="M944">
        <f t="shared" ca="1" si="193"/>
        <v>4</v>
      </c>
      <c r="N944">
        <f t="shared" ca="1" si="194"/>
        <v>0</v>
      </c>
    </row>
    <row r="945" spans="1:14" x14ac:dyDescent="0.35">
      <c r="A945" t="s">
        <v>962</v>
      </c>
      <c r="B945" t="str">
        <f t="shared" si="182"/>
        <v>Control</v>
      </c>
      <c r="C945">
        <f t="shared" ca="1" si="183"/>
        <v>27</v>
      </c>
      <c r="D945" t="str">
        <f t="shared" ca="1" si="184"/>
        <v>Male</v>
      </c>
      <c r="E945" t="str">
        <f t="shared" ca="1" si="185"/>
        <v>Jeans</v>
      </c>
      <c r="F945">
        <f t="shared" ca="1" si="186"/>
        <v>2214</v>
      </c>
      <c r="G945">
        <f t="shared" ca="1" si="187"/>
        <v>10</v>
      </c>
      <c r="H945">
        <f t="shared" ca="1" si="188"/>
        <v>1992.6000000000001</v>
      </c>
      <c r="I945">
        <f t="shared" ca="1" si="189"/>
        <v>1</v>
      </c>
      <c r="J945">
        <f t="shared" ca="1" si="190"/>
        <v>1</v>
      </c>
      <c r="K945">
        <f t="shared" ca="1" si="191"/>
        <v>1</v>
      </c>
      <c r="L945">
        <f t="shared" ca="1" si="192"/>
        <v>1992.6000000000001</v>
      </c>
      <c r="M945">
        <f t="shared" ca="1" si="193"/>
        <v>7</v>
      </c>
      <c r="N945">
        <f t="shared" ca="1" si="194"/>
        <v>0</v>
      </c>
    </row>
    <row r="946" spans="1:14" x14ac:dyDescent="0.35">
      <c r="A946" t="s">
        <v>963</v>
      </c>
      <c r="B946" t="str">
        <f t="shared" si="182"/>
        <v>Control</v>
      </c>
      <c r="C946">
        <f t="shared" ca="1" si="183"/>
        <v>25</v>
      </c>
      <c r="D946" t="str">
        <f t="shared" ca="1" si="184"/>
        <v>Female</v>
      </c>
      <c r="E946" t="str">
        <f t="shared" ca="1" si="185"/>
        <v>Ethnic Wear</v>
      </c>
      <c r="F946">
        <f t="shared" ca="1" si="186"/>
        <v>4096</v>
      </c>
      <c r="G946">
        <f t="shared" ca="1" si="187"/>
        <v>10</v>
      </c>
      <c r="H946">
        <f t="shared" ca="1" si="188"/>
        <v>3686.4</v>
      </c>
      <c r="I946">
        <f t="shared" ca="1" si="189"/>
        <v>1</v>
      </c>
      <c r="J946">
        <f t="shared" ca="1" si="190"/>
        <v>1</v>
      </c>
      <c r="K946">
        <f t="shared" ca="1" si="191"/>
        <v>0</v>
      </c>
      <c r="L946">
        <f t="shared" ca="1" si="192"/>
        <v>0</v>
      </c>
      <c r="M946">
        <f t="shared" ca="1" si="193"/>
        <v>3</v>
      </c>
      <c r="N946">
        <f t="shared" ca="1" si="194"/>
        <v>0</v>
      </c>
    </row>
    <row r="947" spans="1:14" x14ac:dyDescent="0.35">
      <c r="A947" t="s">
        <v>964</v>
      </c>
      <c r="B947" t="str">
        <f t="shared" si="182"/>
        <v>Control</v>
      </c>
      <c r="C947">
        <f t="shared" ca="1" si="183"/>
        <v>39</v>
      </c>
      <c r="D947" t="str">
        <f t="shared" ca="1" si="184"/>
        <v>Female</v>
      </c>
      <c r="E947" t="str">
        <f t="shared" ca="1" si="185"/>
        <v>Tops</v>
      </c>
      <c r="F947">
        <f t="shared" ca="1" si="186"/>
        <v>1345</v>
      </c>
      <c r="G947">
        <f t="shared" ca="1" si="187"/>
        <v>10</v>
      </c>
      <c r="H947">
        <f t="shared" ca="1" si="188"/>
        <v>1210.5</v>
      </c>
      <c r="I947">
        <f t="shared" ca="1" si="189"/>
        <v>1</v>
      </c>
      <c r="J947">
        <f t="shared" ca="1" si="190"/>
        <v>1</v>
      </c>
      <c r="K947">
        <f t="shared" ca="1" si="191"/>
        <v>0</v>
      </c>
      <c r="L947">
        <f t="shared" ca="1" si="192"/>
        <v>0</v>
      </c>
      <c r="M947">
        <f t="shared" ca="1" si="193"/>
        <v>4</v>
      </c>
      <c r="N947">
        <f t="shared" ca="1" si="194"/>
        <v>0</v>
      </c>
    </row>
    <row r="948" spans="1:14" x14ac:dyDescent="0.35">
      <c r="A948" t="s">
        <v>965</v>
      </c>
      <c r="B948" t="str">
        <f t="shared" si="182"/>
        <v>Control</v>
      </c>
      <c r="C948">
        <f t="shared" ca="1" si="183"/>
        <v>22</v>
      </c>
      <c r="D948" t="str">
        <f t="shared" ca="1" si="184"/>
        <v>Male</v>
      </c>
      <c r="E948" t="str">
        <f t="shared" ca="1" si="185"/>
        <v>Dresses</v>
      </c>
      <c r="F948">
        <f t="shared" ca="1" si="186"/>
        <v>6531</v>
      </c>
      <c r="G948">
        <f t="shared" ca="1" si="187"/>
        <v>10</v>
      </c>
      <c r="H948">
        <f t="shared" ca="1" si="188"/>
        <v>5877.9000000000005</v>
      </c>
      <c r="I948">
        <f t="shared" ca="1" si="189"/>
        <v>1</v>
      </c>
      <c r="J948">
        <f t="shared" ca="1" si="190"/>
        <v>1</v>
      </c>
      <c r="K948">
        <f t="shared" ca="1" si="191"/>
        <v>0</v>
      </c>
      <c r="L948">
        <f t="shared" ca="1" si="192"/>
        <v>0</v>
      </c>
      <c r="M948">
        <f t="shared" ca="1" si="193"/>
        <v>3</v>
      </c>
      <c r="N948">
        <f t="shared" ca="1" si="194"/>
        <v>0</v>
      </c>
    </row>
    <row r="949" spans="1:14" x14ac:dyDescent="0.35">
      <c r="A949" t="s">
        <v>966</v>
      </c>
      <c r="B949" t="str">
        <f t="shared" si="182"/>
        <v>Control</v>
      </c>
      <c r="C949">
        <f t="shared" ca="1" si="183"/>
        <v>33</v>
      </c>
      <c r="D949" t="str">
        <f t="shared" ca="1" si="184"/>
        <v>Female</v>
      </c>
      <c r="E949" t="str">
        <f t="shared" ca="1" si="185"/>
        <v>Jeans</v>
      </c>
      <c r="F949">
        <f t="shared" ca="1" si="186"/>
        <v>3708</v>
      </c>
      <c r="G949">
        <f t="shared" ca="1" si="187"/>
        <v>10</v>
      </c>
      <c r="H949">
        <f t="shared" ca="1" si="188"/>
        <v>3337.2000000000003</v>
      </c>
      <c r="I949">
        <f t="shared" ca="1" si="189"/>
        <v>1</v>
      </c>
      <c r="J949">
        <f t="shared" ca="1" si="190"/>
        <v>1</v>
      </c>
      <c r="K949">
        <f t="shared" ca="1" si="191"/>
        <v>0</v>
      </c>
      <c r="L949">
        <f t="shared" ca="1" si="192"/>
        <v>0</v>
      </c>
      <c r="M949">
        <f t="shared" ca="1" si="193"/>
        <v>1</v>
      </c>
      <c r="N949">
        <f t="shared" ca="1" si="194"/>
        <v>0</v>
      </c>
    </row>
    <row r="950" spans="1:14" x14ac:dyDescent="0.35">
      <c r="A950" t="s">
        <v>967</v>
      </c>
      <c r="B950" t="str">
        <f t="shared" si="182"/>
        <v>Control</v>
      </c>
      <c r="C950">
        <f t="shared" ca="1" si="183"/>
        <v>23</v>
      </c>
      <c r="D950" t="str">
        <f t="shared" ca="1" si="184"/>
        <v>Female</v>
      </c>
      <c r="E950" t="str">
        <f t="shared" ca="1" si="185"/>
        <v>Dresses</v>
      </c>
      <c r="F950">
        <f t="shared" ca="1" si="186"/>
        <v>978</v>
      </c>
      <c r="G950">
        <f t="shared" ca="1" si="187"/>
        <v>10</v>
      </c>
      <c r="H950">
        <f t="shared" ca="1" si="188"/>
        <v>880.2</v>
      </c>
      <c r="I950">
        <f t="shared" ca="1" si="189"/>
        <v>1</v>
      </c>
      <c r="J950">
        <f t="shared" ca="1" si="190"/>
        <v>1</v>
      </c>
      <c r="K950">
        <f t="shared" ca="1" si="191"/>
        <v>0</v>
      </c>
      <c r="L950">
        <f t="shared" ca="1" si="192"/>
        <v>0</v>
      </c>
      <c r="M950">
        <f t="shared" ca="1" si="193"/>
        <v>4</v>
      </c>
      <c r="N950">
        <f t="shared" ca="1" si="194"/>
        <v>0</v>
      </c>
    </row>
    <row r="951" spans="1:14" x14ac:dyDescent="0.35">
      <c r="A951" t="s">
        <v>968</v>
      </c>
      <c r="B951" t="str">
        <f t="shared" si="182"/>
        <v>Control</v>
      </c>
      <c r="C951">
        <f t="shared" ca="1" si="183"/>
        <v>31</v>
      </c>
      <c r="D951" t="str">
        <f t="shared" ca="1" si="184"/>
        <v>Male</v>
      </c>
      <c r="E951" t="str">
        <f t="shared" ca="1" si="185"/>
        <v>Accessories</v>
      </c>
      <c r="F951">
        <f t="shared" ca="1" si="186"/>
        <v>645</v>
      </c>
      <c r="G951">
        <f t="shared" ca="1" si="187"/>
        <v>10</v>
      </c>
      <c r="H951">
        <f t="shared" ca="1" si="188"/>
        <v>580.5</v>
      </c>
      <c r="I951">
        <f t="shared" ca="1" si="189"/>
        <v>1</v>
      </c>
      <c r="J951">
        <f t="shared" ca="1" si="190"/>
        <v>1</v>
      </c>
      <c r="K951">
        <f t="shared" ca="1" si="191"/>
        <v>1</v>
      </c>
      <c r="L951">
        <f t="shared" ca="1" si="192"/>
        <v>580.5</v>
      </c>
      <c r="M951">
        <f t="shared" ca="1" si="193"/>
        <v>3</v>
      </c>
      <c r="N951">
        <f t="shared" ca="1" si="194"/>
        <v>0</v>
      </c>
    </row>
    <row r="952" spans="1:14" x14ac:dyDescent="0.35">
      <c r="A952" t="s">
        <v>969</v>
      </c>
      <c r="B952" t="str">
        <f t="shared" si="182"/>
        <v>Control</v>
      </c>
      <c r="C952">
        <f t="shared" ca="1" si="183"/>
        <v>25</v>
      </c>
      <c r="D952" t="str">
        <f t="shared" ca="1" si="184"/>
        <v>Male</v>
      </c>
      <c r="E952" t="str">
        <f t="shared" ca="1" si="185"/>
        <v>Sportswear</v>
      </c>
      <c r="F952">
        <f t="shared" ca="1" si="186"/>
        <v>7322</v>
      </c>
      <c r="G952">
        <f t="shared" ca="1" si="187"/>
        <v>10</v>
      </c>
      <c r="H952">
        <f t="shared" ca="1" si="188"/>
        <v>6589.8</v>
      </c>
      <c r="I952">
        <f t="shared" ca="1" si="189"/>
        <v>0</v>
      </c>
      <c r="J952">
        <f t="shared" ca="1" si="190"/>
        <v>0</v>
      </c>
      <c r="K952">
        <f t="shared" ca="1" si="191"/>
        <v>0</v>
      </c>
      <c r="L952">
        <f t="shared" ca="1" si="192"/>
        <v>0</v>
      </c>
      <c r="M952">
        <f t="shared" ca="1" si="193"/>
        <v>1</v>
      </c>
      <c r="N952">
        <f t="shared" ca="1" si="194"/>
        <v>0</v>
      </c>
    </row>
    <row r="953" spans="1:14" x14ac:dyDescent="0.35">
      <c r="A953" t="s">
        <v>970</v>
      </c>
      <c r="B953" t="str">
        <f t="shared" si="182"/>
        <v>Control</v>
      </c>
      <c r="C953">
        <f t="shared" ca="1" si="183"/>
        <v>45</v>
      </c>
      <c r="D953" t="str">
        <f t="shared" ca="1" si="184"/>
        <v>Female</v>
      </c>
      <c r="E953" t="str">
        <f t="shared" ca="1" si="185"/>
        <v>T-shirts</v>
      </c>
      <c r="F953">
        <f t="shared" ca="1" si="186"/>
        <v>5519</v>
      </c>
      <c r="G953">
        <f t="shared" ca="1" si="187"/>
        <v>10</v>
      </c>
      <c r="H953">
        <f t="shared" ca="1" si="188"/>
        <v>4967.1000000000004</v>
      </c>
      <c r="I953">
        <f t="shared" ca="1" si="189"/>
        <v>1</v>
      </c>
      <c r="J953">
        <f t="shared" ca="1" si="190"/>
        <v>0</v>
      </c>
      <c r="K953">
        <f t="shared" ca="1" si="191"/>
        <v>0</v>
      </c>
      <c r="L953">
        <f t="shared" ca="1" si="192"/>
        <v>0</v>
      </c>
      <c r="M953">
        <f t="shared" ca="1" si="193"/>
        <v>5</v>
      </c>
      <c r="N953">
        <f t="shared" ca="1" si="194"/>
        <v>0</v>
      </c>
    </row>
    <row r="954" spans="1:14" x14ac:dyDescent="0.35">
      <c r="A954" t="s">
        <v>971</v>
      </c>
      <c r="B954" t="str">
        <f t="shared" si="182"/>
        <v>Control</v>
      </c>
      <c r="C954">
        <f t="shared" ca="1" si="183"/>
        <v>44</v>
      </c>
      <c r="D954" t="str">
        <f t="shared" ca="1" si="184"/>
        <v>Female</v>
      </c>
      <c r="E954" t="str">
        <f t="shared" ca="1" si="185"/>
        <v>Sportswear</v>
      </c>
      <c r="F954">
        <f t="shared" ca="1" si="186"/>
        <v>1194</v>
      </c>
      <c r="G954">
        <f t="shared" ca="1" si="187"/>
        <v>10</v>
      </c>
      <c r="H954">
        <f t="shared" ca="1" si="188"/>
        <v>1074.6000000000001</v>
      </c>
      <c r="I954">
        <f t="shared" ca="1" si="189"/>
        <v>1</v>
      </c>
      <c r="J954">
        <f t="shared" ca="1" si="190"/>
        <v>1</v>
      </c>
      <c r="K954">
        <f t="shared" ca="1" si="191"/>
        <v>0</v>
      </c>
      <c r="L954">
        <f t="shared" ca="1" si="192"/>
        <v>0</v>
      </c>
      <c r="M954">
        <f t="shared" ca="1" si="193"/>
        <v>2</v>
      </c>
      <c r="N954">
        <f t="shared" ca="1" si="194"/>
        <v>0</v>
      </c>
    </row>
    <row r="955" spans="1:14" x14ac:dyDescent="0.35">
      <c r="A955" t="s">
        <v>972</v>
      </c>
      <c r="B955" t="str">
        <f t="shared" si="182"/>
        <v>Control</v>
      </c>
      <c r="C955">
        <f t="shared" ca="1" si="183"/>
        <v>24</v>
      </c>
      <c r="D955" t="str">
        <f t="shared" ca="1" si="184"/>
        <v>Female</v>
      </c>
      <c r="E955" t="str">
        <f t="shared" ca="1" si="185"/>
        <v>Jeans</v>
      </c>
      <c r="F955">
        <f t="shared" ca="1" si="186"/>
        <v>7810</v>
      </c>
      <c r="G955">
        <f t="shared" ca="1" si="187"/>
        <v>10</v>
      </c>
      <c r="H955">
        <f t="shared" ca="1" si="188"/>
        <v>7029</v>
      </c>
      <c r="I955">
        <f t="shared" ca="1" si="189"/>
        <v>1</v>
      </c>
      <c r="J955">
        <f t="shared" ca="1" si="190"/>
        <v>1</v>
      </c>
      <c r="K955">
        <f t="shared" ca="1" si="191"/>
        <v>0</v>
      </c>
      <c r="L955">
        <f t="shared" ca="1" si="192"/>
        <v>0</v>
      </c>
      <c r="M955">
        <f t="shared" ca="1" si="193"/>
        <v>1</v>
      </c>
      <c r="N955">
        <f t="shared" ca="1" si="194"/>
        <v>0</v>
      </c>
    </row>
    <row r="956" spans="1:14" x14ac:dyDescent="0.35">
      <c r="A956" t="s">
        <v>973</v>
      </c>
      <c r="B956" t="str">
        <f t="shared" si="182"/>
        <v>Control</v>
      </c>
      <c r="C956">
        <f t="shared" ca="1" si="183"/>
        <v>39</v>
      </c>
      <c r="D956" t="str">
        <f t="shared" ca="1" si="184"/>
        <v>Male</v>
      </c>
      <c r="E956" t="str">
        <f t="shared" ca="1" si="185"/>
        <v>Jeans</v>
      </c>
      <c r="F956">
        <f t="shared" ca="1" si="186"/>
        <v>3731</v>
      </c>
      <c r="G956">
        <f t="shared" ca="1" si="187"/>
        <v>10</v>
      </c>
      <c r="H956">
        <f t="shared" ca="1" si="188"/>
        <v>3357.9</v>
      </c>
      <c r="I956">
        <f t="shared" ca="1" si="189"/>
        <v>0</v>
      </c>
      <c r="J956">
        <f t="shared" ca="1" si="190"/>
        <v>0</v>
      </c>
      <c r="K956">
        <f t="shared" ca="1" si="191"/>
        <v>0</v>
      </c>
      <c r="L956">
        <f t="shared" ca="1" si="192"/>
        <v>0</v>
      </c>
      <c r="M956">
        <f t="shared" ca="1" si="193"/>
        <v>4</v>
      </c>
      <c r="N956">
        <f t="shared" ca="1" si="194"/>
        <v>0</v>
      </c>
    </row>
    <row r="957" spans="1:14" x14ac:dyDescent="0.35">
      <c r="A957" t="s">
        <v>974</v>
      </c>
      <c r="B957" t="str">
        <f t="shared" si="182"/>
        <v>Control</v>
      </c>
      <c r="C957">
        <f t="shared" ca="1" si="183"/>
        <v>22</v>
      </c>
      <c r="D957" t="str">
        <f t="shared" ca="1" si="184"/>
        <v>Male</v>
      </c>
      <c r="E957" t="str">
        <f t="shared" ca="1" si="185"/>
        <v>T-shirts</v>
      </c>
      <c r="F957">
        <f t="shared" ca="1" si="186"/>
        <v>1792</v>
      </c>
      <c r="G957">
        <f t="shared" ca="1" si="187"/>
        <v>10</v>
      </c>
      <c r="H957">
        <f t="shared" ca="1" si="188"/>
        <v>1612.8</v>
      </c>
      <c r="I957">
        <f t="shared" ca="1" si="189"/>
        <v>1</v>
      </c>
      <c r="J957">
        <f t="shared" ca="1" si="190"/>
        <v>0</v>
      </c>
      <c r="K957">
        <f t="shared" ca="1" si="191"/>
        <v>0</v>
      </c>
      <c r="L957">
        <f t="shared" ca="1" si="192"/>
        <v>0</v>
      </c>
      <c r="M957">
        <f t="shared" ca="1" si="193"/>
        <v>1</v>
      </c>
      <c r="N957">
        <f t="shared" ca="1" si="194"/>
        <v>0</v>
      </c>
    </row>
    <row r="958" spans="1:14" x14ac:dyDescent="0.35">
      <c r="A958" t="s">
        <v>975</v>
      </c>
      <c r="B958" t="str">
        <f t="shared" si="182"/>
        <v>Control</v>
      </c>
      <c r="C958">
        <f t="shared" ca="1" si="183"/>
        <v>18</v>
      </c>
      <c r="D958" t="str">
        <f t="shared" ca="1" si="184"/>
        <v>Male</v>
      </c>
      <c r="E958" t="str">
        <f t="shared" ca="1" si="185"/>
        <v>T-shirts</v>
      </c>
      <c r="F958">
        <f t="shared" ca="1" si="186"/>
        <v>3226</v>
      </c>
      <c r="G958">
        <f t="shared" ca="1" si="187"/>
        <v>10</v>
      </c>
      <c r="H958">
        <f t="shared" ca="1" si="188"/>
        <v>2903.4</v>
      </c>
      <c r="I958">
        <f t="shared" ca="1" si="189"/>
        <v>1</v>
      </c>
      <c r="J958">
        <f t="shared" ca="1" si="190"/>
        <v>0</v>
      </c>
      <c r="K958">
        <f t="shared" ca="1" si="191"/>
        <v>0</v>
      </c>
      <c r="L958">
        <f t="shared" ca="1" si="192"/>
        <v>0</v>
      </c>
      <c r="M958">
        <f t="shared" ca="1" si="193"/>
        <v>4</v>
      </c>
      <c r="N958">
        <f t="shared" ca="1" si="194"/>
        <v>0</v>
      </c>
    </row>
    <row r="959" spans="1:14" x14ac:dyDescent="0.35">
      <c r="A959" t="s">
        <v>976</v>
      </c>
      <c r="B959" t="str">
        <f t="shared" si="182"/>
        <v>Control</v>
      </c>
      <c r="C959">
        <f t="shared" ca="1" si="183"/>
        <v>21</v>
      </c>
      <c r="D959" t="str">
        <f t="shared" ca="1" si="184"/>
        <v>Male</v>
      </c>
      <c r="E959" t="str">
        <f t="shared" ca="1" si="185"/>
        <v>Dresses</v>
      </c>
      <c r="F959">
        <f t="shared" ca="1" si="186"/>
        <v>3996</v>
      </c>
      <c r="G959">
        <f t="shared" ca="1" si="187"/>
        <v>10</v>
      </c>
      <c r="H959">
        <f t="shared" ca="1" si="188"/>
        <v>3596.4</v>
      </c>
      <c r="I959">
        <f t="shared" ca="1" si="189"/>
        <v>1</v>
      </c>
      <c r="J959">
        <f t="shared" ca="1" si="190"/>
        <v>1</v>
      </c>
      <c r="K959">
        <f t="shared" ca="1" si="191"/>
        <v>0</v>
      </c>
      <c r="L959">
        <f t="shared" ca="1" si="192"/>
        <v>0</v>
      </c>
      <c r="M959">
        <f t="shared" ca="1" si="193"/>
        <v>6</v>
      </c>
      <c r="N959">
        <f t="shared" ca="1" si="194"/>
        <v>0</v>
      </c>
    </row>
    <row r="960" spans="1:14" x14ac:dyDescent="0.35">
      <c r="A960" t="s">
        <v>977</v>
      </c>
      <c r="B960" t="str">
        <f t="shared" si="182"/>
        <v>Control</v>
      </c>
      <c r="C960">
        <f t="shared" ca="1" si="183"/>
        <v>20</v>
      </c>
      <c r="D960" t="str">
        <f t="shared" ca="1" si="184"/>
        <v>Female</v>
      </c>
      <c r="E960" t="str">
        <f t="shared" ca="1" si="185"/>
        <v>T-shirts</v>
      </c>
      <c r="F960">
        <f t="shared" ca="1" si="186"/>
        <v>1853</v>
      </c>
      <c r="G960">
        <f t="shared" ca="1" si="187"/>
        <v>10</v>
      </c>
      <c r="H960">
        <f t="shared" ca="1" si="188"/>
        <v>1667.7</v>
      </c>
      <c r="I960">
        <f t="shared" ca="1" si="189"/>
        <v>1</v>
      </c>
      <c r="J960">
        <f t="shared" ca="1" si="190"/>
        <v>0</v>
      </c>
      <c r="K960">
        <f t="shared" ca="1" si="191"/>
        <v>0</v>
      </c>
      <c r="L960">
        <f t="shared" ca="1" si="192"/>
        <v>0</v>
      </c>
      <c r="M960">
        <f t="shared" ca="1" si="193"/>
        <v>3</v>
      </c>
      <c r="N960">
        <f t="shared" ca="1" si="194"/>
        <v>0</v>
      </c>
    </row>
    <row r="961" spans="1:14" x14ac:dyDescent="0.35">
      <c r="A961" t="s">
        <v>978</v>
      </c>
      <c r="B961" t="str">
        <f t="shared" si="182"/>
        <v>Control</v>
      </c>
      <c r="C961">
        <f t="shared" ca="1" si="183"/>
        <v>41</v>
      </c>
      <c r="D961" t="str">
        <f t="shared" ca="1" si="184"/>
        <v>Female</v>
      </c>
      <c r="E961" t="str">
        <f t="shared" ca="1" si="185"/>
        <v>Shoes</v>
      </c>
      <c r="F961">
        <f t="shared" ca="1" si="186"/>
        <v>3753</v>
      </c>
      <c r="G961">
        <f t="shared" ca="1" si="187"/>
        <v>10</v>
      </c>
      <c r="H961">
        <f t="shared" ca="1" si="188"/>
        <v>3377.7000000000003</v>
      </c>
      <c r="I961">
        <f t="shared" ca="1" si="189"/>
        <v>1</v>
      </c>
      <c r="J961">
        <f t="shared" ca="1" si="190"/>
        <v>0</v>
      </c>
      <c r="K961">
        <f t="shared" ca="1" si="191"/>
        <v>0</v>
      </c>
      <c r="L961">
        <f t="shared" ca="1" si="192"/>
        <v>0</v>
      </c>
      <c r="M961">
        <f t="shared" ca="1" si="193"/>
        <v>2</v>
      </c>
      <c r="N961">
        <f t="shared" ca="1" si="194"/>
        <v>0</v>
      </c>
    </row>
    <row r="962" spans="1:14" x14ac:dyDescent="0.35">
      <c r="A962" t="s">
        <v>979</v>
      </c>
      <c r="B962" t="str">
        <f t="shared" si="182"/>
        <v>Control</v>
      </c>
      <c r="C962">
        <f t="shared" ca="1" si="183"/>
        <v>18</v>
      </c>
      <c r="D962" t="str">
        <f t="shared" ca="1" si="184"/>
        <v>Female</v>
      </c>
      <c r="E962" t="str">
        <f t="shared" ca="1" si="185"/>
        <v>T-shirts</v>
      </c>
      <c r="F962">
        <f t="shared" ca="1" si="186"/>
        <v>6321</v>
      </c>
      <c r="G962">
        <f t="shared" ca="1" si="187"/>
        <v>10</v>
      </c>
      <c r="H962">
        <f t="shared" ca="1" si="188"/>
        <v>5688.9000000000005</v>
      </c>
      <c r="I962">
        <f t="shared" ca="1" si="189"/>
        <v>1</v>
      </c>
      <c r="J962">
        <f t="shared" ca="1" si="190"/>
        <v>0</v>
      </c>
      <c r="K962">
        <f t="shared" ca="1" si="191"/>
        <v>0</v>
      </c>
      <c r="L962">
        <f t="shared" ca="1" si="192"/>
        <v>0</v>
      </c>
      <c r="M962">
        <f t="shared" ca="1" si="193"/>
        <v>5</v>
      </c>
      <c r="N962">
        <f t="shared" ca="1" si="194"/>
        <v>0</v>
      </c>
    </row>
    <row r="963" spans="1:14" x14ac:dyDescent="0.35">
      <c r="A963" t="s">
        <v>980</v>
      </c>
      <c r="B963" t="str">
        <f t="shared" si="182"/>
        <v>Control</v>
      </c>
      <c r="C963">
        <f t="shared" ca="1" si="183"/>
        <v>25</v>
      </c>
      <c r="D963" t="str">
        <f t="shared" ca="1" si="184"/>
        <v>Male</v>
      </c>
      <c r="E963" t="str">
        <f t="shared" ca="1" si="185"/>
        <v>Tops</v>
      </c>
      <c r="F963">
        <f t="shared" ca="1" si="186"/>
        <v>3377</v>
      </c>
      <c r="G963">
        <f t="shared" ca="1" si="187"/>
        <v>10</v>
      </c>
      <c r="H963">
        <f t="shared" ca="1" si="188"/>
        <v>3039.3</v>
      </c>
      <c r="I963">
        <f t="shared" ca="1" si="189"/>
        <v>0</v>
      </c>
      <c r="J963">
        <f t="shared" ca="1" si="190"/>
        <v>0</v>
      </c>
      <c r="K963">
        <f t="shared" ca="1" si="191"/>
        <v>0</v>
      </c>
      <c r="L963">
        <f t="shared" ca="1" si="192"/>
        <v>0</v>
      </c>
      <c r="M963">
        <f t="shared" ca="1" si="193"/>
        <v>3</v>
      </c>
      <c r="N963">
        <f t="shared" ca="1" si="194"/>
        <v>0</v>
      </c>
    </row>
    <row r="964" spans="1:14" x14ac:dyDescent="0.35">
      <c r="A964" t="s">
        <v>981</v>
      </c>
      <c r="B964" t="str">
        <f t="shared" si="182"/>
        <v>Control</v>
      </c>
      <c r="C964">
        <f t="shared" ca="1" si="183"/>
        <v>43</v>
      </c>
      <c r="D964" t="str">
        <f t="shared" ca="1" si="184"/>
        <v>Female</v>
      </c>
      <c r="E964" t="str">
        <f t="shared" ca="1" si="185"/>
        <v>T-shirts</v>
      </c>
      <c r="F964">
        <f t="shared" ca="1" si="186"/>
        <v>2868</v>
      </c>
      <c r="G964">
        <f t="shared" ca="1" si="187"/>
        <v>10</v>
      </c>
      <c r="H964">
        <f t="shared" ca="1" si="188"/>
        <v>2581.2000000000003</v>
      </c>
      <c r="I964">
        <f t="shared" ca="1" si="189"/>
        <v>1</v>
      </c>
      <c r="J964">
        <f t="shared" ca="1" si="190"/>
        <v>1</v>
      </c>
      <c r="K964">
        <f t="shared" ca="1" si="191"/>
        <v>0</v>
      </c>
      <c r="L964">
        <f t="shared" ca="1" si="192"/>
        <v>0</v>
      </c>
      <c r="M964">
        <f t="shared" ca="1" si="193"/>
        <v>2</v>
      </c>
      <c r="N964">
        <f t="shared" ca="1" si="194"/>
        <v>0</v>
      </c>
    </row>
    <row r="965" spans="1:14" x14ac:dyDescent="0.35">
      <c r="A965" t="s">
        <v>982</v>
      </c>
      <c r="B965" t="str">
        <f t="shared" ref="B965:B1028" si="195">IF(ROW()&lt;=1001,"Control","Test")</f>
        <v>Control</v>
      </c>
      <c r="C965">
        <f t="shared" ref="C965:C1028" ca="1" si="196">RANDBETWEEN(18,45)</f>
        <v>38</v>
      </c>
      <c r="D965" t="str">
        <f t="shared" ref="D965:D1028" ca="1" si="197">CHOOSE(RANDBETWEEN(1,20),"Female","Female","Female","Female","Female","Female","Female","Female","Female","Female","Male","Male","Male","Male","Male","Male","Male","Male","Other","Other")</f>
        <v>Female</v>
      </c>
      <c r="E965" t="str">
        <f t="shared" ref="E965:E1028" ca="1" si="198">CHOOSE(RANDBETWEEN(1,8),"T-shirts","Dresses","Jeans","Shoes","Ethnic Wear","Tops","Sportswear","Accessories")</f>
        <v>Ethnic Wear</v>
      </c>
      <c r="F965">
        <f t="shared" ref="F965:F1028" ca="1" si="199">RANDBETWEEN(300,8000)</f>
        <v>1660</v>
      </c>
      <c r="G965">
        <f t="shared" ref="G965:G1028" ca="1" si="200">IF(B965="Control",10,CHOOSE(RANDBETWEEN(1,3),15,20,25))</f>
        <v>10</v>
      </c>
      <c r="H965">
        <f t="shared" ref="H965:H1028" ca="1" si="201">F965*(1-G965/100)</f>
        <v>1494</v>
      </c>
      <c r="I965">
        <f t="shared" ref="I965:I1028" ca="1" si="202">IF(RAND()&lt;0.85,1,0)</f>
        <v>1</v>
      </c>
      <c r="J965">
        <f t="shared" ref="J965:J1028" ca="1" si="203">IF(I965=1,IF(RAND()&lt;0.55,1,0),0)</f>
        <v>1</v>
      </c>
      <c r="K965">
        <f t="shared" ref="K965:K1028" ca="1" si="204">IF(J965=1,IF(B965="Test",IF(RAND()&lt;0.4,1,0),IF(RAND()&lt;0.34,1,0)),0)</f>
        <v>1</v>
      </c>
      <c r="L965">
        <f t="shared" ref="L965:L1028" ca="1" si="205">IF(K965=1,H965,0)</f>
        <v>1494</v>
      </c>
      <c r="M965">
        <f t="shared" ref="M965:M1028" ca="1" si="206">RANDBETWEEN(1,7)</f>
        <v>2</v>
      </c>
      <c r="N965">
        <f t="shared" ref="N965:N1028" ca="1" si="207">IF(K965=1,IF(RAND()&lt;0.15,1,0),0)</f>
        <v>0</v>
      </c>
    </row>
    <row r="966" spans="1:14" x14ac:dyDescent="0.35">
      <c r="A966" t="s">
        <v>983</v>
      </c>
      <c r="B966" t="str">
        <f t="shared" si="195"/>
        <v>Control</v>
      </c>
      <c r="C966">
        <f t="shared" ca="1" si="196"/>
        <v>31</v>
      </c>
      <c r="D966" t="str">
        <f t="shared" ca="1" si="197"/>
        <v>Female</v>
      </c>
      <c r="E966" t="str">
        <f t="shared" ca="1" si="198"/>
        <v>T-shirts</v>
      </c>
      <c r="F966">
        <f t="shared" ca="1" si="199"/>
        <v>2366</v>
      </c>
      <c r="G966">
        <f t="shared" ca="1" si="200"/>
        <v>10</v>
      </c>
      <c r="H966">
        <f t="shared" ca="1" si="201"/>
        <v>2129.4</v>
      </c>
      <c r="I966">
        <f t="shared" ca="1" si="202"/>
        <v>1</v>
      </c>
      <c r="J966">
        <f t="shared" ca="1" si="203"/>
        <v>1</v>
      </c>
      <c r="K966">
        <f t="shared" ca="1" si="204"/>
        <v>0</v>
      </c>
      <c r="L966">
        <f t="shared" ca="1" si="205"/>
        <v>0</v>
      </c>
      <c r="M966">
        <f t="shared" ca="1" si="206"/>
        <v>2</v>
      </c>
      <c r="N966">
        <f t="shared" ca="1" si="207"/>
        <v>0</v>
      </c>
    </row>
    <row r="967" spans="1:14" x14ac:dyDescent="0.35">
      <c r="A967" t="s">
        <v>984</v>
      </c>
      <c r="B967" t="str">
        <f t="shared" si="195"/>
        <v>Control</v>
      </c>
      <c r="C967">
        <f t="shared" ca="1" si="196"/>
        <v>27</v>
      </c>
      <c r="D967" t="str">
        <f t="shared" ca="1" si="197"/>
        <v>Female</v>
      </c>
      <c r="E967" t="str">
        <f t="shared" ca="1" si="198"/>
        <v>T-shirts</v>
      </c>
      <c r="F967">
        <f t="shared" ca="1" si="199"/>
        <v>5271</v>
      </c>
      <c r="G967">
        <f t="shared" ca="1" si="200"/>
        <v>10</v>
      </c>
      <c r="H967">
        <f t="shared" ca="1" si="201"/>
        <v>4743.9000000000005</v>
      </c>
      <c r="I967">
        <f t="shared" ca="1" si="202"/>
        <v>1</v>
      </c>
      <c r="J967">
        <f t="shared" ca="1" si="203"/>
        <v>1</v>
      </c>
      <c r="K967">
        <f t="shared" ca="1" si="204"/>
        <v>0</v>
      </c>
      <c r="L967">
        <f t="shared" ca="1" si="205"/>
        <v>0</v>
      </c>
      <c r="M967">
        <f t="shared" ca="1" si="206"/>
        <v>5</v>
      </c>
      <c r="N967">
        <f t="shared" ca="1" si="207"/>
        <v>0</v>
      </c>
    </row>
    <row r="968" spans="1:14" x14ac:dyDescent="0.35">
      <c r="A968" t="s">
        <v>985</v>
      </c>
      <c r="B968" t="str">
        <f t="shared" si="195"/>
        <v>Control</v>
      </c>
      <c r="C968">
        <f t="shared" ca="1" si="196"/>
        <v>39</v>
      </c>
      <c r="D968" t="str">
        <f t="shared" ca="1" si="197"/>
        <v>Female</v>
      </c>
      <c r="E968" t="str">
        <f t="shared" ca="1" si="198"/>
        <v>Jeans</v>
      </c>
      <c r="F968">
        <f t="shared" ca="1" si="199"/>
        <v>2364</v>
      </c>
      <c r="G968">
        <f t="shared" ca="1" si="200"/>
        <v>10</v>
      </c>
      <c r="H968">
        <f t="shared" ca="1" si="201"/>
        <v>2127.6</v>
      </c>
      <c r="I968">
        <f t="shared" ca="1" si="202"/>
        <v>1</v>
      </c>
      <c r="J968">
        <f t="shared" ca="1" si="203"/>
        <v>1</v>
      </c>
      <c r="K968">
        <f t="shared" ca="1" si="204"/>
        <v>0</v>
      </c>
      <c r="L968">
        <f t="shared" ca="1" si="205"/>
        <v>0</v>
      </c>
      <c r="M968">
        <f t="shared" ca="1" si="206"/>
        <v>5</v>
      </c>
      <c r="N968">
        <f t="shared" ca="1" si="207"/>
        <v>0</v>
      </c>
    </row>
    <row r="969" spans="1:14" x14ac:dyDescent="0.35">
      <c r="A969" t="s">
        <v>986</v>
      </c>
      <c r="B969" t="str">
        <f t="shared" si="195"/>
        <v>Control</v>
      </c>
      <c r="C969">
        <f t="shared" ca="1" si="196"/>
        <v>26</v>
      </c>
      <c r="D969" t="str">
        <f t="shared" ca="1" si="197"/>
        <v>Other</v>
      </c>
      <c r="E969" t="str">
        <f t="shared" ca="1" si="198"/>
        <v>Accessories</v>
      </c>
      <c r="F969">
        <f t="shared" ca="1" si="199"/>
        <v>2894</v>
      </c>
      <c r="G969">
        <f t="shared" ca="1" si="200"/>
        <v>10</v>
      </c>
      <c r="H969">
        <f t="shared" ca="1" si="201"/>
        <v>2604.6</v>
      </c>
      <c r="I969">
        <f t="shared" ca="1" si="202"/>
        <v>1</v>
      </c>
      <c r="J969">
        <f t="shared" ca="1" si="203"/>
        <v>1</v>
      </c>
      <c r="K969">
        <f t="shared" ca="1" si="204"/>
        <v>0</v>
      </c>
      <c r="L969">
        <f t="shared" ca="1" si="205"/>
        <v>0</v>
      </c>
      <c r="M969">
        <f t="shared" ca="1" si="206"/>
        <v>3</v>
      </c>
      <c r="N969">
        <f t="shared" ca="1" si="207"/>
        <v>0</v>
      </c>
    </row>
    <row r="970" spans="1:14" x14ac:dyDescent="0.35">
      <c r="A970" t="s">
        <v>987</v>
      </c>
      <c r="B970" t="str">
        <f t="shared" si="195"/>
        <v>Control</v>
      </c>
      <c r="C970">
        <f t="shared" ca="1" si="196"/>
        <v>39</v>
      </c>
      <c r="D970" t="str">
        <f t="shared" ca="1" si="197"/>
        <v>Female</v>
      </c>
      <c r="E970" t="str">
        <f t="shared" ca="1" si="198"/>
        <v>Shoes</v>
      </c>
      <c r="F970">
        <f t="shared" ca="1" si="199"/>
        <v>6786</v>
      </c>
      <c r="G970">
        <f t="shared" ca="1" si="200"/>
        <v>10</v>
      </c>
      <c r="H970">
        <f t="shared" ca="1" si="201"/>
        <v>6107.4000000000005</v>
      </c>
      <c r="I970">
        <f t="shared" ca="1" si="202"/>
        <v>1</v>
      </c>
      <c r="J970">
        <f t="shared" ca="1" si="203"/>
        <v>1</v>
      </c>
      <c r="K970">
        <f t="shared" ca="1" si="204"/>
        <v>0</v>
      </c>
      <c r="L970">
        <f t="shared" ca="1" si="205"/>
        <v>0</v>
      </c>
      <c r="M970">
        <f t="shared" ca="1" si="206"/>
        <v>1</v>
      </c>
      <c r="N970">
        <f t="shared" ca="1" si="207"/>
        <v>0</v>
      </c>
    </row>
    <row r="971" spans="1:14" x14ac:dyDescent="0.35">
      <c r="A971" t="s">
        <v>988</v>
      </c>
      <c r="B971" t="str">
        <f t="shared" si="195"/>
        <v>Control</v>
      </c>
      <c r="C971">
        <f t="shared" ca="1" si="196"/>
        <v>22</v>
      </c>
      <c r="D971" t="str">
        <f t="shared" ca="1" si="197"/>
        <v>Female</v>
      </c>
      <c r="E971" t="str">
        <f t="shared" ca="1" si="198"/>
        <v>Ethnic Wear</v>
      </c>
      <c r="F971">
        <f t="shared" ca="1" si="199"/>
        <v>6975</v>
      </c>
      <c r="G971">
        <f t="shared" ca="1" si="200"/>
        <v>10</v>
      </c>
      <c r="H971">
        <f t="shared" ca="1" si="201"/>
        <v>6277.5</v>
      </c>
      <c r="I971">
        <f t="shared" ca="1" si="202"/>
        <v>0</v>
      </c>
      <c r="J971">
        <f t="shared" ca="1" si="203"/>
        <v>0</v>
      </c>
      <c r="K971">
        <f t="shared" ca="1" si="204"/>
        <v>0</v>
      </c>
      <c r="L971">
        <f t="shared" ca="1" si="205"/>
        <v>0</v>
      </c>
      <c r="M971">
        <f t="shared" ca="1" si="206"/>
        <v>4</v>
      </c>
      <c r="N971">
        <f t="shared" ca="1" si="207"/>
        <v>0</v>
      </c>
    </row>
    <row r="972" spans="1:14" x14ac:dyDescent="0.35">
      <c r="A972" t="s">
        <v>989</v>
      </c>
      <c r="B972" t="str">
        <f t="shared" si="195"/>
        <v>Control</v>
      </c>
      <c r="C972">
        <f t="shared" ca="1" si="196"/>
        <v>24</v>
      </c>
      <c r="D972" t="str">
        <f t="shared" ca="1" si="197"/>
        <v>Male</v>
      </c>
      <c r="E972" t="str">
        <f t="shared" ca="1" si="198"/>
        <v>Shoes</v>
      </c>
      <c r="F972">
        <f t="shared" ca="1" si="199"/>
        <v>6908</v>
      </c>
      <c r="G972">
        <f t="shared" ca="1" si="200"/>
        <v>10</v>
      </c>
      <c r="H972">
        <f t="shared" ca="1" si="201"/>
        <v>6217.2</v>
      </c>
      <c r="I972">
        <f t="shared" ca="1" si="202"/>
        <v>1</v>
      </c>
      <c r="J972">
        <f t="shared" ca="1" si="203"/>
        <v>0</v>
      </c>
      <c r="K972">
        <f t="shared" ca="1" si="204"/>
        <v>0</v>
      </c>
      <c r="L972">
        <f t="shared" ca="1" si="205"/>
        <v>0</v>
      </c>
      <c r="M972">
        <f t="shared" ca="1" si="206"/>
        <v>4</v>
      </c>
      <c r="N972">
        <f t="shared" ca="1" si="207"/>
        <v>0</v>
      </c>
    </row>
    <row r="973" spans="1:14" x14ac:dyDescent="0.35">
      <c r="A973" t="s">
        <v>990</v>
      </c>
      <c r="B973" t="str">
        <f t="shared" si="195"/>
        <v>Control</v>
      </c>
      <c r="C973">
        <f t="shared" ca="1" si="196"/>
        <v>26</v>
      </c>
      <c r="D973" t="str">
        <f t="shared" ca="1" si="197"/>
        <v>Male</v>
      </c>
      <c r="E973" t="str">
        <f t="shared" ca="1" si="198"/>
        <v>T-shirts</v>
      </c>
      <c r="F973">
        <f t="shared" ca="1" si="199"/>
        <v>5587</v>
      </c>
      <c r="G973">
        <f t="shared" ca="1" si="200"/>
        <v>10</v>
      </c>
      <c r="H973">
        <f t="shared" ca="1" si="201"/>
        <v>5028.3</v>
      </c>
      <c r="I973">
        <f t="shared" ca="1" si="202"/>
        <v>1</v>
      </c>
      <c r="J973">
        <f t="shared" ca="1" si="203"/>
        <v>1</v>
      </c>
      <c r="K973">
        <f t="shared" ca="1" si="204"/>
        <v>1</v>
      </c>
      <c r="L973">
        <f t="shared" ca="1" si="205"/>
        <v>5028.3</v>
      </c>
      <c r="M973">
        <f t="shared" ca="1" si="206"/>
        <v>6</v>
      </c>
      <c r="N973">
        <f t="shared" ca="1" si="207"/>
        <v>0</v>
      </c>
    </row>
    <row r="974" spans="1:14" x14ac:dyDescent="0.35">
      <c r="A974" t="s">
        <v>991</v>
      </c>
      <c r="B974" t="str">
        <f t="shared" si="195"/>
        <v>Control</v>
      </c>
      <c r="C974">
        <f t="shared" ca="1" si="196"/>
        <v>18</v>
      </c>
      <c r="D974" t="str">
        <f t="shared" ca="1" si="197"/>
        <v>Female</v>
      </c>
      <c r="E974" t="str">
        <f t="shared" ca="1" si="198"/>
        <v>Ethnic Wear</v>
      </c>
      <c r="F974">
        <f t="shared" ca="1" si="199"/>
        <v>7981</v>
      </c>
      <c r="G974">
        <f t="shared" ca="1" si="200"/>
        <v>10</v>
      </c>
      <c r="H974">
        <f t="shared" ca="1" si="201"/>
        <v>7182.9000000000005</v>
      </c>
      <c r="I974">
        <f t="shared" ca="1" si="202"/>
        <v>1</v>
      </c>
      <c r="J974">
        <f t="shared" ca="1" si="203"/>
        <v>1</v>
      </c>
      <c r="K974">
        <f t="shared" ca="1" si="204"/>
        <v>0</v>
      </c>
      <c r="L974">
        <f t="shared" ca="1" si="205"/>
        <v>0</v>
      </c>
      <c r="M974">
        <f t="shared" ca="1" si="206"/>
        <v>6</v>
      </c>
      <c r="N974">
        <f t="shared" ca="1" si="207"/>
        <v>0</v>
      </c>
    </row>
    <row r="975" spans="1:14" x14ac:dyDescent="0.35">
      <c r="A975" t="s">
        <v>992</v>
      </c>
      <c r="B975" t="str">
        <f t="shared" si="195"/>
        <v>Control</v>
      </c>
      <c r="C975">
        <f t="shared" ca="1" si="196"/>
        <v>20</v>
      </c>
      <c r="D975" t="str">
        <f t="shared" ca="1" si="197"/>
        <v>Female</v>
      </c>
      <c r="E975" t="str">
        <f t="shared" ca="1" si="198"/>
        <v>Sportswear</v>
      </c>
      <c r="F975">
        <f t="shared" ca="1" si="199"/>
        <v>1782</v>
      </c>
      <c r="G975">
        <f t="shared" ca="1" si="200"/>
        <v>10</v>
      </c>
      <c r="H975">
        <f t="shared" ca="1" si="201"/>
        <v>1603.8</v>
      </c>
      <c r="I975">
        <f t="shared" ca="1" si="202"/>
        <v>1</v>
      </c>
      <c r="J975">
        <f t="shared" ca="1" si="203"/>
        <v>0</v>
      </c>
      <c r="K975">
        <f t="shared" ca="1" si="204"/>
        <v>0</v>
      </c>
      <c r="L975">
        <f t="shared" ca="1" si="205"/>
        <v>0</v>
      </c>
      <c r="M975">
        <f t="shared" ca="1" si="206"/>
        <v>6</v>
      </c>
      <c r="N975">
        <f t="shared" ca="1" si="207"/>
        <v>0</v>
      </c>
    </row>
    <row r="976" spans="1:14" x14ac:dyDescent="0.35">
      <c r="A976" t="s">
        <v>993</v>
      </c>
      <c r="B976" t="str">
        <f t="shared" si="195"/>
        <v>Control</v>
      </c>
      <c r="C976">
        <f t="shared" ca="1" si="196"/>
        <v>44</v>
      </c>
      <c r="D976" t="str">
        <f t="shared" ca="1" si="197"/>
        <v>Male</v>
      </c>
      <c r="E976" t="str">
        <f t="shared" ca="1" si="198"/>
        <v>Dresses</v>
      </c>
      <c r="F976">
        <f t="shared" ca="1" si="199"/>
        <v>6750</v>
      </c>
      <c r="G976">
        <f t="shared" ca="1" si="200"/>
        <v>10</v>
      </c>
      <c r="H976">
        <f t="shared" ca="1" si="201"/>
        <v>6075</v>
      </c>
      <c r="I976">
        <f t="shared" ca="1" si="202"/>
        <v>1</v>
      </c>
      <c r="J976">
        <f t="shared" ca="1" si="203"/>
        <v>1</v>
      </c>
      <c r="K976">
        <f t="shared" ca="1" si="204"/>
        <v>1</v>
      </c>
      <c r="L976">
        <f t="shared" ca="1" si="205"/>
        <v>6075</v>
      </c>
      <c r="M976">
        <f t="shared" ca="1" si="206"/>
        <v>4</v>
      </c>
      <c r="N976">
        <f t="shared" ca="1" si="207"/>
        <v>0</v>
      </c>
    </row>
    <row r="977" spans="1:14" x14ac:dyDescent="0.35">
      <c r="A977" t="s">
        <v>994</v>
      </c>
      <c r="B977" t="str">
        <f t="shared" si="195"/>
        <v>Control</v>
      </c>
      <c r="C977">
        <f t="shared" ca="1" si="196"/>
        <v>30</v>
      </c>
      <c r="D977" t="str">
        <f t="shared" ca="1" si="197"/>
        <v>Male</v>
      </c>
      <c r="E977" t="str">
        <f t="shared" ca="1" si="198"/>
        <v>Sportswear</v>
      </c>
      <c r="F977">
        <f t="shared" ca="1" si="199"/>
        <v>4491</v>
      </c>
      <c r="G977">
        <f t="shared" ca="1" si="200"/>
        <v>10</v>
      </c>
      <c r="H977">
        <f t="shared" ca="1" si="201"/>
        <v>4041.9</v>
      </c>
      <c r="I977">
        <f t="shared" ca="1" si="202"/>
        <v>1</v>
      </c>
      <c r="J977">
        <f t="shared" ca="1" si="203"/>
        <v>1</v>
      </c>
      <c r="K977">
        <f t="shared" ca="1" si="204"/>
        <v>0</v>
      </c>
      <c r="L977">
        <f t="shared" ca="1" si="205"/>
        <v>0</v>
      </c>
      <c r="M977">
        <f t="shared" ca="1" si="206"/>
        <v>5</v>
      </c>
      <c r="N977">
        <f t="shared" ca="1" si="207"/>
        <v>0</v>
      </c>
    </row>
    <row r="978" spans="1:14" x14ac:dyDescent="0.35">
      <c r="A978" t="s">
        <v>995</v>
      </c>
      <c r="B978" t="str">
        <f t="shared" si="195"/>
        <v>Control</v>
      </c>
      <c r="C978">
        <f t="shared" ca="1" si="196"/>
        <v>40</v>
      </c>
      <c r="D978" t="str">
        <f t="shared" ca="1" si="197"/>
        <v>Female</v>
      </c>
      <c r="E978" t="str">
        <f t="shared" ca="1" si="198"/>
        <v>Sportswear</v>
      </c>
      <c r="F978">
        <f t="shared" ca="1" si="199"/>
        <v>2692</v>
      </c>
      <c r="G978">
        <f t="shared" ca="1" si="200"/>
        <v>10</v>
      </c>
      <c r="H978">
        <f t="shared" ca="1" si="201"/>
        <v>2422.8000000000002</v>
      </c>
      <c r="I978">
        <f t="shared" ca="1" si="202"/>
        <v>1</v>
      </c>
      <c r="J978">
        <f t="shared" ca="1" si="203"/>
        <v>1</v>
      </c>
      <c r="K978">
        <f t="shared" ca="1" si="204"/>
        <v>0</v>
      </c>
      <c r="L978">
        <f t="shared" ca="1" si="205"/>
        <v>0</v>
      </c>
      <c r="M978">
        <f t="shared" ca="1" si="206"/>
        <v>3</v>
      </c>
      <c r="N978">
        <f t="shared" ca="1" si="207"/>
        <v>0</v>
      </c>
    </row>
    <row r="979" spans="1:14" x14ac:dyDescent="0.35">
      <c r="A979" t="s">
        <v>996</v>
      </c>
      <c r="B979" t="str">
        <f t="shared" si="195"/>
        <v>Control</v>
      </c>
      <c r="C979">
        <f t="shared" ca="1" si="196"/>
        <v>26</v>
      </c>
      <c r="D979" t="str">
        <f t="shared" ca="1" si="197"/>
        <v>Male</v>
      </c>
      <c r="E979" t="str">
        <f t="shared" ca="1" si="198"/>
        <v>Tops</v>
      </c>
      <c r="F979">
        <f t="shared" ca="1" si="199"/>
        <v>1709</v>
      </c>
      <c r="G979">
        <f t="shared" ca="1" si="200"/>
        <v>10</v>
      </c>
      <c r="H979">
        <f t="shared" ca="1" si="201"/>
        <v>1538.1000000000001</v>
      </c>
      <c r="I979">
        <f t="shared" ca="1" si="202"/>
        <v>1</v>
      </c>
      <c r="J979">
        <f t="shared" ca="1" si="203"/>
        <v>1</v>
      </c>
      <c r="K979">
        <f t="shared" ca="1" si="204"/>
        <v>1</v>
      </c>
      <c r="L979">
        <f t="shared" ca="1" si="205"/>
        <v>1538.1000000000001</v>
      </c>
      <c r="M979">
        <f t="shared" ca="1" si="206"/>
        <v>7</v>
      </c>
      <c r="N979">
        <f t="shared" ca="1" si="207"/>
        <v>0</v>
      </c>
    </row>
    <row r="980" spans="1:14" x14ac:dyDescent="0.35">
      <c r="A980" t="s">
        <v>997</v>
      </c>
      <c r="B980" t="str">
        <f t="shared" si="195"/>
        <v>Control</v>
      </c>
      <c r="C980">
        <f t="shared" ca="1" si="196"/>
        <v>44</v>
      </c>
      <c r="D980" t="str">
        <f t="shared" ca="1" si="197"/>
        <v>Female</v>
      </c>
      <c r="E980" t="str">
        <f t="shared" ca="1" si="198"/>
        <v>Dresses</v>
      </c>
      <c r="F980">
        <f t="shared" ca="1" si="199"/>
        <v>4176</v>
      </c>
      <c r="G980">
        <f t="shared" ca="1" si="200"/>
        <v>10</v>
      </c>
      <c r="H980">
        <f t="shared" ca="1" si="201"/>
        <v>3758.4</v>
      </c>
      <c r="I980">
        <f t="shared" ca="1" si="202"/>
        <v>0</v>
      </c>
      <c r="J980">
        <f t="shared" ca="1" si="203"/>
        <v>0</v>
      </c>
      <c r="K980">
        <f t="shared" ca="1" si="204"/>
        <v>0</v>
      </c>
      <c r="L980">
        <f t="shared" ca="1" si="205"/>
        <v>0</v>
      </c>
      <c r="M980">
        <f t="shared" ca="1" si="206"/>
        <v>6</v>
      </c>
      <c r="N980">
        <f t="shared" ca="1" si="207"/>
        <v>0</v>
      </c>
    </row>
    <row r="981" spans="1:14" x14ac:dyDescent="0.35">
      <c r="A981" t="s">
        <v>998</v>
      </c>
      <c r="B981" t="str">
        <f t="shared" si="195"/>
        <v>Control</v>
      </c>
      <c r="C981">
        <f t="shared" ca="1" si="196"/>
        <v>31</v>
      </c>
      <c r="D981" t="str">
        <f t="shared" ca="1" si="197"/>
        <v>Male</v>
      </c>
      <c r="E981" t="str">
        <f t="shared" ca="1" si="198"/>
        <v>Shoes</v>
      </c>
      <c r="F981">
        <f t="shared" ca="1" si="199"/>
        <v>7475</v>
      </c>
      <c r="G981">
        <f t="shared" ca="1" si="200"/>
        <v>10</v>
      </c>
      <c r="H981">
        <f t="shared" ca="1" si="201"/>
        <v>6727.5</v>
      </c>
      <c r="I981">
        <f t="shared" ca="1" si="202"/>
        <v>1</v>
      </c>
      <c r="J981">
        <f t="shared" ca="1" si="203"/>
        <v>1</v>
      </c>
      <c r="K981">
        <f t="shared" ca="1" si="204"/>
        <v>0</v>
      </c>
      <c r="L981">
        <f t="shared" ca="1" si="205"/>
        <v>0</v>
      </c>
      <c r="M981">
        <f t="shared" ca="1" si="206"/>
        <v>7</v>
      </c>
      <c r="N981">
        <f t="shared" ca="1" si="207"/>
        <v>0</v>
      </c>
    </row>
    <row r="982" spans="1:14" x14ac:dyDescent="0.35">
      <c r="A982" t="s">
        <v>999</v>
      </c>
      <c r="B982" t="str">
        <f t="shared" si="195"/>
        <v>Control</v>
      </c>
      <c r="C982">
        <f t="shared" ca="1" si="196"/>
        <v>28</v>
      </c>
      <c r="D982" t="str">
        <f t="shared" ca="1" si="197"/>
        <v>Female</v>
      </c>
      <c r="E982" t="str">
        <f t="shared" ca="1" si="198"/>
        <v>Accessories</v>
      </c>
      <c r="F982">
        <f t="shared" ca="1" si="199"/>
        <v>3308</v>
      </c>
      <c r="G982">
        <f t="shared" ca="1" si="200"/>
        <v>10</v>
      </c>
      <c r="H982">
        <f t="shared" ca="1" si="201"/>
        <v>2977.2000000000003</v>
      </c>
      <c r="I982">
        <f t="shared" ca="1" si="202"/>
        <v>1</v>
      </c>
      <c r="J982">
        <f t="shared" ca="1" si="203"/>
        <v>0</v>
      </c>
      <c r="K982">
        <f t="shared" ca="1" si="204"/>
        <v>0</v>
      </c>
      <c r="L982">
        <f t="shared" ca="1" si="205"/>
        <v>0</v>
      </c>
      <c r="M982">
        <f t="shared" ca="1" si="206"/>
        <v>6</v>
      </c>
      <c r="N982">
        <f t="shared" ca="1" si="207"/>
        <v>0</v>
      </c>
    </row>
    <row r="983" spans="1:14" x14ac:dyDescent="0.35">
      <c r="A983" t="s">
        <v>1000</v>
      </c>
      <c r="B983" t="str">
        <f t="shared" si="195"/>
        <v>Control</v>
      </c>
      <c r="C983">
        <f t="shared" ca="1" si="196"/>
        <v>36</v>
      </c>
      <c r="D983" t="str">
        <f t="shared" ca="1" si="197"/>
        <v>Other</v>
      </c>
      <c r="E983" t="str">
        <f t="shared" ca="1" si="198"/>
        <v>Dresses</v>
      </c>
      <c r="F983">
        <f t="shared" ca="1" si="199"/>
        <v>1911</v>
      </c>
      <c r="G983">
        <f t="shared" ca="1" si="200"/>
        <v>10</v>
      </c>
      <c r="H983">
        <f t="shared" ca="1" si="201"/>
        <v>1719.9</v>
      </c>
      <c r="I983">
        <f t="shared" ca="1" si="202"/>
        <v>1</v>
      </c>
      <c r="J983">
        <f t="shared" ca="1" si="203"/>
        <v>0</v>
      </c>
      <c r="K983">
        <f t="shared" ca="1" si="204"/>
        <v>0</v>
      </c>
      <c r="L983">
        <f t="shared" ca="1" si="205"/>
        <v>0</v>
      </c>
      <c r="M983">
        <f t="shared" ca="1" si="206"/>
        <v>5</v>
      </c>
      <c r="N983">
        <f t="shared" ca="1" si="207"/>
        <v>0</v>
      </c>
    </row>
    <row r="984" spans="1:14" x14ac:dyDescent="0.35">
      <c r="A984" t="s">
        <v>1001</v>
      </c>
      <c r="B984" t="str">
        <f t="shared" si="195"/>
        <v>Control</v>
      </c>
      <c r="C984">
        <f t="shared" ca="1" si="196"/>
        <v>27</v>
      </c>
      <c r="D984" t="str">
        <f t="shared" ca="1" si="197"/>
        <v>Female</v>
      </c>
      <c r="E984" t="str">
        <f t="shared" ca="1" si="198"/>
        <v>Sportswear</v>
      </c>
      <c r="F984">
        <f t="shared" ca="1" si="199"/>
        <v>2908</v>
      </c>
      <c r="G984">
        <f t="shared" ca="1" si="200"/>
        <v>10</v>
      </c>
      <c r="H984">
        <f t="shared" ca="1" si="201"/>
        <v>2617.2000000000003</v>
      </c>
      <c r="I984">
        <f t="shared" ca="1" si="202"/>
        <v>0</v>
      </c>
      <c r="J984">
        <f t="shared" ca="1" si="203"/>
        <v>0</v>
      </c>
      <c r="K984">
        <f t="shared" ca="1" si="204"/>
        <v>0</v>
      </c>
      <c r="L984">
        <f t="shared" ca="1" si="205"/>
        <v>0</v>
      </c>
      <c r="M984">
        <f t="shared" ca="1" si="206"/>
        <v>1</v>
      </c>
      <c r="N984">
        <f t="shared" ca="1" si="207"/>
        <v>0</v>
      </c>
    </row>
    <row r="985" spans="1:14" x14ac:dyDescent="0.35">
      <c r="A985" t="s">
        <v>1002</v>
      </c>
      <c r="B985" t="str">
        <f t="shared" si="195"/>
        <v>Control</v>
      </c>
      <c r="C985">
        <f t="shared" ca="1" si="196"/>
        <v>45</v>
      </c>
      <c r="D985" t="str">
        <f t="shared" ca="1" si="197"/>
        <v>Female</v>
      </c>
      <c r="E985" t="str">
        <f t="shared" ca="1" si="198"/>
        <v>Dresses</v>
      </c>
      <c r="F985">
        <f t="shared" ca="1" si="199"/>
        <v>3395</v>
      </c>
      <c r="G985">
        <f t="shared" ca="1" si="200"/>
        <v>10</v>
      </c>
      <c r="H985">
        <f t="shared" ca="1" si="201"/>
        <v>3055.5</v>
      </c>
      <c r="I985">
        <f t="shared" ca="1" si="202"/>
        <v>1</v>
      </c>
      <c r="J985">
        <f t="shared" ca="1" si="203"/>
        <v>0</v>
      </c>
      <c r="K985">
        <f t="shared" ca="1" si="204"/>
        <v>0</v>
      </c>
      <c r="L985">
        <f t="shared" ca="1" si="205"/>
        <v>0</v>
      </c>
      <c r="M985">
        <f t="shared" ca="1" si="206"/>
        <v>4</v>
      </c>
      <c r="N985">
        <f t="shared" ca="1" si="207"/>
        <v>0</v>
      </c>
    </row>
    <row r="986" spans="1:14" x14ac:dyDescent="0.35">
      <c r="A986" t="s">
        <v>1003</v>
      </c>
      <c r="B986" t="str">
        <f t="shared" si="195"/>
        <v>Control</v>
      </c>
      <c r="C986">
        <f t="shared" ca="1" si="196"/>
        <v>35</v>
      </c>
      <c r="D986" t="str">
        <f t="shared" ca="1" si="197"/>
        <v>Other</v>
      </c>
      <c r="E986" t="str">
        <f t="shared" ca="1" si="198"/>
        <v>Sportswear</v>
      </c>
      <c r="F986">
        <f t="shared" ca="1" si="199"/>
        <v>1101</v>
      </c>
      <c r="G986">
        <f t="shared" ca="1" si="200"/>
        <v>10</v>
      </c>
      <c r="H986">
        <f t="shared" ca="1" si="201"/>
        <v>990.9</v>
      </c>
      <c r="I986">
        <f t="shared" ca="1" si="202"/>
        <v>1</v>
      </c>
      <c r="J986">
        <f t="shared" ca="1" si="203"/>
        <v>0</v>
      </c>
      <c r="K986">
        <f t="shared" ca="1" si="204"/>
        <v>0</v>
      </c>
      <c r="L986">
        <f t="shared" ca="1" si="205"/>
        <v>0</v>
      </c>
      <c r="M986">
        <f t="shared" ca="1" si="206"/>
        <v>5</v>
      </c>
      <c r="N986">
        <f t="shared" ca="1" si="207"/>
        <v>0</v>
      </c>
    </row>
    <row r="987" spans="1:14" x14ac:dyDescent="0.35">
      <c r="A987" t="s">
        <v>1004</v>
      </c>
      <c r="B987" t="str">
        <f t="shared" si="195"/>
        <v>Control</v>
      </c>
      <c r="C987">
        <f t="shared" ca="1" si="196"/>
        <v>32</v>
      </c>
      <c r="D987" t="str">
        <f t="shared" ca="1" si="197"/>
        <v>Female</v>
      </c>
      <c r="E987" t="str">
        <f t="shared" ca="1" si="198"/>
        <v>T-shirts</v>
      </c>
      <c r="F987">
        <f t="shared" ca="1" si="199"/>
        <v>5171</v>
      </c>
      <c r="G987">
        <f t="shared" ca="1" si="200"/>
        <v>10</v>
      </c>
      <c r="H987">
        <f t="shared" ca="1" si="201"/>
        <v>4653.9000000000005</v>
      </c>
      <c r="I987">
        <f t="shared" ca="1" si="202"/>
        <v>1</v>
      </c>
      <c r="J987">
        <f t="shared" ca="1" si="203"/>
        <v>0</v>
      </c>
      <c r="K987">
        <f t="shared" ca="1" si="204"/>
        <v>0</v>
      </c>
      <c r="L987">
        <f t="shared" ca="1" si="205"/>
        <v>0</v>
      </c>
      <c r="M987">
        <f t="shared" ca="1" si="206"/>
        <v>7</v>
      </c>
      <c r="N987">
        <f t="shared" ca="1" si="207"/>
        <v>0</v>
      </c>
    </row>
    <row r="988" spans="1:14" x14ac:dyDescent="0.35">
      <c r="A988" t="s">
        <v>1005</v>
      </c>
      <c r="B988" t="str">
        <f t="shared" si="195"/>
        <v>Control</v>
      </c>
      <c r="C988">
        <f t="shared" ca="1" si="196"/>
        <v>42</v>
      </c>
      <c r="D988" t="str">
        <f t="shared" ca="1" si="197"/>
        <v>Female</v>
      </c>
      <c r="E988" t="str">
        <f t="shared" ca="1" si="198"/>
        <v>Accessories</v>
      </c>
      <c r="F988">
        <f t="shared" ca="1" si="199"/>
        <v>2866</v>
      </c>
      <c r="G988">
        <f t="shared" ca="1" si="200"/>
        <v>10</v>
      </c>
      <c r="H988">
        <f t="shared" ca="1" si="201"/>
        <v>2579.4</v>
      </c>
      <c r="I988">
        <f t="shared" ca="1" si="202"/>
        <v>1</v>
      </c>
      <c r="J988">
        <f t="shared" ca="1" si="203"/>
        <v>0</v>
      </c>
      <c r="K988">
        <f t="shared" ca="1" si="204"/>
        <v>0</v>
      </c>
      <c r="L988">
        <f t="shared" ca="1" si="205"/>
        <v>0</v>
      </c>
      <c r="M988">
        <f t="shared" ca="1" si="206"/>
        <v>1</v>
      </c>
      <c r="N988">
        <f t="shared" ca="1" si="207"/>
        <v>0</v>
      </c>
    </row>
    <row r="989" spans="1:14" x14ac:dyDescent="0.35">
      <c r="A989" t="s">
        <v>1006</v>
      </c>
      <c r="B989" t="str">
        <f t="shared" si="195"/>
        <v>Control</v>
      </c>
      <c r="C989">
        <f t="shared" ca="1" si="196"/>
        <v>29</v>
      </c>
      <c r="D989" t="str">
        <f t="shared" ca="1" si="197"/>
        <v>Male</v>
      </c>
      <c r="E989" t="str">
        <f t="shared" ca="1" si="198"/>
        <v>Ethnic Wear</v>
      </c>
      <c r="F989">
        <f t="shared" ca="1" si="199"/>
        <v>4176</v>
      </c>
      <c r="G989">
        <f t="shared" ca="1" si="200"/>
        <v>10</v>
      </c>
      <c r="H989">
        <f t="shared" ca="1" si="201"/>
        <v>3758.4</v>
      </c>
      <c r="I989">
        <f t="shared" ca="1" si="202"/>
        <v>1</v>
      </c>
      <c r="J989">
        <f t="shared" ca="1" si="203"/>
        <v>0</v>
      </c>
      <c r="K989">
        <f t="shared" ca="1" si="204"/>
        <v>0</v>
      </c>
      <c r="L989">
        <f t="shared" ca="1" si="205"/>
        <v>0</v>
      </c>
      <c r="M989">
        <f t="shared" ca="1" si="206"/>
        <v>2</v>
      </c>
      <c r="N989">
        <f t="shared" ca="1" si="207"/>
        <v>0</v>
      </c>
    </row>
    <row r="990" spans="1:14" x14ac:dyDescent="0.35">
      <c r="A990" t="s">
        <v>1007</v>
      </c>
      <c r="B990" t="str">
        <f t="shared" si="195"/>
        <v>Control</v>
      </c>
      <c r="C990">
        <f t="shared" ca="1" si="196"/>
        <v>21</v>
      </c>
      <c r="D990" t="str">
        <f t="shared" ca="1" si="197"/>
        <v>Male</v>
      </c>
      <c r="E990" t="str">
        <f t="shared" ca="1" si="198"/>
        <v>Ethnic Wear</v>
      </c>
      <c r="F990">
        <f t="shared" ca="1" si="199"/>
        <v>1320</v>
      </c>
      <c r="G990">
        <f t="shared" ca="1" si="200"/>
        <v>10</v>
      </c>
      <c r="H990">
        <f t="shared" ca="1" si="201"/>
        <v>1188</v>
      </c>
      <c r="I990">
        <f t="shared" ca="1" si="202"/>
        <v>0</v>
      </c>
      <c r="J990">
        <f t="shared" ca="1" si="203"/>
        <v>0</v>
      </c>
      <c r="K990">
        <f t="shared" ca="1" si="204"/>
        <v>0</v>
      </c>
      <c r="L990">
        <f t="shared" ca="1" si="205"/>
        <v>0</v>
      </c>
      <c r="M990">
        <f t="shared" ca="1" si="206"/>
        <v>5</v>
      </c>
      <c r="N990">
        <f t="shared" ca="1" si="207"/>
        <v>0</v>
      </c>
    </row>
    <row r="991" spans="1:14" x14ac:dyDescent="0.35">
      <c r="A991" t="s">
        <v>1008</v>
      </c>
      <c r="B991" t="str">
        <f t="shared" si="195"/>
        <v>Control</v>
      </c>
      <c r="C991">
        <f t="shared" ca="1" si="196"/>
        <v>31</v>
      </c>
      <c r="D991" t="str">
        <f t="shared" ca="1" si="197"/>
        <v>Male</v>
      </c>
      <c r="E991" t="str">
        <f t="shared" ca="1" si="198"/>
        <v>Sportswear</v>
      </c>
      <c r="F991">
        <f t="shared" ca="1" si="199"/>
        <v>2374</v>
      </c>
      <c r="G991">
        <f t="shared" ca="1" si="200"/>
        <v>10</v>
      </c>
      <c r="H991">
        <f t="shared" ca="1" si="201"/>
        <v>2136.6</v>
      </c>
      <c r="I991">
        <f t="shared" ca="1" si="202"/>
        <v>1</v>
      </c>
      <c r="J991">
        <f t="shared" ca="1" si="203"/>
        <v>1</v>
      </c>
      <c r="K991">
        <f t="shared" ca="1" si="204"/>
        <v>0</v>
      </c>
      <c r="L991">
        <f t="shared" ca="1" si="205"/>
        <v>0</v>
      </c>
      <c r="M991">
        <f t="shared" ca="1" si="206"/>
        <v>7</v>
      </c>
      <c r="N991">
        <f t="shared" ca="1" si="207"/>
        <v>0</v>
      </c>
    </row>
    <row r="992" spans="1:14" x14ac:dyDescent="0.35">
      <c r="A992" t="s">
        <v>1009</v>
      </c>
      <c r="B992" t="str">
        <f t="shared" si="195"/>
        <v>Control</v>
      </c>
      <c r="C992">
        <f t="shared" ca="1" si="196"/>
        <v>23</v>
      </c>
      <c r="D992" t="str">
        <f t="shared" ca="1" si="197"/>
        <v>Male</v>
      </c>
      <c r="E992" t="str">
        <f t="shared" ca="1" si="198"/>
        <v>Sportswear</v>
      </c>
      <c r="F992">
        <f t="shared" ca="1" si="199"/>
        <v>6168</v>
      </c>
      <c r="G992">
        <f t="shared" ca="1" si="200"/>
        <v>10</v>
      </c>
      <c r="H992">
        <f t="shared" ca="1" si="201"/>
        <v>5551.2</v>
      </c>
      <c r="I992">
        <f t="shared" ca="1" si="202"/>
        <v>1</v>
      </c>
      <c r="J992">
        <f t="shared" ca="1" si="203"/>
        <v>0</v>
      </c>
      <c r="K992">
        <f t="shared" ca="1" si="204"/>
        <v>0</v>
      </c>
      <c r="L992">
        <f t="shared" ca="1" si="205"/>
        <v>0</v>
      </c>
      <c r="M992">
        <f t="shared" ca="1" si="206"/>
        <v>5</v>
      </c>
      <c r="N992">
        <f t="shared" ca="1" si="207"/>
        <v>0</v>
      </c>
    </row>
    <row r="993" spans="1:14" x14ac:dyDescent="0.35">
      <c r="A993" t="s">
        <v>1010</v>
      </c>
      <c r="B993" t="str">
        <f t="shared" si="195"/>
        <v>Control</v>
      </c>
      <c r="C993">
        <f t="shared" ca="1" si="196"/>
        <v>30</v>
      </c>
      <c r="D993" t="str">
        <f t="shared" ca="1" si="197"/>
        <v>Male</v>
      </c>
      <c r="E993" t="str">
        <f t="shared" ca="1" si="198"/>
        <v>Accessories</v>
      </c>
      <c r="F993">
        <f t="shared" ca="1" si="199"/>
        <v>5626</v>
      </c>
      <c r="G993">
        <f t="shared" ca="1" si="200"/>
        <v>10</v>
      </c>
      <c r="H993">
        <f t="shared" ca="1" si="201"/>
        <v>5063.4000000000005</v>
      </c>
      <c r="I993">
        <f t="shared" ca="1" si="202"/>
        <v>1</v>
      </c>
      <c r="J993">
        <f t="shared" ca="1" si="203"/>
        <v>1</v>
      </c>
      <c r="K993">
        <f t="shared" ca="1" si="204"/>
        <v>1</v>
      </c>
      <c r="L993">
        <f t="shared" ca="1" si="205"/>
        <v>5063.4000000000005</v>
      </c>
      <c r="M993">
        <f t="shared" ca="1" si="206"/>
        <v>6</v>
      </c>
      <c r="N993">
        <f t="shared" ca="1" si="207"/>
        <v>0</v>
      </c>
    </row>
    <row r="994" spans="1:14" x14ac:dyDescent="0.35">
      <c r="A994" t="s">
        <v>1011</v>
      </c>
      <c r="B994" t="str">
        <f t="shared" si="195"/>
        <v>Control</v>
      </c>
      <c r="C994">
        <f t="shared" ca="1" si="196"/>
        <v>24</v>
      </c>
      <c r="D994" t="str">
        <f t="shared" ca="1" si="197"/>
        <v>Female</v>
      </c>
      <c r="E994" t="str">
        <f t="shared" ca="1" si="198"/>
        <v>Shoes</v>
      </c>
      <c r="F994">
        <f t="shared" ca="1" si="199"/>
        <v>6732</v>
      </c>
      <c r="G994">
        <f t="shared" ca="1" si="200"/>
        <v>10</v>
      </c>
      <c r="H994">
        <f t="shared" ca="1" si="201"/>
        <v>6058.8</v>
      </c>
      <c r="I994">
        <f t="shared" ca="1" si="202"/>
        <v>1</v>
      </c>
      <c r="J994">
        <f t="shared" ca="1" si="203"/>
        <v>1</v>
      </c>
      <c r="K994">
        <f t="shared" ca="1" si="204"/>
        <v>0</v>
      </c>
      <c r="L994">
        <f t="shared" ca="1" si="205"/>
        <v>0</v>
      </c>
      <c r="M994">
        <f t="shared" ca="1" si="206"/>
        <v>2</v>
      </c>
      <c r="N994">
        <f t="shared" ca="1" si="207"/>
        <v>0</v>
      </c>
    </row>
    <row r="995" spans="1:14" x14ac:dyDescent="0.35">
      <c r="A995" t="s">
        <v>1012</v>
      </c>
      <c r="B995" t="str">
        <f t="shared" si="195"/>
        <v>Control</v>
      </c>
      <c r="C995">
        <f t="shared" ca="1" si="196"/>
        <v>33</v>
      </c>
      <c r="D995" t="str">
        <f t="shared" ca="1" si="197"/>
        <v>Female</v>
      </c>
      <c r="E995" t="str">
        <f t="shared" ca="1" si="198"/>
        <v>T-shirts</v>
      </c>
      <c r="F995">
        <f t="shared" ca="1" si="199"/>
        <v>6956</v>
      </c>
      <c r="G995">
        <f t="shared" ca="1" si="200"/>
        <v>10</v>
      </c>
      <c r="H995">
        <f t="shared" ca="1" si="201"/>
        <v>6260.4000000000005</v>
      </c>
      <c r="I995">
        <f t="shared" ca="1" si="202"/>
        <v>0</v>
      </c>
      <c r="J995">
        <f t="shared" ca="1" si="203"/>
        <v>0</v>
      </c>
      <c r="K995">
        <f t="shared" ca="1" si="204"/>
        <v>0</v>
      </c>
      <c r="L995">
        <f t="shared" ca="1" si="205"/>
        <v>0</v>
      </c>
      <c r="M995">
        <f t="shared" ca="1" si="206"/>
        <v>7</v>
      </c>
      <c r="N995">
        <f t="shared" ca="1" si="207"/>
        <v>0</v>
      </c>
    </row>
    <row r="996" spans="1:14" x14ac:dyDescent="0.35">
      <c r="A996" t="s">
        <v>1013</v>
      </c>
      <c r="B996" t="str">
        <f t="shared" si="195"/>
        <v>Control</v>
      </c>
      <c r="C996">
        <f t="shared" ca="1" si="196"/>
        <v>18</v>
      </c>
      <c r="D996" t="str">
        <f t="shared" ca="1" si="197"/>
        <v>Female</v>
      </c>
      <c r="E996" t="str">
        <f t="shared" ca="1" si="198"/>
        <v>Dresses</v>
      </c>
      <c r="F996">
        <f t="shared" ca="1" si="199"/>
        <v>3212</v>
      </c>
      <c r="G996">
        <f t="shared" ca="1" si="200"/>
        <v>10</v>
      </c>
      <c r="H996">
        <f t="shared" ca="1" si="201"/>
        <v>2890.8</v>
      </c>
      <c r="I996">
        <f t="shared" ca="1" si="202"/>
        <v>1</v>
      </c>
      <c r="J996">
        <f t="shared" ca="1" si="203"/>
        <v>1</v>
      </c>
      <c r="K996">
        <f t="shared" ca="1" si="204"/>
        <v>1</v>
      </c>
      <c r="L996">
        <f t="shared" ca="1" si="205"/>
        <v>2890.8</v>
      </c>
      <c r="M996">
        <f t="shared" ca="1" si="206"/>
        <v>4</v>
      </c>
      <c r="N996">
        <f t="shared" ca="1" si="207"/>
        <v>0</v>
      </c>
    </row>
    <row r="997" spans="1:14" x14ac:dyDescent="0.35">
      <c r="A997" t="s">
        <v>1014</v>
      </c>
      <c r="B997" t="str">
        <f t="shared" si="195"/>
        <v>Control</v>
      </c>
      <c r="C997">
        <f t="shared" ca="1" si="196"/>
        <v>28</v>
      </c>
      <c r="D997" t="str">
        <f t="shared" ca="1" si="197"/>
        <v>Male</v>
      </c>
      <c r="E997" t="str">
        <f t="shared" ca="1" si="198"/>
        <v>Accessories</v>
      </c>
      <c r="F997">
        <f t="shared" ca="1" si="199"/>
        <v>6890</v>
      </c>
      <c r="G997">
        <f t="shared" ca="1" si="200"/>
        <v>10</v>
      </c>
      <c r="H997">
        <f t="shared" ca="1" si="201"/>
        <v>6201</v>
      </c>
      <c r="I997">
        <f t="shared" ca="1" si="202"/>
        <v>0</v>
      </c>
      <c r="J997">
        <f t="shared" ca="1" si="203"/>
        <v>0</v>
      </c>
      <c r="K997">
        <f t="shared" ca="1" si="204"/>
        <v>0</v>
      </c>
      <c r="L997">
        <f t="shared" ca="1" si="205"/>
        <v>0</v>
      </c>
      <c r="M997">
        <f t="shared" ca="1" si="206"/>
        <v>6</v>
      </c>
      <c r="N997">
        <f t="shared" ca="1" si="207"/>
        <v>0</v>
      </c>
    </row>
    <row r="998" spans="1:14" x14ac:dyDescent="0.35">
      <c r="A998" t="s">
        <v>1015</v>
      </c>
      <c r="B998" t="str">
        <f t="shared" si="195"/>
        <v>Control</v>
      </c>
      <c r="C998">
        <f t="shared" ca="1" si="196"/>
        <v>19</v>
      </c>
      <c r="D998" t="str">
        <f t="shared" ca="1" si="197"/>
        <v>Male</v>
      </c>
      <c r="E998" t="str">
        <f t="shared" ca="1" si="198"/>
        <v>Tops</v>
      </c>
      <c r="F998">
        <f t="shared" ca="1" si="199"/>
        <v>3390</v>
      </c>
      <c r="G998">
        <f t="shared" ca="1" si="200"/>
        <v>10</v>
      </c>
      <c r="H998">
        <f t="shared" ca="1" si="201"/>
        <v>3051</v>
      </c>
      <c r="I998">
        <f t="shared" ca="1" si="202"/>
        <v>1</v>
      </c>
      <c r="J998">
        <f t="shared" ca="1" si="203"/>
        <v>0</v>
      </c>
      <c r="K998">
        <f t="shared" ca="1" si="204"/>
        <v>0</v>
      </c>
      <c r="L998">
        <f t="shared" ca="1" si="205"/>
        <v>0</v>
      </c>
      <c r="M998">
        <f t="shared" ca="1" si="206"/>
        <v>4</v>
      </c>
      <c r="N998">
        <f t="shared" ca="1" si="207"/>
        <v>0</v>
      </c>
    </row>
    <row r="999" spans="1:14" x14ac:dyDescent="0.35">
      <c r="A999" t="s">
        <v>1016</v>
      </c>
      <c r="B999" t="str">
        <f t="shared" si="195"/>
        <v>Control</v>
      </c>
      <c r="C999">
        <f t="shared" ca="1" si="196"/>
        <v>43</v>
      </c>
      <c r="D999" t="str">
        <f t="shared" ca="1" si="197"/>
        <v>Female</v>
      </c>
      <c r="E999" t="str">
        <f t="shared" ca="1" si="198"/>
        <v>Sportswear</v>
      </c>
      <c r="F999">
        <f t="shared" ca="1" si="199"/>
        <v>7239</v>
      </c>
      <c r="G999">
        <f t="shared" ca="1" si="200"/>
        <v>10</v>
      </c>
      <c r="H999">
        <f t="shared" ca="1" si="201"/>
        <v>6515.1</v>
      </c>
      <c r="I999">
        <f t="shared" ca="1" si="202"/>
        <v>1</v>
      </c>
      <c r="J999">
        <f t="shared" ca="1" si="203"/>
        <v>1</v>
      </c>
      <c r="K999">
        <f t="shared" ca="1" si="204"/>
        <v>0</v>
      </c>
      <c r="L999">
        <f t="shared" ca="1" si="205"/>
        <v>0</v>
      </c>
      <c r="M999">
        <f t="shared" ca="1" si="206"/>
        <v>1</v>
      </c>
      <c r="N999">
        <f t="shared" ca="1" si="207"/>
        <v>0</v>
      </c>
    </row>
    <row r="1000" spans="1:14" x14ac:dyDescent="0.35">
      <c r="A1000" t="s">
        <v>1017</v>
      </c>
      <c r="B1000" t="str">
        <f t="shared" si="195"/>
        <v>Control</v>
      </c>
      <c r="C1000">
        <f t="shared" ca="1" si="196"/>
        <v>33</v>
      </c>
      <c r="D1000" t="str">
        <f t="shared" ca="1" si="197"/>
        <v>Male</v>
      </c>
      <c r="E1000" t="str">
        <f t="shared" ca="1" si="198"/>
        <v>Jeans</v>
      </c>
      <c r="F1000">
        <f t="shared" ca="1" si="199"/>
        <v>7130</v>
      </c>
      <c r="G1000">
        <f t="shared" ca="1" si="200"/>
        <v>10</v>
      </c>
      <c r="H1000">
        <f t="shared" ca="1" si="201"/>
        <v>6417</v>
      </c>
      <c r="I1000">
        <f t="shared" ca="1" si="202"/>
        <v>1</v>
      </c>
      <c r="J1000">
        <f t="shared" ca="1" si="203"/>
        <v>1</v>
      </c>
      <c r="K1000">
        <f t="shared" ca="1" si="204"/>
        <v>0</v>
      </c>
      <c r="L1000">
        <f t="shared" ca="1" si="205"/>
        <v>0</v>
      </c>
      <c r="M1000">
        <f t="shared" ca="1" si="206"/>
        <v>7</v>
      </c>
      <c r="N1000">
        <f t="shared" ca="1" si="207"/>
        <v>0</v>
      </c>
    </row>
    <row r="1001" spans="1:14" x14ac:dyDescent="0.35">
      <c r="A1001" t="s">
        <v>1018</v>
      </c>
      <c r="B1001" t="str">
        <f t="shared" si="195"/>
        <v>Control</v>
      </c>
      <c r="C1001">
        <f t="shared" ca="1" si="196"/>
        <v>22</v>
      </c>
      <c r="D1001" t="str">
        <f t="shared" ca="1" si="197"/>
        <v>Female</v>
      </c>
      <c r="E1001" t="str">
        <f t="shared" ca="1" si="198"/>
        <v>T-shirts</v>
      </c>
      <c r="F1001">
        <f t="shared" ca="1" si="199"/>
        <v>6427</v>
      </c>
      <c r="G1001">
        <f t="shared" ca="1" si="200"/>
        <v>10</v>
      </c>
      <c r="H1001">
        <f t="shared" ca="1" si="201"/>
        <v>5784.3</v>
      </c>
      <c r="I1001">
        <f t="shared" ca="1" si="202"/>
        <v>1</v>
      </c>
      <c r="J1001">
        <f t="shared" ca="1" si="203"/>
        <v>0</v>
      </c>
      <c r="K1001">
        <f t="shared" ca="1" si="204"/>
        <v>0</v>
      </c>
      <c r="L1001">
        <f t="shared" ca="1" si="205"/>
        <v>0</v>
      </c>
      <c r="M1001">
        <f t="shared" ca="1" si="206"/>
        <v>5</v>
      </c>
      <c r="N1001">
        <f t="shared" ca="1" si="207"/>
        <v>0</v>
      </c>
    </row>
    <row r="1002" spans="1:14" x14ac:dyDescent="0.35">
      <c r="A1002" t="s">
        <v>1019</v>
      </c>
      <c r="B1002" t="str">
        <f t="shared" si="195"/>
        <v>Test</v>
      </c>
      <c r="C1002">
        <f t="shared" ca="1" si="196"/>
        <v>18</v>
      </c>
      <c r="D1002" t="str">
        <f t="shared" ca="1" si="197"/>
        <v>Female</v>
      </c>
      <c r="E1002" t="str">
        <f t="shared" ca="1" si="198"/>
        <v>Dresses</v>
      </c>
      <c r="F1002">
        <f t="shared" ca="1" si="199"/>
        <v>1267</v>
      </c>
      <c r="G1002">
        <f t="shared" ca="1" si="200"/>
        <v>15</v>
      </c>
      <c r="H1002">
        <f t="shared" ca="1" si="201"/>
        <v>1076.95</v>
      </c>
      <c r="I1002">
        <f t="shared" ca="1" si="202"/>
        <v>1</v>
      </c>
      <c r="J1002">
        <f t="shared" ca="1" si="203"/>
        <v>1</v>
      </c>
      <c r="K1002">
        <f t="shared" ca="1" si="204"/>
        <v>1</v>
      </c>
      <c r="L1002">
        <f t="shared" ca="1" si="205"/>
        <v>1076.95</v>
      </c>
      <c r="M1002">
        <f t="shared" ca="1" si="206"/>
        <v>6</v>
      </c>
      <c r="N1002">
        <f t="shared" ca="1" si="207"/>
        <v>0</v>
      </c>
    </row>
    <row r="1003" spans="1:14" x14ac:dyDescent="0.35">
      <c r="A1003" t="s">
        <v>1020</v>
      </c>
      <c r="B1003" t="str">
        <f t="shared" si="195"/>
        <v>Test</v>
      </c>
      <c r="C1003">
        <f t="shared" ca="1" si="196"/>
        <v>37</v>
      </c>
      <c r="D1003" t="str">
        <f t="shared" ca="1" si="197"/>
        <v>Female</v>
      </c>
      <c r="E1003" t="str">
        <f t="shared" ca="1" si="198"/>
        <v>Shoes</v>
      </c>
      <c r="F1003">
        <f t="shared" ca="1" si="199"/>
        <v>5047</v>
      </c>
      <c r="G1003">
        <f t="shared" ca="1" si="200"/>
        <v>25</v>
      </c>
      <c r="H1003">
        <f t="shared" ca="1" si="201"/>
        <v>3785.25</v>
      </c>
      <c r="I1003">
        <f t="shared" ca="1" si="202"/>
        <v>1</v>
      </c>
      <c r="J1003">
        <f t="shared" ca="1" si="203"/>
        <v>0</v>
      </c>
      <c r="K1003">
        <f t="shared" ca="1" si="204"/>
        <v>0</v>
      </c>
      <c r="L1003">
        <f t="shared" ca="1" si="205"/>
        <v>0</v>
      </c>
      <c r="M1003">
        <f t="shared" ca="1" si="206"/>
        <v>2</v>
      </c>
      <c r="N1003">
        <f t="shared" ca="1" si="207"/>
        <v>0</v>
      </c>
    </row>
    <row r="1004" spans="1:14" x14ac:dyDescent="0.35">
      <c r="A1004" t="s">
        <v>1021</v>
      </c>
      <c r="B1004" t="str">
        <f t="shared" si="195"/>
        <v>Test</v>
      </c>
      <c r="C1004">
        <f t="shared" ca="1" si="196"/>
        <v>29</v>
      </c>
      <c r="D1004" t="str">
        <f t="shared" ca="1" si="197"/>
        <v>Male</v>
      </c>
      <c r="E1004" t="str">
        <f t="shared" ca="1" si="198"/>
        <v>Sportswear</v>
      </c>
      <c r="F1004">
        <f t="shared" ca="1" si="199"/>
        <v>5061</v>
      </c>
      <c r="G1004">
        <f t="shared" ca="1" si="200"/>
        <v>25</v>
      </c>
      <c r="H1004">
        <f t="shared" ca="1" si="201"/>
        <v>3795.75</v>
      </c>
      <c r="I1004">
        <f t="shared" ca="1" si="202"/>
        <v>1</v>
      </c>
      <c r="J1004">
        <f t="shared" ca="1" si="203"/>
        <v>0</v>
      </c>
      <c r="K1004">
        <f t="shared" ca="1" si="204"/>
        <v>0</v>
      </c>
      <c r="L1004">
        <f t="shared" ca="1" si="205"/>
        <v>0</v>
      </c>
      <c r="M1004">
        <f t="shared" ca="1" si="206"/>
        <v>6</v>
      </c>
      <c r="N1004">
        <f t="shared" ca="1" si="207"/>
        <v>0</v>
      </c>
    </row>
    <row r="1005" spans="1:14" x14ac:dyDescent="0.35">
      <c r="A1005" t="s">
        <v>1022</v>
      </c>
      <c r="B1005" t="str">
        <f t="shared" si="195"/>
        <v>Test</v>
      </c>
      <c r="C1005">
        <f t="shared" ca="1" si="196"/>
        <v>36</v>
      </c>
      <c r="D1005" t="str">
        <f t="shared" ca="1" si="197"/>
        <v>Male</v>
      </c>
      <c r="E1005" t="str">
        <f t="shared" ca="1" si="198"/>
        <v>Dresses</v>
      </c>
      <c r="F1005">
        <f t="shared" ca="1" si="199"/>
        <v>7487</v>
      </c>
      <c r="G1005">
        <f t="shared" ca="1" si="200"/>
        <v>15</v>
      </c>
      <c r="H1005">
        <f t="shared" ca="1" si="201"/>
        <v>6363.95</v>
      </c>
      <c r="I1005">
        <f t="shared" ca="1" si="202"/>
        <v>1</v>
      </c>
      <c r="J1005">
        <f t="shared" ca="1" si="203"/>
        <v>0</v>
      </c>
      <c r="K1005">
        <f t="shared" ca="1" si="204"/>
        <v>0</v>
      </c>
      <c r="L1005">
        <f t="shared" ca="1" si="205"/>
        <v>0</v>
      </c>
      <c r="M1005">
        <f t="shared" ca="1" si="206"/>
        <v>3</v>
      </c>
      <c r="N1005">
        <f t="shared" ca="1" si="207"/>
        <v>0</v>
      </c>
    </row>
    <row r="1006" spans="1:14" x14ac:dyDescent="0.35">
      <c r="A1006" t="s">
        <v>1023</v>
      </c>
      <c r="B1006" t="str">
        <f t="shared" si="195"/>
        <v>Test</v>
      </c>
      <c r="C1006">
        <f t="shared" ca="1" si="196"/>
        <v>38</v>
      </c>
      <c r="D1006" t="str">
        <f t="shared" ca="1" si="197"/>
        <v>Other</v>
      </c>
      <c r="E1006" t="str">
        <f t="shared" ca="1" si="198"/>
        <v>Jeans</v>
      </c>
      <c r="F1006">
        <f t="shared" ca="1" si="199"/>
        <v>2038</v>
      </c>
      <c r="G1006">
        <f t="shared" ca="1" si="200"/>
        <v>25</v>
      </c>
      <c r="H1006">
        <f t="shared" ca="1" si="201"/>
        <v>1528.5</v>
      </c>
      <c r="I1006">
        <f t="shared" ca="1" si="202"/>
        <v>0</v>
      </c>
      <c r="J1006">
        <f t="shared" ca="1" si="203"/>
        <v>0</v>
      </c>
      <c r="K1006">
        <f t="shared" ca="1" si="204"/>
        <v>0</v>
      </c>
      <c r="L1006">
        <f t="shared" ca="1" si="205"/>
        <v>0</v>
      </c>
      <c r="M1006">
        <f t="shared" ca="1" si="206"/>
        <v>3</v>
      </c>
      <c r="N1006">
        <f t="shared" ca="1" si="207"/>
        <v>0</v>
      </c>
    </row>
    <row r="1007" spans="1:14" x14ac:dyDescent="0.35">
      <c r="A1007" t="s">
        <v>1024</v>
      </c>
      <c r="B1007" t="str">
        <f t="shared" si="195"/>
        <v>Test</v>
      </c>
      <c r="C1007">
        <f t="shared" ca="1" si="196"/>
        <v>44</v>
      </c>
      <c r="D1007" t="str">
        <f t="shared" ca="1" si="197"/>
        <v>Other</v>
      </c>
      <c r="E1007" t="str">
        <f t="shared" ca="1" si="198"/>
        <v>Sportswear</v>
      </c>
      <c r="F1007">
        <f t="shared" ca="1" si="199"/>
        <v>7484</v>
      </c>
      <c r="G1007">
        <f t="shared" ca="1" si="200"/>
        <v>25</v>
      </c>
      <c r="H1007">
        <f t="shared" ca="1" si="201"/>
        <v>5613</v>
      </c>
      <c r="I1007">
        <f t="shared" ca="1" si="202"/>
        <v>1</v>
      </c>
      <c r="J1007">
        <f t="shared" ca="1" si="203"/>
        <v>0</v>
      </c>
      <c r="K1007">
        <f t="shared" ca="1" si="204"/>
        <v>0</v>
      </c>
      <c r="L1007">
        <f t="shared" ca="1" si="205"/>
        <v>0</v>
      </c>
      <c r="M1007">
        <f t="shared" ca="1" si="206"/>
        <v>4</v>
      </c>
      <c r="N1007">
        <f t="shared" ca="1" si="207"/>
        <v>0</v>
      </c>
    </row>
    <row r="1008" spans="1:14" x14ac:dyDescent="0.35">
      <c r="A1008" t="s">
        <v>1025</v>
      </c>
      <c r="B1008" t="str">
        <f t="shared" si="195"/>
        <v>Test</v>
      </c>
      <c r="C1008">
        <f t="shared" ca="1" si="196"/>
        <v>20</v>
      </c>
      <c r="D1008" t="str">
        <f t="shared" ca="1" si="197"/>
        <v>Female</v>
      </c>
      <c r="E1008" t="str">
        <f t="shared" ca="1" si="198"/>
        <v>Accessories</v>
      </c>
      <c r="F1008">
        <f t="shared" ca="1" si="199"/>
        <v>5455</v>
      </c>
      <c r="G1008">
        <f t="shared" ca="1" si="200"/>
        <v>20</v>
      </c>
      <c r="H1008">
        <f t="shared" ca="1" si="201"/>
        <v>4364</v>
      </c>
      <c r="I1008">
        <f t="shared" ca="1" si="202"/>
        <v>1</v>
      </c>
      <c r="J1008">
        <f t="shared" ca="1" si="203"/>
        <v>1</v>
      </c>
      <c r="K1008">
        <f t="shared" ca="1" si="204"/>
        <v>0</v>
      </c>
      <c r="L1008">
        <f t="shared" ca="1" si="205"/>
        <v>0</v>
      </c>
      <c r="M1008">
        <f t="shared" ca="1" si="206"/>
        <v>7</v>
      </c>
      <c r="N1008">
        <f t="shared" ca="1" si="207"/>
        <v>0</v>
      </c>
    </row>
    <row r="1009" spans="1:14" x14ac:dyDescent="0.35">
      <c r="A1009" t="s">
        <v>1026</v>
      </c>
      <c r="B1009" t="str">
        <f t="shared" si="195"/>
        <v>Test</v>
      </c>
      <c r="C1009">
        <f t="shared" ca="1" si="196"/>
        <v>21</v>
      </c>
      <c r="D1009" t="str">
        <f t="shared" ca="1" si="197"/>
        <v>Male</v>
      </c>
      <c r="E1009" t="str">
        <f t="shared" ca="1" si="198"/>
        <v>Jeans</v>
      </c>
      <c r="F1009">
        <f t="shared" ca="1" si="199"/>
        <v>6480</v>
      </c>
      <c r="G1009">
        <f t="shared" ca="1" si="200"/>
        <v>15</v>
      </c>
      <c r="H1009">
        <f t="shared" ca="1" si="201"/>
        <v>5508</v>
      </c>
      <c r="I1009">
        <f t="shared" ca="1" si="202"/>
        <v>0</v>
      </c>
      <c r="J1009">
        <f t="shared" ca="1" si="203"/>
        <v>0</v>
      </c>
      <c r="K1009">
        <f t="shared" ca="1" si="204"/>
        <v>0</v>
      </c>
      <c r="L1009">
        <f t="shared" ca="1" si="205"/>
        <v>0</v>
      </c>
      <c r="M1009">
        <f t="shared" ca="1" si="206"/>
        <v>4</v>
      </c>
      <c r="N1009">
        <f t="shared" ca="1" si="207"/>
        <v>0</v>
      </c>
    </row>
    <row r="1010" spans="1:14" x14ac:dyDescent="0.35">
      <c r="A1010" t="s">
        <v>1027</v>
      </c>
      <c r="B1010" t="str">
        <f t="shared" si="195"/>
        <v>Test</v>
      </c>
      <c r="C1010">
        <f t="shared" ca="1" si="196"/>
        <v>33</v>
      </c>
      <c r="D1010" t="str">
        <f t="shared" ca="1" si="197"/>
        <v>Female</v>
      </c>
      <c r="E1010" t="str">
        <f t="shared" ca="1" si="198"/>
        <v>Shoes</v>
      </c>
      <c r="F1010">
        <f t="shared" ca="1" si="199"/>
        <v>5484</v>
      </c>
      <c r="G1010">
        <f t="shared" ca="1" si="200"/>
        <v>20</v>
      </c>
      <c r="H1010">
        <f t="shared" ca="1" si="201"/>
        <v>4387.2</v>
      </c>
      <c r="I1010">
        <f t="shared" ca="1" si="202"/>
        <v>1</v>
      </c>
      <c r="J1010">
        <f t="shared" ca="1" si="203"/>
        <v>1</v>
      </c>
      <c r="K1010">
        <f t="shared" ca="1" si="204"/>
        <v>1</v>
      </c>
      <c r="L1010">
        <f t="shared" ca="1" si="205"/>
        <v>4387.2</v>
      </c>
      <c r="M1010">
        <f t="shared" ca="1" si="206"/>
        <v>3</v>
      </c>
      <c r="N1010">
        <f t="shared" ca="1" si="207"/>
        <v>0</v>
      </c>
    </row>
    <row r="1011" spans="1:14" x14ac:dyDescent="0.35">
      <c r="A1011" t="s">
        <v>1028</v>
      </c>
      <c r="B1011" t="str">
        <f t="shared" si="195"/>
        <v>Test</v>
      </c>
      <c r="C1011">
        <f t="shared" ca="1" si="196"/>
        <v>36</v>
      </c>
      <c r="D1011" t="str">
        <f t="shared" ca="1" si="197"/>
        <v>Female</v>
      </c>
      <c r="E1011" t="str">
        <f t="shared" ca="1" si="198"/>
        <v>Jeans</v>
      </c>
      <c r="F1011">
        <f t="shared" ca="1" si="199"/>
        <v>5405</v>
      </c>
      <c r="G1011">
        <f t="shared" ca="1" si="200"/>
        <v>15</v>
      </c>
      <c r="H1011">
        <f t="shared" ca="1" si="201"/>
        <v>4594.25</v>
      </c>
      <c r="I1011">
        <f t="shared" ca="1" si="202"/>
        <v>1</v>
      </c>
      <c r="J1011">
        <f t="shared" ca="1" si="203"/>
        <v>1</v>
      </c>
      <c r="K1011">
        <f t="shared" ca="1" si="204"/>
        <v>0</v>
      </c>
      <c r="L1011">
        <f t="shared" ca="1" si="205"/>
        <v>0</v>
      </c>
      <c r="M1011">
        <f t="shared" ca="1" si="206"/>
        <v>1</v>
      </c>
      <c r="N1011">
        <f t="shared" ca="1" si="207"/>
        <v>0</v>
      </c>
    </row>
    <row r="1012" spans="1:14" x14ac:dyDescent="0.35">
      <c r="A1012" t="s">
        <v>1029</v>
      </c>
      <c r="B1012" t="str">
        <f t="shared" si="195"/>
        <v>Test</v>
      </c>
      <c r="C1012">
        <f t="shared" ca="1" si="196"/>
        <v>43</v>
      </c>
      <c r="D1012" t="str">
        <f t="shared" ca="1" si="197"/>
        <v>Female</v>
      </c>
      <c r="E1012" t="str">
        <f t="shared" ca="1" si="198"/>
        <v>T-shirts</v>
      </c>
      <c r="F1012">
        <f t="shared" ca="1" si="199"/>
        <v>6520</v>
      </c>
      <c r="G1012">
        <f t="shared" ca="1" si="200"/>
        <v>20</v>
      </c>
      <c r="H1012">
        <f t="shared" ca="1" si="201"/>
        <v>5216</v>
      </c>
      <c r="I1012">
        <f t="shared" ca="1" si="202"/>
        <v>0</v>
      </c>
      <c r="J1012">
        <f t="shared" ca="1" si="203"/>
        <v>0</v>
      </c>
      <c r="K1012">
        <f t="shared" ca="1" si="204"/>
        <v>0</v>
      </c>
      <c r="L1012">
        <f t="shared" ca="1" si="205"/>
        <v>0</v>
      </c>
      <c r="M1012">
        <f t="shared" ca="1" si="206"/>
        <v>4</v>
      </c>
      <c r="N1012">
        <f t="shared" ca="1" si="207"/>
        <v>0</v>
      </c>
    </row>
    <row r="1013" spans="1:14" x14ac:dyDescent="0.35">
      <c r="A1013" t="s">
        <v>1030</v>
      </c>
      <c r="B1013" t="str">
        <f t="shared" si="195"/>
        <v>Test</v>
      </c>
      <c r="C1013">
        <f t="shared" ca="1" si="196"/>
        <v>43</v>
      </c>
      <c r="D1013" t="str">
        <f t="shared" ca="1" si="197"/>
        <v>Male</v>
      </c>
      <c r="E1013" t="str">
        <f t="shared" ca="1" si="198"/>
        <v>Jeans</v>
      </c>
      <c r="F1013">
        <f t="shared" ca="1" si="199"/>
        <v>5004</v>
      </c>
      <c r="G1013">
        <f t="shared" ca="1" si="200"/>
        <v>25</v>
      </c>
      <c r="H1013">
        <f t="shared" ca="1" si="201"/>
        <v>3753</v>
      </c>
      <c r="I1013">
        <f t="shared" ca="1" si="202"/>
        <v>1</v>
      </c>
      <c r="J1013">
        <f t="shared" ca="1" si="203"/>
        <v>0</v>
      </c>
      <c r="K1013">
        <f t="shared" ca="1" si="204"/>
        <v>0</v>
      </c>
      <c r="L1013">
        <f t="shared" ca="1" si="205"/>
        <v>0</v>
      </c>
      <c r="M1013">
        <f t="shared" ca="1" si="206"/>
        <v>2</v>
      </c>
      <c r="N1013">
        <f t="shared" ca="1" si="207"/>
        <v>0</v>
      </c>
    </row>
    <row r="1014" spans="1:14" x14ac:dyDescent="0.35">
      <c r="A1014" t="s">
        <v>1031</v>
      </c>
      <c r="B1014" t="str">
        <f t="shared" si="195"/>
        <v>Test</v>
      </c>
      <c r="C1014">
        <f t="shared" ca="1" si="196"/>
        <v>36</v>
      </c>
      <c r="D1014" t="str">
        <f t="shared" ca="1" si="197"/>
        <v>Female</v>
      </c>
      <c r="E1014" t="str">
        <f t="shared" ca="1" si="198"/>
        <v>Jeans</v>
      </c>
      <c r="F1014">
        <f t="shared" ca="1" si="199"/>
        <v>1010</v>
      </c>
      <c r="G1014">
        <f t="shared" ca="1" si="200"/>
        <v>25</v>
      </c>
      <c r="H1014">
        <f t="shared" ca="1" si="201"/>
        <v>757.5</v>
      </c>
      <c r="I1014">
        <f t="shared" ca="1" si="202"/>
        <v>1</v>
      </c>
      <c r="J1014">
        <f t="shared" ca="1" si="203"/>
        <v>1</v>
      </c>
      <c r="K1014">
        <f t="shared" ca="1" si="204"/>
        <v>1</v>
      </c>
      <c r="L1014">
        <f t="shared" ca="1" si="205"/>
        <v>757.5</v>
      </c>
      <c r="M1014">
        <f t="shared" ca="1" si="206"/>
        <v>6</v>
      </c>
      <c r="N1014">
        <f t="shared" ca="1" si="207"/>
        <v>0</v>
      </c>
    </row>
    <row r="1015" spans="1:14" x14ac:dyDescent="0.35">
      <c r="A1015" t="s">
        <v>1032</v>
      </c>
      <c r="B1015" t="str">
        <f t="shared" si="195"/>
        <v>Test</v>
      </c>
      <c r="C1015">
        <f t="shared" ca="1" si="196"/>
        <v>39</v>
      </c>
      <c r="D1015" t="str">
        <f t="shared" ca="1" si="197"/>
        <v>Other</v>
      </c>
      <c r="E1015" t="str">
        <f t="shared" ca="1" si="198"/>
        <v>T-shirts</v>
      </c>
      <c r="F1015">
        <f t="shared" ca="1" si="199"/>
        <v>1087</v>
      </c>
      <c r="G1015">
        <f t="shared" ca="1" si="200"/>
        <v>15</v>
      </c>
      <c r="H1015">
        <f t="shared" ca="1" si="201"/>
        <v>923.94999999999993</v>
      </c>
      <c r="I1015">
        <f t="shared" ca="1" si="202"/>
        <v>0</v>
      </c>
      <c r="J1015">
        <f t="shared" ca="1" si="203"/>
        <v>0</v>
      </c>
      <c r="K1015">
        <f t="shared" ca="1" si="204"/>
        <v>0</v>
      </c>
      <c r="L1015">
        <f t="shared" ca="1" si="205"/>
        <v>0</v>
      </c>
      <c r="M1015">
        <f t="shared" ca="1" si="206"/>
        <v>1</v>
      </c>
      <c r="N1015">
        <f t="shared" ca="1" si="207"/>
        <v>0</v>
      </c>
    </row>
    <row r="1016" spans="1:14" x14ac:dyDescent="0.35">
      <c r="A1016" t="s">
        <v>1033</v>
      </c>
      <c r="B1016" t="str">
        <f t="shared" si="195"/>
        <v>Test</v>
      </c>
      <c r="C1016">
        <f t="shared" ca="1" si="196"/>
        <v>29</v>
      </c>
      <c r="D1016" t="str">
        <f t="shared" ca="1" si="197"/>
        <v>Other</v>
      </c>
      <c r="E1016" t="str">
        <f t="shared" ca="1" si="198"/>
        <v>Tops</v>
      </c>
      <c r="F1016">
        <f t="shared" ca="1" si="199"/>
        <v>4480</v>
      </c>
      <c r="G1016">
        <f t="shared" ca="1" si="200"/>
        <v>25</v>
      </c>
      <c r="H1016">
        <f t="shared" ca="1" si="201"/>
        <v>3360</v>
      </c>
      <c r="I1016">
        <f t="shared" ca="1" si="202"/>
        <v>1</v>
      </c>
      <c r="J1016">
        <f t="shared" ca="1" si="203"/>
        <v>1</v>
      </c>
      <c r="K1016">
        <f t="shared" ca="1" si="204"/>
        <v>0</v>
      </c>
      <c r="L1016">
        <f t="shared" ca="1" si="205"/>
        <v>0</v>
      </c>
      <c r="M1016">
        <f t="shared" ca="1" si="206"/>
        <v>3</v>
      </c>
      <c r="N1016">
        <f t="shared" ca="1" si="207"/>
        <v>0</v>
      </c>
    </row>
    <row r="1017" spans="1:14" x14ac:dyDescent="0.35">
      <c r="A1017" t="s">
        <v>1034</v>
      </c>
      <c r="B1017" t="str">
        <f t="shared" si="195"/>
        <v>Test</v>
      </c>
      <c r="C1017">
        <f t="shared" ca="1" si="196"/>
        <v>23</v>
      </c>
      <c r="D1017" t="str">
        <f t="shared" ca="1" si="197"/>
        <v>Male</v>
      </c>
      <c r="E1017" t="str">
        <f t="shared" ca="1" si="198"/>
        <v>Shoes</v>
      </c>
      <c r="F1017">
        <f t="shared" ca="1" si="199"/>
        <v>4600</v>
      </c>
      <c r="G1017">
        <f t="shared" ca="1" si="200"/>
        <v>25</v>
      </c>
      <c r="H1017">
        <f t="shared" ca="1" si="201"/>
        <v>3450</v>
      </c>
      <c r="I1017">
        <f t="shared" ca="1" si="202"/>
        <v>0</v>
      </c>
      <c r="J1017">
        <f t="shared" ca="1" si="203"/>
        <v>0</v>
      </c>
      <c r="K1017">
        <f t="shared" ca="1" si="204"/>
        <v>0</v>
      </c>
      <c r="L1017">
        <f t="shared" ca="1" si="205"/>
        <v>0</v>
      </c>
      <c r="M1017">
        <f t="shared" ca="1" si="206"/>
        <v>6</v>
      </c>
      <c r="N1017">
        <f t="shared" ca="1" si="207"/>
        <v>0</v>
      </c>
    </row>
    <row r="1018" spans="1:14" x14ac:dyDescent="0.35">
      <c r="A1018" t="s">
        <v>1035</v>
      </c>
      <c r="B1018" t="str">
        <f t="shared" si="195"/>
        <v>Test</v>
      </c>
      <c r="C1018">
        <f t="shared" ca="1" si="196"/>
        <v>27</v>
      </c>
      <c r="D1018" t="str">
        <f t="shared" ca="1" si="197"/>
        <v>Other</v>
      </c>
      <c r="E1018" t="str">
        <f t="shared" ca="1" si="198"/>
        <v>Tops</v>
      </c>
      <c r="F1018">
        <f t="shared" ca="1" si="199"/>
        <v>3264</v>
      </c>
      <c r="G1018">
        <f t="shared" ca="1" si="200"/>
        <v>25</v>
      </c>
      <c r="H1018">
        <f t="shared" ca="1" si="201"/>
        <v>2448</v>
      </c>
      <c r="I1018">
        <f t="shared" ca="1" si="202"/>
        <v>1</v>
      </c>
      <c r="J1018">
        <f t="shared" ca="1" si="203"/>
        <v>0</v>
      </c>
      <c r="K1018">
        <f t="shared" ca="1" si="204"/>
        <v>0</v>
      </c>
      <c r="L1018">
        <f t="shared" ca="1" si="205"/>
        <v>0</v>
      </c>
      <c r="M1018">
        <f t="shared" ca="1" si="206"/>
        <v>1</v>
      </c>
      <c r="N1018">
        <f t="shared" ca="1" si="207"/>
        <v>0</v>
      </c>
    </row>
    <row r="1019" spans="1:14" x14ac:dyDescent="0.35">
      <c r="A1019" t="s">
        <v>1036</v>
      </c>
      <c r="B1019" t="str">
        <f t="shared" si="195"/>
        <v>Test</v>
      </c>
      <c r="C1019">
        <f t="shared" ca="1" si="196"/>
        <v>29</v>
      </c>
      <c r="D1019" t="str">
        <f t="shared" ca="1" si="197"/>
        <v>Female</v>
      </c>
      <c r="E1019" t="str">
        <f t="shared" ca="1" si="198"/>
        <v>Dresses</v>
      </c>
      <c r="F1019">
        <f t="shared" ca="1" si="199"/>
        <v>3041</v>
      </c>
      <c r="G1019">
        <f t="shared" ca="1" si="200"/>
        <v>20</v>
      </c>
      <c r="H1019">
        <f t="shared" ca="1" si="201"/>
        <v>2432.8000000000002</v>
      </c>
      <c r="I1019">
        <f t="shared" ca="1" si="202"/>
        <v>1</v>
      </c>
      <c r="J1019">
        <f t="shared" ca="1" si="203"/>
        <v>1</v>
      </c>
      <c r="K1019">
        <f t="shared" ca="1" si="204"/>
        <v>1</v>
      </c>
      <c r="L1019">
        <f t="shared" ca="1" si="205"/>
        <v>2432.8000000000002</v>
      </c>
      <c r="M1019">
        <f t="shared" ca="1" si="206"/>
        <v>3</v>
      </c>
      <c r="N1019">
        <f t="shared" ca="1" si="207"/>
        <v>0</v>
      </c>
    </row>
    <row r="1020" spans="1:14" x14ac:dyDescent="0.35">
      <c r="A1020" t="s">
        <v>1037</v>
      </c>
      <c r="B1020" t="str">
        <f t="shared" si="195"/>
        <v>Test</v>
      </c>
      <c r="C1020">
        <f t="shared" ca="1" si="196"/>
        <v>27</v>
      </c>
      <c r="D1020" t="str">
        <f t="shared" ca="1" si="197"/>
        <v>Male</v>
      </c>
      <c r="E1020" t="str">
        <f t="shared" ca="1" si="198"/>
        <v>Tops</v>
      </c>
      <c r="F1020">
        <f t="shared" ca="1" si="199"/>
        <v>2064</v>
      </c>
      <c r="G1020">
        <f t="shared" ca="1" si="200"/>
        <v>25</v>
      </c>
      <c r="H1020">
        <f t="shared" ca="1" si="201"/>
        <v>1548</v>
      </c>
      <c r="I1020">
        <f t="shared" ca="1" si="202"/>
        <v>1</v>
      </c>
      <c r="J1020">
        <f t="shared" ca="1" si="203"/>
        <v>1</v>
      </c>
      <c r="K1020">
        <f t="shared" ca="1" si="204"/>
        <v>1</v>
      </c>
      <c r="L1020">
        <f t="shared" ca="1" si="205"/>
        <v>1548</v>
      </c>
      <c r="M1020">
        <f t="shared" ca="1" si="206"/>
        <v>4</v>
      </c>
      <c r="N1020">
        <f t="shared" ca="1" si="207"/>
        <v>0</v>
      </c>
    </row>
    <row r="1021" spans="1:14" x14ac:dyDescent="0.35">
      <c r="A1021" t="s">
        <v>1038</v>
      </c>
      <c r="B1021" t="str">
        <f t="shared" si="195"/>
        <v>Test</v>
      </c>
      <c r="C1021">
        <f t="shared" ca="1" si="196"/>
        <v>31</v>
      </c>
      <c r="D1021" t="str">
        <f t="shared" ca="1" si="197"/>
        <v>Female</v>
      </c>
      <c r="E1021" t="str">
        <f t="shared" ca="1" si="198"/>
        <v>Sportswear</v>
      </c>
      <c r="F1021">
        <f t="shared" ca="1" si="199"/>
        <v>1040</v>
      </c>
      <c r="G1021">
        <f t="shared" ca="1" si="200"/>
        <v>15</v>
      </c>
      <c r="H1021">
        <f t="shared" ca="1" si="201"/>
        <v>884</v>
      </c>
      <c r="I1021">
        <f t="shared" ca="1" si="202"/>
        <v>1</v>
      </c>
      <c r="J1021">
        <f t="shared" ca="1" si="203"/>
        <v>0</v>
      </c>
      <c r="K1021">
        <f t="shared" ca="1" si="204"/>
        <v>0</v>
      </c>
      <c r="L1021">
        <f t="shared" ca="1" si="205"/>
        <v>0</v>
      </c>
      <c r="M1021">
        <f t="shared" ca="1" si="206"/>
        <v>6</v>
      </c>
      <c r="N1021">
        <f t="shared" ca="1" si="207"/>
        <v>0</v>
      </c>
    </row>
    <row r="1022" spans="1:14" x14ac:dyDescent="0.35">
      <c r="A1022" t="s">
        <v>1039</v>
      </c>
      <c r="B1022" t="str">
        <f t="shared" si="195"/>
        <v>Test</v>
      </c>
      <c r="C1022">
        <f t="shared" ca="1" si="196"/>
        <v>42</v>
      </c>
      <c r="D1022" t="str">
        <f t="shared" ca="1" si="197"/>
        <v>Female</v>
      </c>
      <c r="E1022" t="str">
        <f t="shared" ca="1" si="198"/>
        <v>Accessories</v>
      </c>
      <c r="F1022">
        <f t="shared" ca="1" si="199"/>
        <v>1682</v>
      </c>
      <c r="G1022">
        <f t="shared" ca="1" si="200"/>
        <v>20</v>
      </c>
      <c r="H1022">
        <f t="shared" ca="1" si="201"/>
        <v>1345.6000000000001</v>
      </c>
      <c r="I1022">
        <f t="shared" ca="1" si="202"/>
        <v>1</v>
      </c>
      <c r="J1022">
        <f t="shared" ca="1" si="203"/>
        <v>0</v>
      </c>
      <c r="K1022">
        <f t="shared" ca="1" si="204"/>
        <v>0</v>
      </c>
      <c r="L1022">
        <f t="shared" ca="1" si="205"/>
        <v>0</v>
      </c>
      <c r="M1022">
        <f t="shared" ca="1" si="206"/>
        <v>5</v>
      </c>
      <c r="N1022">
        <f t="shared" ca="1" si="207"/>
        <v>0</v>
      </c>
    </row>
    <row r="1023" spans="1:14" x14ac:dyDescent="0.35">
      <c r="A1023" t="s">
        <v>1040</v>
      </c>
      <c r="B1023" t="str">
        <f t="shared" si="195"/>
        <v>Test</v>
      </c>
      <c r="C1023">
        <f t="shared" ca="1" si="196"/>
        <v>32</v>
      </c>
      <c r="D1023" t="str">
        <f t="shared" ca="1" si="197"/>
        <v>Female</v>
      </c>
      <c r="E1023" t="str">
        <f t="shared" ca="1" si="198"/>
        <v>T-shirts</v>
      </c>
      <c r="F1023">
        <f t="shared" ca="1" si="199"/>
        <v>1750</v>
      </c>
      <c r="G1023">
        <f t="shared" ca="1" si="200"/>
        <v>20</v>
      </c>
      <c r="H1023">
        <f t="shared" ca="1" si="201"/>
        <v>1400</v>
      </c>
      <c r="I1023">
        <f t="shared" ca="1" si="202"/>
        <v>1</v>
      </c>
      <c r="J1023">
        <f t="shared" ca="1" si="203"/>
        <v>1</v>
      </c>
      <c r="K1023">
        <f t="shared" ca="1" si="204"/>
        <v>0</v>
      </c>
      <c r="L1023">
        <f t="shared" ca="1" si="205"/>
        <v>0</v>
      </c>
      <c r="M1023">
        <f t="shared" ca="1" si="206"/>
        <v>4</v>
      </c>
      <c r="N1023">
        <f t="shared" ca="1" si="207"/>
        <v>0</v>
      </c>
    </row>
    <row r="1024" spans="1:14" x14ac:dyDescent="0.35">
      <c r="A1024" t="s">
        <v>1041</v>
      </c>
      <c r="B1024" t="str">
        <f t="shared" si="195"/>
        <v>Test</v>
      </c>
      <c r="C1024">
        <f t="shared" ca="1" si="196"/>
        <v>31</v>
      </c>
      <c r="D1024" t="str">
        <f t="shared" ca="1" si="197"/>
        <v>Female</v>
      </c>
      <c r="E1024" t="str">
        <f t="shared" ca="1" si="198"/>
        <v>Accessories</v>
      </c>
      <c r="F1024">
        <f t="shared" ca="1" si="199"/>
        <v>2222</v>
      </c>
      <c r="G1024">
        <f t="shared" ca="1" si="200"/>
        <v>25</v>
      </c>
      <c r="H1024">
        <f t="shared" ca="1" si="201"/>
        <v>1666.5</v>
      </c>
      <c r="I1024">
        <f t="shared" ca="1" si="202"/>
        <v>1</v>
      </c>
      <c r="J1024">
        <f t="shared" ca="1" si="203"/>
        <v>1</v>
      </c>
      <c r="K1024">
        <f t="shared" ca="1" si="204"/>
        <v>0</v>
      </c>
      <c r="L1024">
        <f t="shared" ca="1" si="205"/>
        <v>0</v>
      </c>
      <c r="M1024">
        <f t="shared" ca="1" si="206"/>
        <v>1</v>
      </c>
      <c r="N1024">
        <f t="shared" ca="1" si="207"/>
        <v>0</v>
      </c>
    </row>
    <row r="1025" spans="1:14" x14ac:dyDescent="0.35">
      <c r="A1025" t="s">
        <v>1042</v>
      </c>
      <c r="B1025" t="str">
        <f t="shared" si="195"/>
        <v>Test</v>
      </c>
      <c r="C1025">
        <f t="shared" ca="1" si="196"/>
        <v>26</v>
      </c>
      <c r="D1025" t="str">
        <f t="shared" ca="1" si="197"/>
        <v>Female</v>
      </c>
      <c r="E1025" t="str">
        <f t="shared" ca="1" si="198"/>
        <v>Dresses</v>
      </c>
      <c r="F1025">
        <f t="shared" ca="1" si="199"/>
        <v>3880</v>
      </c>
      <c r="G1025">
        <f t="shared" ca="1" si="200"/>
        <v>15</v>
      </c>
      <c r="H1025">
        <f t="shared" ca="1" si="201"/>
        <v>3298</v>
      </c>
      <c r="I1025">
        <f t="shared" ca="1" si="202"/>
        <v>1</v>
      </c>
      <c r="J1025">
        <f t="shared" ca="1" si="203"/>
        <v>1</v>
      </c>
      <c r="K1025">
        <f t="shared" ca="1" si="204"/>
        <v>0</v>
      </c>
      <c r="L1025">
        <f t="shared" ca="1" si="205"/>
        <v>0</v>
      </c>
      <c r="M1025">
        <f t="shared" ca="1" si="206"/>
        <v>2</v>
      </c>
      <c r="N1025">
        <f t="shared" ca="1" si="207"/>
        <v>0</v>
      </c>
    </row>
    <row r="1026" spans="1:14" x14ac:dyDescent="0.35">
      <c r="A1026" t="s">
        <v>1043</v>
      </c>
      <c r="B1026" t="str">
        <f t="shared" si="195"/>
        <v>Test</v>
      </c>
      <c r="C1026">
        <f t="shared" ca="1" si="196"/>
        <v>41</v>
      </c>
      <c r="D1026" t="str">
        <f t="shared" ca="1" si="197"/>
        <v>Male</v>
      </c>
      <c r="E1026" t="str">
        <f t="shared" ca="1" si="198"/>
        <v>Shoes</v>
      </c>
      <c r="F1026">
        <f t="shared" ca="1" si="199"/>
        <v>2722</v>
      </c>
      <c r="G1026">
        <f t="shared" ca="1" si="200"/>
        <v>25</v>
      </c>
      <c r="H1026">
        <f t="shared" ca="1" si="201"/>
        <v>2041.5</v>
      </c>
      <c r="I1026">
        <f t="shared" ca="1" si="202"/>
        <v>1</v>
      </c>
      <c r="J1026">
        <f t="shared" ca="1" si="203"/>
        <v>1</v>
      </c>
      <c r="K1026">
        <f t="shared" ca="1" si="204"/>
        <v>1</v>
      </c>
      <c r="L1026">
        <f t="shared" ca="1" si="205"/>
        <v>2041.5</v>
      </c>
      <c r="M1026">
        <f t="shared" ca="1" si="206"/>
        <v>1</v>
      </c>
      <c r="N1026">
        <f t="shared" ca="1" si="207"/>
        <v>0</v>
      </c>
    </row>
    <row r="1027" spans="1:14" x14ac:dyDescent="0.35">
      <c r="A1027" t="s">
        <v>1044</v>
      </c>
      <c r="B1027" t="str">
        <f t="shared" si="195"/>
        <v>Test</v>
      </c>
      <c r="C1027">
        <f t="shared" ca="1" si="196"/>
        <v>44</v>
      </c>
      <c r="D1027" t="str">
        <f t="shared" ca="1" si="197"/>
        <v>Male</v>
      </c>
      <c r="E1027" t="str">
        <f t="shared" ca="1" si="198"/>
        <v>Shoes</v>
      </c>
      <c r="F1027">
        <f t="shared" ca="1" si="199"/>
        <v>4140</v>
      </c>
      <c r="G1027">
        <f t="shared" ca="1" si="200"/>
        <v>15</v>
      </c>
      <c r="H1027">
        <f t="shared" ca="1" si="201"/>
        <v>3519</v>
      </c>
      <c r="I1027">
        <f t="shared" ca="1" si="202"/>
        <v>1</v>
      </c>
      <c r="J1027">
        <f t="shared" ca="1" si="203"/>
        <v>1</v>
      </c>
      <c r="K1027">
        <f t="shared" ca="1" si="204"/>
        <v>1</v>
      </c>
      <c r="L1027">
        <f t="shared" ca="1" si="205"/>
        <v>3519</v>
      </c>
      <c r="M1027">
        <f t="shared" ca="1" si="206"/>
        <v>5</v>
      </c>
      <c r="N1027">
        <f t="shared" ca="1" si="207"/>
        <v>1</v>
      </c>
    </row>
    <row r="1028" spans="1:14" x14ac:dyDescent="0.35">
      <c r="A1028" t="s">
        <v>1045</v>
      </c>
      <c r="B1028" t="str">
        <f t="shared" si="195"/>
        <v>Test</v>
      </c>
      <c r="C1028">
        <f t="shared" ca="1" si="196"/>
        <v>44</v>
      </c>
      <c r="D1028" t="str">
        <f t="shared" ca="1" si="197"/>
        <v>Male</v>
      </c>
      <c r="E1028" t="str">
        <f t="shared" ca="1" si="198"/>
        <v>Dresses</v>
      </c>
      <c r="F1028">
        <f t="shared" ca="1" si="199"/>
        <v>551</v>
      </c>
      <c r="G1028">
        <f t="shared" ca="1" si="200"/>
        <v>15</v>
      </c>
      <c r="H1028">
        <f t="shared" ca="1" si="201"/>
        <v>468.34999999999997</v>
      </c>
      <c r="I1028">
        <f t="shared" ca="1" si="202"/>
        <v>1</v>
      </c>
      <c r="J1028">
        <f t="shared" ca="1" si="203"/>
        <v>1</v>
      </c>
      <c r="K1028">
        <f t="shared" ca="1" si="204"/>
        <v>1</v>
      </c>
      <c r="L1028">
        <f t="shared" ca="1" si="205"/>
        <v>468.34999999999997</v>
      </c>
      <c r="M1028">
        <f t="shared" ca="1" si="206"/>
        <v>7</v>
      </c>
      <c r="N1028">
        <f t="shared" ca="1" si="207"/>
        <v>0</v>
      </c>
    </row>
    <row r="1029" spans="1:14" x14ac:dyDescent="0.35">
      <c r="A1029" t="s">
        <v>1046</v>
      </c>
      <c r="B1029" t="str">
        <f t="shared" ref="B1029:B1092" si="208">IF(ROW()&lt;=1001,"Control","Test")</f>
        <v>Test</v>
      </c>
      <c r="C1029">
        <f t="shared" ref="C1029:C1092" ca="1" si="209">RANDBETWEEN(18,45)</f>
        <v>41</v>
      </c>
      <c r="D1029" t="str">
        <f t="shared" ref="D1029:D1092" ca="1" si="210">CHOOSE(RANDBETWEEN(1,20),"Female","Female","Female","Female","Female","Female","Female","Female","Female","Female","Male","Male","Male","Male","Male","Male","Male","Male","Other","Other")</f>
        <v>Female</v>
      </c>
      <c r="E1029" t="str">
        <f t="shared" ref="E1029:E1092" ca="1" si="211">CHOOSE(RANDBETWEEN(1,8),"T-shirts","Dresses","Jeans","Shoes","Ethnic Wear","Tops","Sportswear","Accessories")</f>
        <v>Shoes</v>
      </c>
      <c r="F1029">
        <f t="shared" ref="F1029:F1092" ca="1" si="212">RANDBETWEEN(300,8000)</f>
        <v>4084</v>
      </c>
      <c r="G1029">
        <f t="shared" ref="G1029:G1092" ca="1" si="213">IF(B1029="Control",10,CHOOSE(RANDBETWEEN(1,3),15,20,25))</f>
        <v>25</v>
      </c>
      <c r="H1029">
        <f t="shared" ref="H1029:H1092" ca="1" si="214">F1029*(1-G1029/100)</f>
        <v>3063</v>
      </c>
      <c r="I1029">
        <f t="shared" ref="I1029:I1092" ca="1" si="215">IF(RAND()&lt;0.85,1,0)</f>
        <v>0</v>
      </c>
      <c r="J1029">
        <f t="shared" ref="J1029:J1092" ca="1" si="216">IF(I1029=1,IF(RAND()&lt;0.55,1,0),0)</f>
        <v>0</v>
      </c>
      <c r="K1029">
        <f t="shared" ref="K1029:K1092" ca="1" si="217">IF(J1029=1,IF(B1029="Test",IF(RAND()&lt;0.4,1,0),IF(RAND()&lt;0.34,1,0)),0)</f>
        <v>0</v>
      </c>
      <c r="L1029">
        <f t="shared" ref="L1029:L1092" ca="1" si="218">IF(K1029=1,H1029,0)</f>
        <v>0</v>
      </c>
      <c r="M1029">
        <f t="shared" ref="M1029:M1092" ca="1" si="219">RANDBETWEEN(1,7)</f>
        <v>6</v>
      </c>
      <c r="N1029">
        <f t="shared" ref="N1029:N1092" ca="1" si="220">IF(K1029=1,IF(RAND()&lt;0.15,1,0),0)</f>
        <v>0</v>
      </c>
    </row>
    <row r="1030" spans="1:14" x14ac:dyDescent="0.35">
      <c r="A1030" t="s">
        <v>1047</v>
      </c>
      <c r="B1030" t="str">
        <f t="shared" si="208"/>
        <v>Test</v>
      </c>
      <c r="C1030">
        <f t="shared" ca="1" si="209"/>
        <v>31</v>
      </c>
      <c r="D1030" t="str">
        <f t="shared" ca="1" si="210"/>
        <v>Female</v>
      </c>
      <c r="E1030" t="str">
        <f t="shared" ca="1" si="211"/>
        <v>Jeans</v>
      </c>
      <c r="F1030">
        <f t="shared" ca="1" si="212"/>
        <v>1415</v>
      </c>
      <c r="G1030">
        <f t="shared" ca="1" si="213"/>
        <v>15</v>
      </c>
      <c r="H1030">
        <f t="shared" ca="1" si="214"/>
        <v>1202.75</v>
      </c>
      <c r="I1030">
        <f t="shared" ca="1" si="215"/>
        <v>1</v>
      </c>
      <c r="J1030">
        <f t="shared" ca="1" si="216"/>
        <v>0</v>
      </c>
      <c r="K1030">
        <f t="shared" ca="1" si="217"/>
        <v>0</v>
      </c>
      <c r="L1030">
        <f t="shared" ca="1" si="218"/>
        <v>0</v>
      </c>
      <c r="M1030">
        <f t="shared" ca="1" si="219"/>
        <v>1</v>
      </c>
      <c r="N1030">
        <f t="shared" ca="1" si="220"/>
        <v>0</v>
      </c>
    </row>
    <row r="1031" spans="1:14" x14ac:dyDescent="0.35">
      <c r="A1031" t="s">
        <v>1048</v>
      </c>
      <c r="B1031" t="str">
        <f t="shared" si="208"/>
        <v>Test</v>
      </c>
      <c r="C1031">
        <f t="shared" ca="1" si="209"/>
        <v>22</v>
      </c>
      <c r="D1031" t="str">
        <f t="shared" ca="1" si="210"/>
        <v>Male</v>
      </c>
      <c r="E1031" t="str">
        <f t="shared" ca="1" si="211"/>
        <v>Accessories</v>
      </c>
      <c r="F1031">
        <f t="shared" ca="1" si="212"/>
        <v>318</v>
      </c>
      <c r="G1031">
        <f t="shared" ca="1" si="213"/>
        <v>25</v>
      </c>
      <c r="H1031">
        <f t="shared" ca="1" si="214"/>
        <v>238.5</v>
      </c>
      <c r="I1031">
        <f t="shared" ca="1" si="215"/>
        <v>1</v>
      </c>
      <c r="J1031">
        <f t="shared" ca="1" si="216"/>
        <v>1</v>
      </c>
      <c r="K1031">
        <f t="shared" ca="1" si="217"/>
        <v>0</v>
      </c>
      <c r="L1031">
        <f t="shared" ca="1" si="218"/>
        <v>0</v>
      </c>
      <c r="M1031">
        <f t="shared" ca="1" si="219"/>
        <v>7</v>
      </c>
      <c r="N1031">
        <f t="shared" ca="1" si="220"/>
        <v>0</v>
      </c>
    </row>
    <row r="1032" spans="1:14" x14ac:dyDescent="0.35">
      <c r="A1032" t="s">
        <v>1049</v>
      </c>
      <c r="B1032" t="str">
        <f t="shared" si="208"/>
        <v>Test</v>
      </c>
      <c r="C1032">
        <f t="shared" ca="1" si="209"/>
        <v>36</v>
      </c>
      <c r="D1032" t="str">
        <f t="shared" ca="1" si="210"/>
        <v>Female</v>
      </c>
      <c r="E1032" t="str">
        <f t="shared" ca="1" si="211"/>
        <v>Ethnic Wear</v>
      </c>
      <c r="F1032">
        <f t="shared" ca="1" si="212"/>
        <v>7508</v>
      </c>
      <c r="G1032">
        <f t="shared" ca="1" si="213"/>
        <v>20</v>
      </c>
      <c r="H1032">
        <f t="shared" ca="1" si="214"/>
        <v>6006.4000000000005</v>
      </c>
      <c r="I1032">
        <f t="shared" ca="1" si="215"/>
        <v>1</v>
      </c>
      <c r="J1032">
        <f t="shared" ca="1" si="216"/>
        <v>0</v>
      </c>
      <c r="K1032">
        <f t="shared" ca="1" si="217"/>
        <v>0</v>
      </c>
      <c r="L1032">
        <f t="shared" ca="1" si="218"/>
        <v>0</v>
      </c>
      <c r="M1032">
        <f t="shared" ca="1" si="219"/>
        <v>1</v>
      </c>
      <c r="N1032">
        <f t="shared" ca="1" si="220"/>
        <v>0</v>
      </c>
    </row>
    <row r="1033" spans="1:14" x14ac:dyDescent="0.35">
      <c r="A1033" t="s">
        <v>1050</v>
      </c>
      <c r="B1033" t="str">
        <f t="shared" si="208"/>
        <v>Test</v>
      </c>
      <c r="C1033">
        <f t="shared" ca="1" si="209"/>
        <v>26</v>
      </c>
      <c r="D1033" t="str">
        <f t="shared" ca="1" si="210"/>
        <v>Male</v>
      </c>
      <c r="E1033" t="str">
        <f t="shared" ca="1" si="211"/>
        <v>Shoes</v>
      </c>
      <c r="F1033">
        <f t="shared" ca="1" si="212"/>
        <v>6575</v>
      </c>
      <c r="G1033">
        <f t="shared" ca="1" si="213"/>
        <v>25</v>
      </c>
      <c r="H1033">
        <f t="shared" ca="1" si="214"/>
        <v>4931.25</v>
      </c>
      <c r="I1033">
        <f t="shared" ca="1" si="215"/>
        <v>1</v>
      </c>
      <c r="J1033">
        <f t="shared" ca="1" si="216"/>
        <v>0</v>
      </c>
      <c r="K1033">
        <f t="shared" ca="1" si="217"/>
        <v>0</v>
      </c>
      <c r="L1033">
        <f t="shared" ca="1" si="218"/>
        <v>0</v>
      </c>
      <c r="M1033">
        <f t="shared" ca="1" si="219"/>
        <v>6</v>
      </c>
      <c r="N1033">
        <f t="shared" ca="1" si="220"/>
        <v>0</v>
      </c>
    </row>
    <row r="1034" spans="1:14" x14ac:dyDescent="0.35">
      <c r="A1034" t="s">
        <v>1051</v>
      </c>
      <c r="B1034" t="str">
        <f t="shared" si="208"/>
        <v>Test</v>
      </c>
      <c r="C1034">
        <f t="shared" ca="1" si="209"/>
        <v>24</v>
      </c>
      <c r="D1034" t="str">
        <f t="shared" ca="1" si="210"/>
        <v>Female</v>
      </c>
      <c r="E1034" t="str">
        <f t="shared" ca="1" si="211"/>
        <v>Ethnic Wear</v>
      </c>
      <c r="F1034">
        <f t="shared" ca="1" si="212"/>
        <v>2798</v>
      </c>
      <c r="G1034">
        <f t="shared" ca="1" si="213"/>
        <v>25</v>
      </c>
      <c r="H1034">
        <f t="shared" ca="1" si="214"/>
        <v>2098.5</v>
      </c>
      <c r="I1034">
        <f t="shared" ca="1" si="215"/>
        <v>1</v>
      </c>
      <c r="J1034">
        <f t="shared" ca="1" si="216"/>
        <v>1</v>
      </c>
      <c r="K1034">
        <f t="shared" ca="1" si="217"/>
        <v>1</v>
      </c>
      <c r="L1034">
        <f t="shared" ca="1" si="218"/>
        <v>2098.5</v>
      </c>
      <c r="M1034">
        <f t="shared" ca="1" si="219"/>
        <v>2</v>
      </c>
      <c r="N1034">
        <f t="shared" ca="1" si="220"/>
        <v>0</v>
      </c>
    </row>
    <row r="1035" spans="1:14" x14ac:dyDescent="0.35">
      <c r="A1035" t="s">
        <v>1052</v>
      </c>
      <c r="B1035" t="str">
        <f t="shared" si="208"/>
        <v>Test</v>
      </c>
      <c r="C1035">
        <f t="shared" ca="1" si="209"/>
        <v>45</v>
      </c>
      <c r="D1035" t="str">
        <f t="shared" ca="1" si="210"/>
        <v>Female</v>
      </c>
      <c r="E1035" t="str">
        <f t="shared" ca="1" si="211"/>
        <v>Dresses</v>
      </c>
      <c r="F1035">
        <f t="shared" ca="1" si="212"/>
        <v>7609</v>
      </c>
      <c r="G1035">
        <f t="shared" ca="1" si="213"/>
        <v>15</v>
      </c>
      <c r="H1035">
        <f t="shared" ca="1" si="214"/>
        <v>6467.65</v>
      </c>
      <c r="I1035">
        <f t="shared" ca="1" si="215"/>
        <v>1</v>
      </c>
      <c r="J1035">
        <f t="shared" ca="1" si="216"/>
        <v>1</v>
      </c>
      <c r="K1035">
        <f t="shared" ca="1" si="217"/>
        <v>0</v>
      </c>
      <c r="L1035">
        <f t="shared" ca="1" si="218"/>
        <v>0</v>
      </c>
      <c r="M1035">
        <f t="shared" ca="1" si="219"/>
        <v>6</v>
      </c>
      <c r="N1035">
        <f t="shared" ca="1" si="220"/>
        <v>0</v>
      </c>
    </row>
    <row r="1036" spans="1:14" x14ac:dyDescent="0.35">
      <c r="A1036" t="s">
        <v>1053</v>
      </c>
      <c r="B1036" t="str">
        <f t="shared" si="208"/>
        <v>Test</v>
      </c>
      <c r="C1036">
        <f t="shared" ca="1" si="209"/>
        <v>32</v>
      </c>
      <c r="D1036" t="str">
        <f t="shared" ca="1" si="210"/>
        <v>Female</v>
      </c>
      <c r="E1036" t="str">
        <f t="shared" ca="1" si="211"/>
        <v>Tops</v>
      </c>
      <c r="F1036">
        <f t="shared" ca="1" si="212"/>
        <v>2499</v>
      </c>
      <c r="G1036">
        <f t="shared" ca="1" si="213"/>
        <v>20</v>
      </c>
      <c r="H1036">
        <f t="shared" ca="1" si="214"/>
        <v>1999.2</v>
      </c>
      <c r="I1036">
        <f t="shared" ca="1" si="215"/>
        <v>0</v>
      </c>
      <c r="J1036">
        <f t="shared" ca="1" si="216"/>
        <v>0</v>
      </c>
      <c r="K1036">
        <f t="shared" ca="1" si="217"/>
        <v>0</v>
      </c>
      <c r="L1036">
        <f t="shared" ca="1" si="218"/>
        <v>0</v>
      </c>
      <c r="M1036">
        <f t="shared" ca="1" si="219"/>
        <v>3</v>
      </c>
      <c r="N1036">
        <f t="shared" ca="1" si="220"/>
        <v>0</v>
      </c>
    </row>
    <row r="1037" spans="1:14" x14ac:dyDescent="0.35">
      <c r="A1037" t="s">
        <v>1054</v>
      </c>
      <c r="B1037" t="str">
        <f t="shared" si="208"/>
        <v>Test</v>
      </c>
      <c r="C1037">
        <f t="shared" ca="1" si="209"/>
        <v>37</v>
      </c>
      <c r="D1037" t="str">
        <f t="shared" ca="1" si="210"/>
        <v>Female</v>
      </c>
      <c r="E1037" t="str">
        <f t="shared" ca="1" si="211"/>
        <v>Shoes</v>
      </c>
      <c r="F1037">
        <f t="shared" ca="1" si="212"/>
        <v>4179</v>
      </c>
      <c r="G1037">
        <f t="shared" ca="1" si="213"/>
        <v>25</v>
      </c>
      <c r="H1037">
        <f t="shared" ca="1" si="214"/>
        <v>3134.25</v>
      </c>
      <c r="I1037">
        <f t="shared" ca="1" si="215"/>
        <v>1</v>
      </c>
      <c r="J1037">
        <f t="shared" ca="1" si="216"/>
        <v>0</v>
      </c>
      <c r="K1037">
        <f t="shared" ca="1" si="217"/>
        <v>0</v>
      </c>
      <c r="L1037">
        <f t="shared" ca="1" si="218"/>
        <v>0</v>
      </c>
      <c r="M1037">
        <f t="shared" ca="1" si="219"/>
        <v>4</v>
      </c>
      <c r="N1037">
        <f t="shared" ca="1" si="220"/>
        <v>0</v>
      </c>
    </row>
    <row r="1038" spans="1:14" x14ac:dyDescent="0.35">
      <c r="A1038" t="s">
        <v>1055</v>
      </c>
      <c r="B1038" t="str">
        <f t="shared" si="208"/>
        <v>Test</v>
      </c>
      <c r="C1038">
        <f t="shared" ca="1" si="209"/>
        <v>43</v>
      </c>
      <c r="D1038" t="str">
        <f t="shared" ca="1" si="210"/>
        <v>Male</v>
      </c>
      <c r="E1038" t="str">
        <f t="shared" ca="1" si="211"/>
        <v>Tops</v>
      </c>
      <c r="F1038">
        <f t="shared" ca="1" si="212"/>
        <v>5022</v>
      </c>
      <c r="G1038">
        <f t="shared" ca="1" si="213"/>
        <v>20</v>
      </c>
      <c r="H1038">
        <f t="shared" ca="1" si="214"/>
        <v>4017.6000000000004</v>
      </c>
      <c r="I1038">
        <f t="shared" ca="1" si="215"/>
        <v>1</v>
      </c>
      <c r="J1038">
        <f t="shared" ca="1" si="216"/>
        <v>1</v>
      </c>
      <c r="K1038">
        <f t="shared" ca="1" si="217"/>
        <v>0</v>
      </c>
      <c r="L1038">
        <f t="shared" ca="1" si="218"/>
        <v>0</v>
      </c>
      <c r="M1038">
        <f t="shared" ca="1" si="219"/>
        <v>7</v>
      </c>
      <c r="N1038">
        <f t="shared" ca="1" si="220"/>
        <v>0</v>
      </c>
    </row>
    <row r="1039" spans="1:14" x14ac:dyDescent="0.35">
      <c r="A1039" t="s">
        <v>1056</v>
      </c>
      <c r="B1039" t="str">
        <f t="shared" si="208"/>
        <v>Test</v>
      </c>
      <c r="C1039">
        <f t="shared" ca="1" si="209"/>
        <v>35</v>
      </c>
      <c r="D1039" t="str">
        <f t="shared" ca="1" si="210"/>
        <v>Female</v>
      </c>
      <c r="E1039" t="str">
        <f t="shared" ca="1" si="211"/>
        <v>Shoes</v>
      </c>
      <c r="F1039">
        <f t="shared" ca="1" si="212"/>
        <v>4820</v>
      </c>
      <c r="G1039">
        <f t="shared" ca="1" si="213"/>
        <v>25</v>
      </c>
      <c r="H1039">
        <f t="shared" ca="1" si="214"/>
        <v>3615</v>
      </c>
      <c r="I1039">
        <f t="shared" ca="1" si="215"/>
        <v>1</v>
      </c>
      <c r="J1039">
        <f t="shared" ca="1" si="216"/>
        <v>0</v>
      </c>
      <c r="K1039">
        <f t="shared" ca="1" si="217"/>
        <v>0</v>
      </c>
      <c r="L1039">
        <f t="shared" ca="1" si="218"/>
        <v>0</v>
      </c>
      <c r="M1039">
        <f t="shared" ca="1" si="219"/>
        <v>7</v>
      </c>
      <c r="N1039">
        <f t="shared" ca="1" si="220"/>
        <v>0</v>
      </c>
    </row>
    <row r="1040" spans="1:14" x14ac:dyDescent="0.35">
      <c r="A1040" t="s">
        <v>1057</v>
      </c>
      <c r="B1040" t="str">
        <f t="shared" si="208"/>
        <v>Test</v>
      </c>
      <c r="C1040">
        <f t="shared" ca="1" si="209"/>
        <v>25</v>
      </c>
      <c r="D1040" t="str">
        <f t="shared" ca="1" si="210"/>
        <v>Female</v>
      </c>
      <c r="E1040" t="str">
        <f t="shared" ca="1" si="211"/>
        <v>Jeans</v>
      </c>
      <c r="F1040">
        <f t="shared" ca="1" si="212"/>
        <v>4277</v>
      </c>
      <c r="G1040">
        <f t="shared" ca="1" si="213"/>
        <v>20</v>
      </c>
      <c r="H1040">
        <f t="shared" ca="1" si="214"/>
        <v>3421.6000000000004</v>
      </c>
      <c r="I1040">
        <f t="shared" ca="1" si="215"/>
        <v>1</v>
      </c>
      <c r="J1040">
        <f t="shared" ca="1" si="216"/>
        <v>1</v>
      </c>
      <c r="K1040">
        <f t="shared" ca="1" si="217"/>
        <v>1</v>
      </c>
      <c r="L1040">
        <f t="shared" ca="1" si="218"/>
        <v>3421.6000000000004</v>
      </c>
      <c r="M1040">
        <f t="shared" ca="1" si="219"/>
        <v>2</v>
      </c>
      <c r="N1040">
        <f t="shared" ca="1" si="220"/>
        <v>0</v>
      </c>
    </row>
    <row r="1041" spans="1:14" x14ac:dyDescent="0.35">
      <c r="A1041" t="s">
        <v>1058</v>
      </c>
      <c r="B1041" t="str">
        <f t="shared" si="208"/>
        <v>Test</v>
      </c>
      <c r="C1041">
        <f t="shared" ca="1" si="209"/>
        <v>28</v>
      </c>
      <c r="D1041" t="str">
        <f t="shared" ca="1" si="210"/>
        <v>Male</v>
      </c>
      <c r="E1041" t="str">
        <f t="shared" ca="1" si="211"/>
        <v>Jeans</v>
      </c>
      <c r="F1041">
        <f t="shared" ca="1" si="212"/>
        <v>3199</v>
      </c>
      <c r="G1041">
        <f t="shared" ca="1" si="213"/>
        <v>20</v>
      </c>
      <c r="H1041">
        <f t="shared" ca="1" si="214"/>
        <v>2559.2000000000003</v>
      </c>
      <c r="I1041">
        <f t="shared" ca="1" si="215"/>
        <v>1</v>
      </c>
      <c r="J1041">
        <f t="shared" ca="1" si="216"/>
        <v>1</v>
      </c>
      <c r="K1041">
        <f t="shared" ca="1" si="217"/>
        <v>1</v>
      </c>
      <c r="L1041">
        <f t="shared" ca="1" si="218"/>
        <v>2559.2000000000003</v>
      </c>
      <c r="M1041">
        <f t="shared" ca="1" si="219"/>
        <v>2</v>
      </c>
      <c r="N1041">
        <f t="shared" ca="1" si="220"/>
        <v>0</v>
      </c>
    </row>
    <row r="1042" spans="1:14" x14ac:dyDescent="0.35">
      <c r="A1042" t="s">
        <v>1059</v>
      </c>
      <c r="B1042" t="str">
        <f t="shared" si="208"/>
        <v>Test</v>
      </c>
      <c r="C1042">
        <f t="shared" ca="1" si="209"/>
        <v>37</v>
      </c>
      <c r="D1042" t="str">
        <f t="shared" ca="1" si="210"/>
        <v>Female</v>
      </c>
      <c r="E1042" t="str">
        <f t="shared" ca="1" si="211"/>
        <v>Sportswear</v>
      </c>
      <c r="F1042">
        <f t="shared" ca="1" si="212"/>
        <v>994</v>
      </c>
      <c r="G1042">
        <f t="shared" ca="1" si="213"/>
        <v>15</v>
      </c>
      <c r="H1042">
        <f t="shared" ca="1" si="214"/>
        <v>844.9</v>
      </c>
      <c r="I1042">
        <f t="shared" ca="1" si="215"/>
        <v>1</v>
      </c>
      <c r="J1042">
        <f t="shared" ca="1" si="216"/>
        <v>0</v>
      </c>
      <c r="K1042">
        <f t="shared" ca="1" si="217"/>
        <v>0</v>
      </c>
      <c r="L1042">
        <f t="shared" ca="1" si="218"/>
        <v>0</v>
      </c>
      <c r="M1042">
        <f t="shared" ca="1" si="219"/>
        <v>3</v>
      </c>
      <c r="N1042">
        <f t="shared" ca="1" si="220"/>
        <v>0</v>
      </c>
    </row>
    <row r="1043" spans="1:14" x14ac:dyDescent="0.35">
      <c r="A1043" t="s">
        <v>1060</v>
      </c>
      <c r="B1043" t="str">
        <f t="shared" si="208"/>
        <v>Test</v>
      </c>
      <c r="C1043">
        <f t="shared" ca="1" si="209"/>
        <v>36</v>
      </c>
      <c r="D1043" t="str">
        <f t="shared" ca="1" si="210"/>
        <v>Female</v>
      </c>
      <c r="E1043" t="str">
        <f t="shared" ca="1" si="211"/>
        <v>Dresses</v>
      </c>
      <c r="F1043">
        <f t="shared" ca="1" si="212"/>
        <v>6519</v>
      </c>
      <c r="G1043">
        <f t="shared" ca="1" si="213"/>
        <v>15</v>
      </c>
      <c r="H1043">
        <f t="shared" ca="1" si="214"/>
        <v>5541.15</v>
      </c>
      <c r="I1043">
        <f t="shared" ca="1" si="215"/>
        <v>1</v>
      </c>
      <c r="J1043">
        <f t="shared" ca="1" si="216"/>
        <v>1</v>
      </c>
      <c r="K1043">
        <f t="shared" ca="1" si="217"/>
        <v>0</v>
      </c>
      <c r="L1043">
        <f t="shared" ca="1" si="218"/>
        <v>0</v>
      </c>
      <c r="M1043">
        <f t="shared" ca="1" si="219"/>
        <v>6</v>
      </c>
      <c r="N1043">
        <f t="shared" ca="1" si="220"/>
        <v>0</v>
      </c>
    </row>
    <row r="1044" spans="1:14" x14ac:dyDescent="0.35">
      <c r="A1044" t="s">
        <v>1061</v>
      </c>
      <c r="B1044" t="str">
        <f t="shared" si="208"/>
        <v>Test</v>
      </c>
      <c r="C1044">
        <f t="shared" ca="1" si="209"/>
        <v>39</v>
      </c>
      <c r="D1044" t="str">
        <f t="shared" ca="1" si="210"/>
        <v>Male</v>
      </c>
      <c r="E1044" t="str">
        <f t="shared" ca="1" si="211"/>
        <v>Accessories</v>
      </c>
      <c r="F1044">
        <f t="shared" ca="1" si="212"/>
        <v>1529</v>
      </c>
      <c r="G1044">
        <f t="shared" ca="1" si="213"/>
        <v>15</v>
      </c>
      <c r="H1044">
        <f t="shared" ca="1" si="214"/>
        <v>1299.6499999999999</v>
      </c>
      <c r="I1044">
        <f t="shared" ca="1" si="215"/>
        <v>1</v>
      </c>
      <c r="J1044">
        <f t="shared" ca="1" si="216"/>
        <v>1</v>
      </c>
      <c r="K1044">
        <f t="shared" ca="1" si="217"/>
        <v>0</v>
      </c>
      <c r="L1044">
        <f t="shared" ca="1" si="218"/>
        <v>0</v>
      </c>
      <c r="M1044">
        <f t="shared" ca="1" si="219"/>
        <v>2</v>
      </c>
      <c r="N1044">
        <f t="shared" ca="1" si="220"/>
        <v>0</v>
      </c>
    </row>
    <row r="1045" spans="1:14" x14ac:dyDescent="0.35">
      <c r="A1045" t="s">
        <v>1062</v>
      </c>
      <c r="B1045" t="str">
        <f t="shared" si="208"/>
        <v>Test</v>
      </c>
      <c r="C1045">
        <f t="shared" ca="1" si="209"/>
        <v>29</v>
      </c>
      <c r="D1045" t="str">
        <f t="shared" ca="1" si="210"/>
        <v>Female</v>
      </c>
      <c r="E1045" t="str">
        <f t="shared" ca="1" si="211"/>
        <v>Jeans</v>
      </c>
      <c r="F1045">
        <f t="shared" ca="1" si="212"/>
        <v>5595</v>
      </c>
      <c r="G1045">
        <f t="shared" ca="1" si="213"/>
        <v>15</v>
      </c>
      <c r="H1045">
        <f t="shared" ca="1" si="214"/>
        <v>4755.75</v>
      </c>
      <c r="I1045">
        <f t="shared" ca="1" si="215"/>
        <v>1</v>
      </c>
      <c r="J1045">
        <f t="shared" ca="1" si="216"/>
        <v>0</v>
      </c>
      <c r="K1045">
        <f t="shared" ca="1" si="217"/>
        <v>0</v>
      </c>
      <c r="L1045">
        <f t="shared" ca="1" si="218"/>
        <v>0</v>
      </c>
      <c r="M1045">
        <f t="shared" ca="1" si="219"/>
        <v>3</v>
      </c>
      <c r="N1045">
        <f t="shared" ca="1" si="220"/>
        <v>0</v>
      </c>
    </row>
    <row r="1046" spans="1:14" x14ac:dyDescent="0.35">
      <c r="A1046" t="s">
        <v>1063</v>
      </c>
      <c r="B1046" t="str">
        <f t="shared" si="208"/>
        <v>Test</v>
      </c>
      <c r="C1046">
        <f t="shared" ca="1" si="209"/>
        <v>43</v>
      </c>
      <c r="D1046" t="str">
        <f t="shared" ca="1" si="210"/>
        <v>Female</v>
      </c>
      <c r="E1046" t="str">
        <f t="shared" ca="1" si="211"/>
        <v>Ethnic Wear</v>
      </c>
      <c r="F1046">
        <f t="shared" ca="1" si="212"/>
        <v>640</v>
      </c>
      <c r="G1046">
        <f t="shared" ca="1" si="213"/>
        <v>25</v>
      </c>
      <c r="H1046">
        <f t="shared" ca="1" si="214"/>
        <v>480</v>
      </c>
      <c r="I1046">
        <f t="shared" ca="1" si="215"/>
        <v>1</v>
      </c>
      <c r="J1046">
        <f t="shared" ca="1" si="216"/>
        <v>0</v>
      </c>
      <c r="K1046">
        <f t="shared" ca="1" si="217"/>
        <v>0</v>
      </c>
      <c r="L1046">
        <f t="shared" ca="1" si="218"/>
        <v>0</v>
      </c>
      <c r="M1046">
        <f t="shared" ca="1" si="219"/>
        <v>1</v>
      </c>
      <c r="N1046">
        <f t="shared" ca="1" si="220"/>
        <v>0</v>
      </c>
    </row>
    <row r="1047" spans="1:14" x14ac:dyDescent="0.35">
      <c r="A1047" t="s">
        <v>1064</v>
      </c>
      <c r="B1047" t="str">
        <f t="shared" si="208"/>
        <v>Test</v>
      </c>
      <c r="C1047">
        <f t="shared" ca="1" si="209"/>
        <v>29</v>
      </c>
      <c r="D1047" t="str">
        <f t="shared" ca="1" si="210"/>
        <v>Male</v>
      </c>
      <c r="E1047" t="str">
        <f t="shared" ca="1" si="211"/>
        <v>Tops</v>
      </c>
      <c r="F1047">
        <f t="shared" ca="1" si="212"/>
        <v>4159</v>
      </c>
      <c r="G1047">
        <f t="shared" ca="1" si="213"/>
        <v>25</v>
      </c>
      <c r="H1047">
        <f t="shared" ca="1" si="214"/>
        <v>3119.25</v>
      </c>
      <c r="I1047">
        <f t="shared" ca="1" si="215"/>
        <v>1</v>
      </c>
      <c r="J1047">
        <f t="shared" ca="1" si="216"/>
        <v>1</v>
      </c>
      <c r="K1047">
        <f t="shared" ca="1" si="217"/>
        <v>0</v>
      </c>
      <c r="L1047">
        <f t="shared" ca="1" si="218"/>
        <v>0</v>
      </c>
      <c r="M1047">
        <f t="shared" ca="1" si="219"/>
        <v>1</v>
      </c>
      <c r="N1047">
        <f t="shared" ca="1" si="220"/>
        <v>0</v>
      </c>
    </row>
    <row r="1048" spans="1:14" x14ac:dyDescent="0.35">
      <c r="A1048" t="s">
        <v>1065</v>
      </c>
      <c r="B1048" t="str">
        <f t="shared" si="208"/>
        <v>Test</v>
      </c>
      <c r="C1048">
        <f t="shared" ca="1" si="209"/>
        <v>19</v>
      </c>
      <c r="D1048" t="str">
        <f t="shared" ca="1" si="210"/>
        <v>Male</v>
      </c>
      <c r="E1048" t="str">
        <f t="shared" ca="1" si="211"/>
        <v>Accessories</v>
      </c>
      <c r="F1048">
        <f t="shared" ca="1" si="212"/>
        <v>4589</v>
      </c>
      <c r="G1048">
        <f t="shared" ca="1" si="213"/>
        <v>15</v>
      </c>
      <c r="H1048">
        <f t="shared" ca="1" si="214"/>
        <v>3900.65</v>
      </c>
      <c r="I1048">
        <f t="shared" ca="1" si="215"/>
        <v>1</v>
      </c>
      <c r="J1048">
        <f t="shared" ca="1" si="216"/>
        <v>1</v>
      </c>
      <c r="K1048">
        <f t="shared" ca="1" si="217"/>
        <v>0</v>
      </c>
      <c r="L1048">
        <f t="shared" ca="1" si="218"/>
        <v>0</v>
      </c>
      <c r="M1048">
        <f t="shared" ca="1" si="219"/>
        <v>4</v>
      </c>
      <c r="N1048">
        <f t="shared" ca="1" si="220"/>
        <v>0</v>
      </c>
    </row>
    <row r="1049" spans="1:14" x14ac:dyDescent="0.35">
      <c r="A1049" t="s">
        <v>1066</v>
      </c>
      <c r="B1049" t="str">
        <f t="shared" si="208"/>
        <v>Test</v>
      </c>
      <c r="C1049">
        <f t="shared" ca="1" si="209"/>
        <v>28</v>
      </c>
      <c r="D1049" t="str">
        <f t="shared" ca="1" si="210"/>
        <v>Male</v>
      </c>
      <c r="E1049" t="str">
        <f t="shared" ca="1" si="211"/>
        <v>T-shirts</v>
      </c>
      <c r="F1049">
        <f t="shared" ca="1" si="212"/>
        <v>1466</v>
      </c>
      <c r="G1049">
        <f t="shared" ca="1" si="213"/>
        <v>15</v>
      </c>
      <c r="H1049">
        <f t="shared" ca="1" si="214"/>
        <v>1246.0999999999999</v>
      </c>
      <c r="I1049">
        <f t="shared" ca="1" si="215"/>
        <v>1</v>
      </c>
      <c r="J1049">
        <f t="shared" ca="1" si="216"/>
        <v>1</v>
      </c>
      <c r="K1049">
        <f t="shared" ca="1" si="217"/>
        <v>1</v>
      </c>
      <c r="L1049">
        <f t="shared" ca="1" si="218"/>
        <v>1246.0999999999999</v>
      </c>
      <c r="M1049">
        <f t="shared" ca="1" si="219"/>
        <v>1</v>
      </c>
      <c r="N1049">
        <f t="shared" ca="1" si="220"/>
        <v>0</v>
      </c>
    </row>
    <row r="1050" spans="1:14" x14ac:dyDescent="0.35">
      <c r="A1050" t="s">
        <v>1067</v>
      </c>
      <c r="B1050" t="str">
        <f t="shared" si="208"/>
        <v>Test</v>
      </c>
      <c r="C1050">
        <f t="shared" ca="1" si="209"/>
        <v>26</v>
      </c>
      <c r="D1050" t="str">
        <f t="shared" ca="1" si="210"/>
        <v>Other</v>
      </c>
      <c r="E1050" t="str">
        <f t="shared" ca="1" si="211"/>
        <v>Tops</v>
      </c>
      <c r="F1050">
        <f t="shared" ca="1" si="212"/>
        <v>458</v>
      </c>
      <c r="G1050">
        <f t="shared" ca="1" si="213"/>
        <v>20</v>
      </c>
      <c r="H1050">
        <f t="shared" ca="1" si="214"/>
        <v>366.40000000000003</v>
      </c>
      <c r="I1050">
        <f t="shared" ca="1" si="215"/>
        <v>1</v>
      </c>
      <c r="J1050">
        <f t="shared" ca="1" si="216"/>
        <v>1</v>
      </c>
      <c r="K1050">
        <f t="shared" ca="1" si="217"/>
        <v>0</v>
      </c>
      <c r="L1050">
        <f t="shared" ca="1" si="218"/>
        <v>0</v>
      </c>
      <c r="M1050">
        <f t="shared" ca="1" si="219"/>
        <v>3</v>
      </c>
      <c r="N1050">
        <f t="shared" ca="1" si="220"/>
        <v>0</v>
      </c>
    </row>
    <row r="1051" spans="1:14" x14ac:dyDescent="0.35">
      <c r="A1051" t="s">
        <v>1068</v>
      </c>
      <c r="B1051" t="str">
        <f t="shared" si="208"/>
        <v>Test</v>
      </c>
      <c r="C1051">
        <f t="shared" ca="1" si="209"/>
        <v>35</v>
      </c>
      <c r="D1051" t="str">
        <f t="shared" ca="1" si="210"/>
        <v>Other</v>
      </c>
      <c r="E1051" t="str">
        <f t="shared" ca="1" si="211"/>
        <v>Dresses</v>
      </c>
      <c r="F1051">
        <f t="shared" ca="1" si="212"/>
        <v>1483</v>
      </c>
      <c r="G1051">
        <f t="shared" ca="1" si="213"/>
        <v>25</v>
      </c>
      <c r="H1051">
        <f t="shared" ca="1" si="214"/>
        <v>1112.25</v>
      </c>
      <c r="I1051">
        <f t="shared" ca="1" si="215"/>
        <v>1</v>
      </c>
      <c r="J1051">
        <f t="shared" ca="1" si="216"/>
        <v>1</v>
      </c>
      <c r="K1051">
        <f t="shared" ca="1" si="217"/>
        <v>0</v>
      </c>
      <c r="L1051">
        <f t="shared" ca="1" si="218"/>
        <v>0</v>
      </c>
      <c r="M1051">
        <f t="shared" ca="1" si="219"/>
        <v>6</v>
      </c>
      <c r="N1051">
        <f t="shared" ca="1" si="220"/>
        <v>0</v>
      </c>
    </row>
    <row r="1052" spans="1:14" x14ac:dyDescent="0.35">
      <c r="A1052" t="s">
        <v>1069</v>
      </c>
      <c r="B1052" t="str">
        <f t="shared" si="208"/>
        <v>Test</v>
      </c>
      <c r="C1052">
        <f t="shared" ca="1" si="209"/>
        <v>25</v>
      </c>
      <c r="D1052" t="str">
        <f t="shared" ca="1" si="210"/>
        <v>Male</v>
      </c>
      <c r="E1052" t="str">
        <f t="shared" ca="1" si="211"/>
        <v>Ethnic Wear</v>
      </c>
      <c r="F1052">
        <f t="shared" ca="1" si="212"/>
        <v>3552</v>
      </c>
      <c r="G1052">
        <f t="shared" ca="1" si="213"/>
        <v>25</v>
      </c>
      <c r="H1052">
        <f t="shared" ca="1" si="214"/>
        <v>2664</v>
      </c>
      <c r="I1052">
        <f t="shared" ca="1" si="215"/>
        <v>1</v>
      </c>
      <c r="J1052">
        <f t="shared" ca="1" si="216"/>
        <v>1</v>
      </c>
      <c r="K1052">
        <f t="shared" ca="1" si="217"/>
        <v>0</v>
      </c>
      <c r="L1052">
        <f t="shared" ca="1" si="218"/>
        <v>0</v>
      </c>
      <c r="M1052">
        <f t="shared" ca="1" si="219"/>
        <v>7</v>
      </c>
      <c r="N1052">
        <f t="shared" ca="1" si="220"/>
        <v>0</v>
      </c>
    </row>
    <row r="1053" spans="1:14" x14ac:dyDescent="0.35">
      <c r="A1053" t="s">
        <v>1070</v>
      </c>
      <c r="B1053" t="str">
        <f t="shared" si="208"/>
        <v>Test</v>
      </c>
      <c r="C1053">
        <f t="shared" ca="1" si="209"/>
        <v>18</v>
      </c>
      <c r="D1053" t="str">
        <f t="shared" ca="1" si="210"/>
        <v>Male</v>
      </c>
      <c r="E1053" t="str">
        <f t="shared" ca="1" si="211"/>
        <v>Shoes</v>
      </c>
      <c r="F1053">
        <f t="shared" ca="1" si="212"/>
        <v>560</v>
      </c>
      <c r="G1053">
        <f t="shared" ca="1" si="213"/>
        <v>20</v>
      </c>
      <c r="H1053">
        <f t="shared" ca="1" si="214"/>
        <v>448</v>
      </c>
      <c r="I1053">
        <f t="shared" ca="1" si="215"/>
        <v>1</v>
      </c>
      <c r="J1053">
        <f t="shared" ca="1" si="216"/>
        <v>0</v>
      </c>
      <c r="K1053">
        <f t="shared" ca="1" si="217"/>
        <v>0</v>
      </c>
      <c r="L1053">
        <f t="shared" ca="1" si="218"/>
        <v>0</v>
      </c>
      <c r="M1053">
        <f t="shared" ca="1" si="219"/>
        <v>7</v>
      </c>
      <c r="N1053">
        <f t="shared" ca="1" si="220"/>
        <v>0</v>
      </c>
    </row>
    <row r="1054" spans="1:14" x14ac:dyDescent="0.35">
      <c r="A1054" t="s">
        <v>1071</v>
      </c>
      <c r="B1054" t="str">
        <f t="shared" si="208"/>
        <v>Test</v>
      </c>
      <c r="C1054">
        <f t="shared" ca="1" si="209"/>
        <v>37</v>
      </c>
      <c r="D1054" t="str">
        <f t="shared" ca="1" si="210"/>
        <v>Male</v>
      </c>
      <c r="E1054" t="str">
        <f t="shared" ca="1" si="211"/>
        <v>Tops</v>
      </c>
      <c r="F1054">
        <f t="shared" ca="1" si="212"/>
        <v>1253</v>
      </c>
      <c r="G1054">
        <f t="shared" ca="1" si="213"/>
        <v>20</v>
      </c>
      <c r="H1054">
        <f t="shared" ca="1" si="214"/>
        <v>1002.4000000000001</v>
      </c>
      <c r="I1054">
        <f t="shared" ca="1" si="215"/>
        <v>1</v>
      </c>
      <c r="J1054">
        <f t="shared" ca="1" si="216"/>
        <v>0</v>
      </c>
      <c r="K1054">
        <f t="shared" ca="1" si="217"/>
        <v>0</v>
      </c>
      <c r="L1054">
        <f t="shared" ca="1" si="218"/>
        <v>0</v>
      </c>
      <c r="M1054">
        <f t="shared" ca="1" si="219"/>
        <v>4</v>
      </c>
      <c r="N1054">
        <f t="shared" ca="1" si="220"/>
        <v>0</v>
      </c>
    </row>
    <row r="1055" spans="1:14" x14ac:dyDescent="0.35">
      <c r="A1055" t="s">
        <v>1072</v>
      </c>
      <c r="B1055" t="str">
        <f t="shared" si="208"/>
        <v>Test</v>
      </c>
      <c r="C1055">
        <f t="shared" ca="1" si="209"/>
        <v>33</v>
      </c>
      <c r="D1055" t="str">
        <f t="shared" ca="1" si="210"/>
        <v>Other</v>
      </c>
      <c r="E1055" t="str">
        <f t="shared" ca="1" si="211"/>
        <v>Accessories</v>
      </c>
      <c r="F1055">
        <f t="shared" ca="1" si="212"/>
        <v>6799</v>
      </c>
      <c r="G1055">
        <f t="shared" ca="1" si="213"/>
        <v>15</v>
      </c>
      <c r="H1055">
        <f t="shared" ca="1" si="214"/>
        <v>5779.15</v>
      </c>
      <c r="I1055">
        <f t="shared" ca="1" si="215"/>
        <v>1</v>
      </c>
      <c r="J1055">
        <f t="shared" ca="1" si="216"/>
        <v>1</v>
      </c>
      <c r="K1055">
        <f t="shared" ca="1" si="217"/>
        <v>1</v>
      </c>
      <c r="L1055">
        <f t="shared" ca="1" si="218"/>
        <v>5779.15</v>
      </c>
      <c r="M1055">
        <f t="shared" ca="1" si="219"/>
        <v>1</v>
      </c>
      <c r="N1055">
        <f t="shared" ca="1" si="220"/>
        <v>0</v>
      </c>
    </row>
    <row r="1056" spans="1:14" x14ac:dyDescent="0.35">
      <c r="A1056" t="s">
        <v>1073</v>
      </c>
      <c r="B1056" t="str">
        <f t="shared" si="208"/>
        <v>Test</v>
      </c>
      <c r="C1056">
        <f t="shared" ca="1" si="209"/>
        <v>33</v>
      </c>
      <c r="D1056" t="str">
        <f t="shared" ca="1" si="210"/>
        <v>Female</v>
      </c>
      <c r="E1056" t="str">
        <f t="shared" ca="1" si="211"/>
        <v>Dresses</v>
      </c>
      <c r="F1056">
        <f t="shared" ca="1" si="212"/>
        <v>6166</v>
      </c>
      <c r="G1056">
        <f t="shared" ca="1" si="213"/>
        <v>25</v>
      </c>
      <c r="H1056">
        <f t="shared" ca="1" si="214"/>
        <v>4624.5</v>
      </c>
      <c r="I1056">
        <f t="shared" ca="1" si="215"/>
        <v>1</v>
      </c>
      <c r="J1056">
        <f t="shared" ca="1" si="216"/>
        <v>1</v>
      </c>
      <c r="K1056">
        <f t="shared" ca="1" si="217"/>
        <v>0</v>
      </c>
      <c r="L1056">
        <f t="shared" ca="1" si="218"/>
        <v>0</v>
      </c>
      <c r="M1056">
        <f t="shared" ca="1" si="219"/>
        <v>1</v>
      </c>
      <c r="N1056">
        <f t="shared" ca="1" si="220"/>
        <v>0</v>
      </c>
    </row>
    <row r="1057" spans="1:14" x14ac:dyDescent="0.35">
      <c r="A1057" t="s">
        <v>1074</v>
      </c>
      <c r="B1057" t="str">
        <f t="shared" si="208"/>
        <v>Test</v>
      </c>
      <c r="C1057">
        <f t="shared" ca="1" si="209"/>
        <v>32</v>
      </c>
      <c r="D1057" t="str">
        <f t="shared" ca="1" si="210"/>
        <v>Male</v>
      </c>
      <c r="E1057" t="str">
        <f t="shared" ca="1" si="211"/>
        <v>Shoes</v>
      </c>
      <c r="F1057">
        <f t="shared" ca="1" si="212"/>
        <v>2607</v>
      </c>
      <c r="G1057">
        <f t="shared" ca="1" si="213"/>
        <v>25</v>
      </c>
      <c r="H1057">
        <f t="shared" ca="1" si="214"/>
        <v>1955.25</v>
      </c>
      <c r="I1057">
        <f t="shared" ca="1" si="215"/>
        <v>1</v>
      </c>
      <c r="J1057">
        <f t="shared" ca="1" si="216"/>
        <v>1</v>
      </c>
      <c r="K1057">
        <f t="shared" ca="1" si="217"/>
        <v>1</v>
      </c>
      <c r="L1057">
        <f t="shared" ca="1" si="218"/>
        <v>1955.25</v>
      </c>
      <c r="M1057">
        <f t="shared" ca="1" si="219"/>
        <v>3</v>
      </c>
      <c r="N1057">
        <f t="shared" ca="1" si="220"/>
        <v>0</v>
      </c>
    </row>
    <row r="1058" spans="1:14" x14ac:dyDescent="0.35">
      <c r="A1058" t="s">
        <v>1075</v>
      </c>
      <c r="B1058" t="str">
        <f t="shared" si="208"/>
        <v>Test</v>
      </c>
      <c r="C1058">
        <f t="shared" ca="1" si="209"/>
        <v>36</v>
      </c>
      <c r="D1058" t="str">
        <f t="shared" ca="1" si="210"/>
        <v>Male</v>
      </c>
      <c r="E1058" t="str">
        <f t="shared" ca="1" si="211"/>
        <v>Dresses</v>
      </c>
      <c r="F1058">
        <f t="shared" ca="1" si="212"/>
        <v>6289</v>
      </c>
      <c r="G1058">
        <f t="shared" ca="1" si="213"/>
        <v>25</v>
      </c>
      <c r="H1058">
        <f t="shared" ca="1" si="214"/>
        <v>4716.75</v>
      </c>
      <c r="I1058">
        <f t="shared" ca="1" si="215"/>
        <v>1</v>
      </c>
      <c r="J1058">
        <f t="shared" ca="1" si="216"/>
        <v>1</v>
      </c>
      <c r="K1058">
        <f t="shared" ca="1" si="217"/>
        <v>0</v>
      </c>
      <c r="L1058">
        <f t="shared" ca="1" si="218"/>
        <v>0</v>
      </c>
      <c r="M1058">
        <f t="shared" ca="1" si="219"/>
        <v>6</v>
      </c>
      <c r="N1058">
        <f t="shared" ca="1" si="220"/>
        <v>0</v>
      </c>
    </row>
    <row r="1059" spans="1:14" x14ac:dyDescent="0.35">
      <c r="A1059" t="s">
        <v>1076</v>
      </c>
      <c r="B1059" t="str">
        <f t="shared" si="208"/>
        <v>Test</v>
      </c>
      <c r="C1059">
        <f t="shared" ca="1" si="209"/>
        <v>44</v>
      </c>
      <c r="D1059" t="str">
        <f t="shared" ca="1" si="210"/>
        <v>Female</v>
      </c>
      <c r="E1059" t="str">
        <f t="shared" ca="1" si="211"/>
        <v>Tops</v>
      </c>
      <c r="F1059">
        <f t="shared" ca="1" si="212"/>
        <v>1936</v>
      </c>
      <c r="G1059">
        <f t="shared" ca="1" si="213"/>
        <v>15</v>
      </c>
      <c r="H1059">
        <f t="shared" ca="1" si="214"/>
        <v>1645.6</v>
      </c>
      <c r="I1059">
        <f t="shared" ca="1" si="215"/>
        <v>1</v>
      </c>
      <c r="J1059">
        <f t="shared" ca="1" si="216"/>
        <v>1</v>
      </c>
      <c r="K1059">
        <f t="shared" ca="1" si="217"/>
        <v>1</v>
      </c>
      <c r="L1059">
        <f t="shared" ca="1" si="218"/>
        <v>1645.6</v>
      </c>
      <c r="M1059">
        <f t="shared" ca="1" si="219"/>
        <v>1</v>
      </c>
      <c r="N1059">
        <f t="shared" ca="1" si="220"/>
        <v>0</v>
      </c>
    </row>
    <row r="1060" spans="1:14" x14ac:dyDescent="0.35">
      <c r="A1060" t="s">
        <v>1077</v>
      </c>
      <c r="B1060" t="str">
        <f t="shared" si="208"/>
        <v>Test</v>
      </c>
      <c r="C1060">
        <f t="shared" ca="1" si="209"/>
        <v>32</v>
      </c>
      <c r="D1060" t="str">
        <f t="shared" ca="1" si="210"/>
        <v>Female</v>
      </c>
      <c r="E1060" t="str">
        <f t="shared" ca="1" si="211"/>
        <v>Ethnic Wear</v>
      </c>
      <c r="F1060">
        <f t="shared" ca="1" si="212"/>
        <v>2926</v>
      </c>
      <c r="G1060">
        <f t="shared" ca="1" si="213"/>
        <v>25</v>
      </c>
      <c r="H1060">
        <f t="shared" ca="1" si="214"/>
        <v>2194.5</v>
      </c>
      <c r="I1060">
        <f t="shared" ca="1" si="215"/>
        <v>1</v>
      </c>
      <c r="J1060">
        <f t="shared" ca="1" si="216"/>
        <v>1</v>
      </c>
      <c r="K1060">
        <f t="shared" ca="1" si="217"/>
        <v>0</v>
      </c>
      <c r="L1060">
        <f t="shared" ca="1" si="218"/>
        <v>0</v>
      </c>
      <c r="M1060">
        <f t="shared" ca="1" si="219"/>
        <v>7</v>
      </c>
      <c r="N1060">
        <f t="shared" ca="1" si="220"/>
        <v>0</v>
      </c>
    </row>
    <row r="1061" spans="1:14" x14ac:dyDescent="0.35">
      <c r="A1061" t="s">
        <v>1078</v>
      </c>
      <c r="B1061" t="str">
        <f t="shared" si="208"/>
        <v>Test</v>
      </c>
      <c r="C1061">
        <f t="shared" ca="1" si="209"/>
        <v>18</v>
      </c>
      <c r="D1061" t="str">
        <f t="shared" ca="1" si="210"/>
        <v>Female</v>
      </c>
      <c r="E1061" t="str">
        <f t="shared" ca="1" si="211"/>
        <v>Dresses</v>
      </c>
      <c r="F1061">
        <f t="shared" ca="1" si="212"/>
        <v>6958</v>
      </c>
      <c r="G1061">
        <f t="shared" ca="1" si="213"/>
        <v>25</v>
      </c>
      <c r="H1061">
        <f t="shared" ca="1" si="214"/>
        <v>5218.5</v>
      </c>
      <c r="I1061">
        <f t="shared" ca="1" si="215"/>
        <v>1</v>
      </c>
      <c r="J1061">
        <f t="shared" ca="1" si="216"/>
        <v>0</v>
      </c>
      <c r="K1061">
        <f t="shared" ca="1" si="217"/>
        <v>0</v>
      </c>
      <c r="L1061">
        <f t="shared" ca="1" si="218"/>
        <v>0</v>
      </c>
      <c r="M1061">
        <f t="shared" ca="1" si="219"/>
        <v>5</v>
      </c>
      <c r="N1061">
        <f t="shared" ca="1" si="220"/>
        <v>0</v>
      </c>
    </row>
    <row r="1062" spans="1:14" x14ac:dyDescent="0.35">
      <c r="A1062" t="s">
        <v>1079</v>
      </c>
      <c r="B1062" t="str">
        <f t="shared" si="208"/>
        <v>Test</v>
      </c>
      <c r="C1062">
        <f t="shared" ca="1" si="209"/>
        <v>25</v>
      </c>
      <c r="D1062" t="str">
        <f t="shared" ca="1" si="210"/>
        <v>Other</v>
      </c>
      <c r="E1062" t="str">
        <f t="shared" ca="1" si="211"/>
        <v>Accessories</v>
      </c>
      <c r="F1062">
        <f t="shared" ca="1" si="212"/>
        <v>5116</v>
      </c>
      <c r="G1062">
        <f t="shared" ca="1" si="213"/>
        <v>25</v>
      </c>
      <c r="H1062">
        <f t="shared" ca="1" si="214"/>
        <v>3837</v>
      </c>
      <c r="I1062">
        <f t="shared" ca="1" si="215"/>
        <v>1</v>
      </c>
      <c r="J1062">
        <f t="shared" ca="1" si="216"/>
        <v>1</v>
      </c>
      <c r="K1062">
        <f t="shared" ca="1" si="217"/>
        <v>0</v>
      </c>
      <c r="L1062">
        <f t="shared" ca="1" si="218"/>
        <v>0</v>
      </c>
      <c r="M1062">
        <f t="shared" ca="1" si="219"/>
        <v>7</v>
      </c>
      <c r="N1062">
        <f t="shared" ca="1" si="220"/>
        <v>0</v>
      </c>
    </row>
    <row r="1063" spans="1:14" x14ac:dyDescent="0.35">
      <c r="A1063" t="s">
        <v>1080</v>
      </c>
      <c r="B1063" t="str">
        <f t="shared" si="208"/>
        <v>Test</v>
      </c>
      <c r="C1063">
        <f t="shared" ca="1" si="209"/>
        <v>34</v>
      </c>
      <c r="D1063" t="str">
        <f t="shared" ca="1" si="210"/>
        <v>Male</v>
      </c>
      <c r="E1063" t="str">
        <f t="shared" ca="1" si="211"/>
        <v>Sportswear</v>
      </c>
      <c r="F1063">
        <f t="shared" ca="1" si="212"/>
        <v>2050</v>
      </c>
      <c r="G1063">
        <f t="shared" ca="1" si="213"/>
        <v>20</v>
      </c>
      <c r="H1063">
        <f t="shared" ca="1" si="214"/>
        <v>1640</v>
      </c>
      <c r="I1063">
        <f t="shared" ca="1" si="215"/>
        <v>1</v>
      </c>
      <c r="J1063">
        <f t="shared" ca="1" si="216"/>
        <v>1</v>
      </c>
      <c r="K1063">
        <f t="shared" ca="1" si="217"/>
        <v>1</v>
      </c>
      <c r="L1063">
        <f t="shared" ca="1" si="218"/>
        <v>1640</v>
      </c>
      <c r="M1063">
        <f t="shared" ca="1" si="219"/>
        <v>7</v>
      </c>
      <c r="N1063">
        <f t="shared" ca="1" si="220"/>
        <v>0</v>
      </c>
    </row>
    <row r="1064" spans="1:14" x14ac:dyDescent="0.35">
      <c r="A1064" t="s">
        <v>1081</v>
      </c>
      <c r="B1064" t="str">
        <f t="shared" si="208"/>
        <v>Test</v>
      </c>
      <c r="C1064">
        <f t="shared" ca="1" si="209"/>
        <v>25</v>
      </c>
      <c r="D1064" t="str">
        <f t="shared" ca="1" si="210"/>
        <v>Male</v>
      </c>
      <c r="E1064" t="str">
        <f t="shared" ca="1" si="211"/>
        <v>Jeans</v>
      </c>
      <c r="F1064">
        <f t="shared" ca="1" si="212"/>
        <v>1153</v>
      </c>
      <c r="G1064">
        <f t="shared" ca="1" si="213"/>
        <v>25</v>
      </c>
      <c r="H1064">
        <f t="shared" ca="1" si="214"/>
        <v>864.75</v>
      </c>
      <c r="I1064">
        <f t="shared" ca="1" si="215"/>
        <v>1</v>
      </c>
      <c r="J1064">
        <f t="shared" ca="1" si="216"/>
        <v>1</v>
      </c>
      <c r="K1064">
        <f t="shared" ca="1" si="217"/>
        <v>1</v>
      </c>
      <c r="L1064">
        <f t="shared" ca="1" si="218"/>
        <v>864.75</v>
      </c>
      <c r="M1064">
        <f t="shared" ca="1" si="219"/>
        <v>5</v>
      </c>
      <c r="N1064">
        <f t="shared" ca="1" si="220"/>
        <v>0</v>
      </c>
    </row>
    <row r="1065" spans="1:14" x14ac:dyDescent="0.35">
      <c r="A1065" t="s">
        <v>1082</v>
      </c>
      <c r="B1065" t="str">
        <f t="shared" si="208"/>
        <v>Test</v>
      </c>
      <c r="C1065">
        <f t="shared" ca="1" si="209"/>
        <v>39</v>
      </c>
      <c r="D1065" t="str">
        <f t="shared" ca="1" si="210"/>
        <v>Female</v>
      </c>
      <c r="E1065" t="str">
        <f t="shared" ca="1" si="211"/>
        <v>Dresses</v>
      </c>
      <c r="F1065">
        <f t="shared" ca="1" si="212"/>
        <v>4076</v>
      </c>
      <c r="G1065">
        <f t="shared" ca="1" si="213"/>
        <v>25</v>
      </c>
      <c r="H1065">
        <f t="shared" ca="1" si="214"/>
        <v>3057</v>
      </c>
      <c r="I1065">
        <f t="shared" ca="1" si="215"/>
        <v>1</v>
      </c>
      <c r="J1065">
        <f t="shared" ca="1" si="216"/>
        <v>0</v>
      </c>
      <c r="K1065">
        <f t="shared" ca="1" si="217"/>
        <v>0</v>
      </c>
      <c r="L1065">
        <f t="shared" ca="1" si="218"/>
        <v>0</v>
      </c>
      <c r="M1065">
        <f t="shared" ca="1" si="219"/>
        <v>3</v>
      </c>
      <c r="N1065">
        <f t="shared" ca="1" si="220"/>
        <v>0</v>
      </c>
    </row>
    <row r="1066" spans="1:14" x14ac:dyDescent="0.35">
      <c r="A1066" t="s">
        <v>1083</v>
      </c>
      <c r="B1066" t="str">
        <f t="shared" si="208"/>
        <v>Test</v>
      </c>
      <c r="C1066">
        <f t="shared" ca="1" si="209"/>
        <v>22</v>
      </c>
      <c r="D1066" t="str">
        <f t="shared" ca="1" si="210"/>
        <v>Male</v>
      </c>
      <c r="E1066" t="str">
        <f t="shared" ca="1" si="211"/>
        <v>Sportswear</v>
      </c>
      <c r="F1066">
        <f t="shared" ca="1" si="212"/>
        <v>1860</v>
      </c>
      <c r="G1066">
        <f t="shared" ca="1" si="213"/>
        <v>25</v>
      </c>
      <c r="H1066">
        <f t="shared" ca="1" si="214"/>
        <v>1395</v>
      </c>
      <c r="I1066">
        <f t="shared" ca="1" si="215"/>
        <v>0</v>
      </c>
      <c r="J1066">
        <f t="shared" ca="1" si="216"/>
        <v>0</v>
      </c>
      <c r="K1066">
        <f t="shared" ca="1" si="217"/>
        <v>0</v>
      </c>
      <c r="L1066">
        <f t="shared" ca="1" si="218"/>
        <v>0</v>
      </c>
      <c r="M1066">
        <f t="shared" ca="1" si="219"/>
        <v>5</v>
      </c>
      <c r="N1066">
        <f t="shared" ca="1" si="220"/>
        <v>0</v>
      </c>
    </row>
    <row r="1067" spans="1:14" x14ac:dyDescent="0.35">
      <c r="A1067" t="s">
        <v>1084</v>
      </c>
      <c r="B1067" t="str">
        <f t="shared" si="208"/>
        <v>Test</v>
      </c>
      <c r="C1067">
        <f t="shared" ca="1" si="209"/>
        <v>31</v>
      </c>
      <c r="D1067" t="str">
        <f t="shared" ca="1" si="210"/>
        <v>Male</v>
      </c>
      <c r="E1067" t="str">
        <f t="shared" ca="1" si="211"/>
        <v>Ethnic Wear</v>
      </c>
      <c r="F1067">
        <f t="shared" ca="1" si="212"/>
        <v>1203</v>
      </c>
      <c r="G1067">
        <f t="shared" ca="1" si="213"/>
        <v>15</v>
      </c>
      <c r="H1067">
        <f t="shared" ca="1" si="214"/>
        <v>1022.55</v>
      </c>
      <c r="I1067">
        <f t="shared" ca="1" si="215"/>
        <v>1</v>
      </c>
      <c r="J1067">
        <f t="shared" ca="1" si="216"/>
        <v>0</v>
      </c>
      <c r="K1067">
        <f t="shared" ca="1" si="217"/>
        <v>0</v>
      </c>
      <c r="L1067">
        <f t="shared" ca="1" si="218"/>
        <v>0</v>
      </c>
      <c r="M1067">
        <f t="shared" ca="1" si="219"/>
        <v>1</v>
      </c>
      <c r="N1067">
        <f t="shared" ca="1" si="220"/>
        <v>0</v>
      </c>
    </row>
    <row r="1068" spans="1:14" x14ac:dyDescent="0.35">
      <c r="A1068" t="s">
        <v>1085</v>
      </c>
      <c r="B1068" t="str">
        <f t="shared" si="208"/>
        <v>Test</v>
      </c>
      <c r="C1068">
        <f t="shared" ca="1" si="209"/>
        <v>36</v>
      </c>
      <c r="D1068" t="str">
        <f t="shared" ca="1" si="210"/>
        <v>Female</v>
      </c>
      <c r="E1068" t="str">
        <f t="shared" ca="1" si="211"/>
        <v>Ethnic Wear</v>
      </c>
      <c r="F1068">
        <f t="shared" ca="1" si="212"/>
        <v>3998</v>
      </c>
      <c r="G1068">
        <f t="shared" ca="1" si="213"/>
        <v>25</v>
      </c>
      <c r="H1068">
        <f t="shared" ca="1" si="214"/>
        <v>2998.5</v>
      </c>
      <c r="I1068">
        <f t="shared" ca="1" si="215"/>
        <v>1</v>
      </c>
      <c r="J1068">
        <f t="shared" ca="1" si="216"/>
        <v>1</v>
      </c>
      <c r="K1068">
        <f t="shared" ca="1" si="217"/>
        <v>1</v>
      </c>
      <c r="L1068">
        <f t="shared" ca="1" si="218"/>
        <v>2998.5</v>
      </c>
      <c r="M1068">
        <f t="shared" ca="1" si="219"/>
        <v>2</v>
      </c>
      <c r="N1068">
        <f t="shared" ca="1" si="220"/>
        <v>0</v>
      </c>
    </row>
    <row r="1069" spans="1:14" x14ac:dyDescent="0.35">
      <c r="A1069" t="s">
        <v>1086</v>
      </c>
      <c r="B1069" t="str">
        <f t="shared" si="208"/>
        <v>Test</v>
      </c>
      <c r="C1069">
        <f t="shared" ca="1" si="209"/>
        <v>18</v>
      </c>
      <c r="D1069" t="str">
        <f t="shared" ca="1" si="210"/>
        <v>Male</v>
      </c>
      <c r="E1069" t="str">
        <f t="shared" ca="1" si="211"/>
        <v>Dresses</v>
      </c>
      <c r="F1069">
        <f t="shared" ca="1" si="212"/>
        <v>4133</v>
      </c>
      <c r="G1069">
        <f t="shared" ca="1" si="213"/>
        <v>25</v>
      </c>
      <c r="H1069">
        <f t="shared" ca="1" si="214"/>
        <v>3099.75</v>
      </c>
      <c r="I1069">
        <f t="shared" ca="1" si="215"/>
        <v>1</v>
      </c>
      <c r="J1069">
        <f t="shared" ca="1" si="216"/>
        <v>1</v>
      </c>
      <c r="K1069">
        <f t="shared" ca="1" si="217"/>
        <v>0</v>
      </c>
      <c r="L1069">
        <f t="shared" ca="1" si="218"/>
        <v>0</v>
      </c>
      <c r="M1069">
        <f t="shared" ca="1" si="219"/>
        <v>3</v>
      </c>
      <c r="N1069">
        <f t="shared" ca="1" si="220"/>
        <v>0</v>
      </c>
    </row>
    <row r="1070" spans="1:14" x14ac:dyDescent="0.35">
      <c r="A1070" t="s">
        <v>1087</v>
      </c>
      <c r="B1070" t="str">
        <f t="shared" si="208"/>
        <v>Test</v>
      </c>
      <c r="C1070">
        <f t="shared" ca="1" si="209"/>
        <v>40</v>
      </c>
      <c r="D1070" t="str">
        <f t="shared" ca="1" si="210"/>
        <v>Male</v>
      </c>
      <c r="E1070" t="str">
        <f t="shared" ca="1" si="211"/>
        <v>Ethnic Wear</v>
      </c>
      <c r="F1070">
        <f t="shared" ca="1" si="212"/>
        <v>6544</v>
      </c>
      <c r="G1070">
        <f t="shared" ca="1" si="213"/>
        <v>20</v>
      </c>
      <c r="H1070">
        <f t="shared" ca="1" si="214"/>
        <v>5235.2000000000007</v>
      </c>
      <c r="I1070">
        <f t="shared" ca="1" si="215"/>
        <v>0</v>
      </c>
      <c r="J1070">
        <f t="shared" ca="1" si="216"/>
        <v>0</v>
      </c>
      <c r="K1070">
        <f t="shared" ca="1" si="217"/>
        <v>0</v>
      </c>
      <c r="L1070">
        <f t="shared" ca="1" si="218"/>
        <v>0</v>
      </c>
      <c r="M1070">
        <f t="shared" ca="1" si="219"/>
        <v>6</v>
      </c>
      <c r="N1070">
        <f t="shared" ca="1" si="220"/>
        <v>0</v>
      </c>
    </row>
    <row r="1071" spans="1:14" x14ac:dyDescent="0.35">
      <c r="A1071" t="s">
        <v>1088</v>
      </c>
      <c r="B1071" t="str">
        <f t="shared" si="208"/>
        <v>Test</v>
      </c>
      <c r="C1071">
        <f t="shared" ca="1" si="209"/>
        <v>18</v>
      </c>
      <c r="D1071" t="str">
        <f t="shared" ca="1" si="210"/>
        <v>Female</v>
      </c>
      <c r="E1071" t="str">
        <f t="shared" ca="1" si="211"/>
        <v>Dresses</v>
      </c>
      <c r="F1071">
        <f t="shared" ca="1" si="212"/>
        <v>2031</v>
      </c>
      <c r="G1071">
        <f t="shared" ca="1" si="213"/>
        <v>20</v>
      </c>
      <c r="H1071">
        <f t="shared" ca="1" si="214"/>
        <v>1624.8000000000002</v>
      </c>
      <c r="I1071">
        <f t="shared" ca="1" si="215"/>
        <v>1</v>
      </c>
      <c r="J1071">
        <f t="shared" ca="1" si="216"/>
        <v>1</v>
      </c>
      <c r="K1071">
        <f t="shared" ca="1" si="217"/>
        <v>0</v>
      </c>
      <c r="L1071">
        <f t="shared" ca="1" si="218"/>
        <v>0</v>
      </c>
      <c r="M1071">
        <f t="shared" ca="1" si="219"/>
        <v>1</v>
      </c>
      <c r="N1071">
        <f t="shared" ca="1" si="220"/>
        <v>0</v>
      </c>
    </row>
    <row r="1072" spans="1:14" x14ac:dyDescent="0.35">
      <c r="A1072" t="s">
        <v>1089</v>
      </c>
      <c r="B1072" t="str">
        <f t="shared" si="208"/>
        <v>Test</v>
      </c>
      <c r="C1072">
        <f t="shared" ca="1" si="209"/>
        <v>35</v>
      </c>
      <c r="D1072" t="str">
        <f t="shared" ca="1" si="210"/>
        <v>Female</v>
      </c>
      <c r="E1072" t="str">
        <f t="shared" ca="1" si="211"/>
        <v>Tops</v>
      </c>
      <c r="F1072">
        <f t="shared" ca="1" si="212"/>
        <v>6507</v>
      </c>
      <c r="G1072">
        <f t="shared" ca="1" si="213"/>
        <v>20</v>
      </c>
      <c r="H1072">
        <f t="shared" ca="1" si="214"/>
        <v>5205.6000000000004</v>
      </c>
      <c r="I1072">
        <f t="shared" ca="1" si="215"/>
        <v>1</v>
      </c>
      <c r="J1072">
        <f t="shared" ca="1" si="216"/>
        <v>0</v>
      </c>
      <c r="K1072">
        <f t="shared" ca="1" si="217"/>
        <v>0</v>
      </c>
      <c r="L1072">
        <f t="shared" ca="1" si="218"/>
        <v>0</v>
      </c>
      <c r="M1072">
        <f t="shared" ca="1" si="219"/>
        <v>2</v>
      </c>
      <c r="N1072">
        <f t="shared" ca="1" si="220"/>
        <v>0</v>
      </c>
    </row>
    <row r="1073" spans="1:14" x14ac:dyDescent="0.35">
      <c r="A1073" t="s">
        <v>1090</v>
      </c>
      <c r="B1073" t="str">
        <f t="shared" si="208"/>
        <v>Test</v>
      </c>
      <c r="C1073">
        <f t="shared" ca="1" si="209"/>
        <v>41</v>
      </c>
      <c r="D1073" t="str">
        <f t="shared" ca="1" si="210"/>
        <v>Male</v>
      </c>
      <c r="E1073" t="str">
        <f t="shared" ca="1" si="211"/>
        <v>T-shirts</v>
      </c>
      <c r="F1073">
        <f t="shared" ca="1" si="212"/>
        <v>369</v>
      </c>
      <c r="G1073">
        <f t="shared" ca="1" si="213"/>
        <v>25</v>
      </c>
      <c r="H1073">
        <f t="shared" ca="1" si="214"/>
        <v>276.75</v>
      </c>
      <c r="I1073">
        <f t="shared" ca="1" si="215"/>
        <v>1</v>
      </c>
      <c r="J1073">
        <f t="shared" ca="1" si="216"/>
        <v>0</v>
      </c>
      <c r="K1073">
        <f t="shared" ca="1" si="217"/>
        <v>0</v>
      </c>
      <c r="L1073">
        <f t="shared" ca="1" si="218"/>
        <v>0</v>
      </c>
      <c r="M1073">
        <f t="shared" ca="1" si="219"/>
        <v>4</v>
      </c>
      <c r="N1073">
        <f t="shared" ca="1" si="220"/>
        <v>0</v>
      </c>
    </row>
    <row r="1074" spans="1:14" x14ac:dyDescent="0.35">
      <c r="A1074" t="s">
        <v>1091</v>
      </c>
      <c r="B1074" t="str">
        <f t="shared" si="208"/>
        <v>Test</v>
      </c>
      <c r="C1074">
        <f t="shared" ca="1" si="209"/>
        <v>34</v>
      </c>
      <c r="D1074" t="str">
        <f t="shared" ca="1" si="210"/>
        <v>Other</v>
      </c>
      <c r="E1074" t="str">
        <f t="shared" ca="1" si="211"/>
        <v>Tops</v>
      </c>
      <c r="F1074">
        <f t="shared" ca="1" si="212"/>
        <v>353</v>
      </c>
      <c r="G1074">
        <f t="shared" ca="1" si="213"/>
        <v>20</v>
      </c>
      <c r="H1074">
        <f t="shared" ca="1" si="214"/>
        <v>282.40000000000003</v>
      </c>
      <c r="I1074">
        <f t="shared" ca="1" si="215"/>
        <v>1</v>
      </c>
      <c r="J1074">
        <f t="shared" ca="1" si="216"/>
        <v>0</v>
      </c>
      <c r="K1074">
        <f t="shared" ca="1" si="217"/>
        <v>0</v>
      </c>
      <c r="L1074">
        <f t="shared" ca="1" si="218"/>
        <v>0</v>
      </c>
      <c r="M1074">
        <f t="shared" ca="1" si="219"/>
        <v>4</v>
      </c>
      <c r="N1074">
        <f t="shared" ca="1" si="220"/>
        <v>0</v>
      </c>
    </row>
    <row r="1075" spans="1:14" x14ac:dyDescent="0.35">
      <c r="A1075" t="s">
        <v>1092</v>
      </c>
      <c r="B1075" t="str">
        <f t="shared" si="208"/>
        <v>Test</v>
      </c>
      <c r="C1075">
        <f t="shared" ca="1" si="209"/>
        <v>38</v>
      </c>
      <c r="D1075" t="str">
        <f t="shared" ca="1" si="210"/>
        <v>Male</v>
      </c>
      <c r="E1075" t="str">
        <f t="shared" ca="1" si="211"/>
        <v>Jeans</v>
      </c>
      <c r="F1075">
        <f t="shared" ca="1" si="212"/>
        <v>6856</v>
      </c>
      <c r="G1075">
        <f t="shared" ca="1" si="213"/>
        <v>15</v>
      </c>
      <c r="H1075">
        <f t="shared" ca="1" si="214"/>
        <v>5827.5999999999995</v>
      </c>
      <c r="I1075">
        <f t="shared" ca="1" si="215"/>
        <v>1</v>
      </c>
      <c r="J1075">
        <f t="shared" ca="1" si="216"/>
        <v>0</v>
      </c>
      <c r="K1075">
        <f t="shared" ca="1" si="217"/>
        <v>0</v>
      </c>
      <c r="L1075">
        <f t="shared" ca="1" si="218"/>
        <v>0</v>
      </c>
      <c r="M1075">
        <f t="shared" ca="1" si="219"/>
        <v>4</v>
      </c>
      <c r="N1075">
        <f t="shared" ca="1" si="220"/>
        <v>0</v>
      </c>
    </row>
    <row r="1076" spans="1:14" x14ac:dyDescent="0.35">
      <c r="A1076" t="s">
        <v>1093</v>
      </c>
      <c r="B1076" t="str">
        <f t="shared" si="208"/>
        <v>Test</v>
      </c>
      <c r="C1076">
        <f t="shared" ca="1" si="209"/>
        <v>43</v>
      </c>
      <c r="D1076" t="str">
        <f t="shared" ca="1" si="210"/>
        <v>Female</v>
      </c>
      <c r="E1076" t="str">
        <f t="shared" ca="1" si="211"/>
        <v>Dresses</v>
      </c>
      <c r="F1076">
        <f t="shared" ca="1" si="212"/>
        <v>3208</v>
      </c>
      <c r="G1076">
        <f t="shared" ca="1" si="213"/>
        <v>25</v>
      </c>
      <c r="H1076">
        <f t="shared" ca="1" si="214"/>
        <v>2406</v>
      </c>
      <c r="I1076">
        <f t="shared" ca="1" si="215"/>
        <v>0</v>
      </c>
      <c r="J1076">
        <f t="shared" ca="1" si="216"/>
        <v>0</v>
      </c>
      <c r="K1076">
        <f t="shared" ca="1" si="217"/>
        <v>0</v>
      </c>
      <c r="L1076">
        <f t="shared" ca="1" si="218"/>
        <v>0</v>
      </c>
      <c r="M1076">
        <f t="shared" ca="1" si="219"/>
        <v>3</v>
      </c>
      <c r="N1076">
        <f t="shared" ca="1" si="220"/>
        <v>0</v>
      </c>
    </row>
    <row r="1077" spans="1:14" x14ac:dyDescent="0.35">
      <c r="A1077" t="s">
        <v>1094</v>
      </c>
      <c r="B1077" t="str">
        <f t="shared" si="208"/>
        <v>Test</v>
      </c>
      <c r="C1077">
        <f t="shared" ca="1" si="209"/>
        <v>35</v>
      </c>
      <c r="D1077" t="str">
        <f t="shared" ca="1" si="210"/>
        <v>Female</v>
      </c>
      <c r="E1077" t="str">
        <f t="shared" ca="1" si="211"/>
        <v>T-shirts</v>
      </c>
      <c r="F1077">
        <f t="shared" ca="1" si="212"/>
        <v>4511</v>
      </c>
      <c r="G1077">
        <f t="shared" ca="1" si="213"/>
        <v>20</v>
      </c>
      <c r="H1077">
        <f t="shared" ca="1" si="214"/>
        <v>3608.8</v>
      </c>
      <c r="I1077">
        <f t="shared" ca="1" si="215"/>
        <v>1</v>
      </c>
      <c r="J1077">
        <f t="shared" ca="1" si="216"/>
        <v>0</v>
      </c>
      <c r="K1077">
        <f t="shared" ca="1" si="217"/>
        <v>0</v>
      </c>
      <c r="L1077">
        <f t="shared" ca="1" si="218"/>
        <v>0</v>
      </c>
      <c r="M1077">
        <f t="shared" ca="1" si="219"/>
        <v>6</v>
      </c>
      <c r="N1077">
        <f t="shared" ca="1" si="220"/>
        <v>0</v>
      </c>
    </row>
    <row r="1078" spans="1:14" x14ac:dyDescent="0.35">
      <c r="A1078" t="s">
        <v>1095</v>
      </c>
      <c r="B1078" t="str">
        <f t="shared" si="208"/>
        <v>Test</v>
      </c>
      <c r="C1078">
        <f t="shared" ca="1" si="209"/>
        <v>33</v>
      </c>
      <c r="D1078" t="str">
        <f t="shared" ca="1" si="210"/>
        <v>Male</v>
      </c>
      <c r="E1078" t="str">
        <f t="shared" ca="1" si="211"/>
        <v>Sportswear</v>
      </c>
      <c r="F1078">
        <f t="shared" ca="1" si="212"/>
        <v>1512</v>
      </c>
      <c r="G1078">
        <f t="shared" ca="1" si="213"/>
        <v>20</v>
      </c>
      <c r="H1078">
        <f t="shared" ca="1" si="214"/>
        <v>1209.6000000000001</v>
      </c>
      <c r="I1078">
        <f t="shared" ca="1" si="215"/>
        <v>0</v>
      </c>
      <c r="J1078">
        <f t="shared" ca="1" si="216"/>
        <v>0</v>
      </c>
      <c r="K1078">
        <f t="shared" ca="1" si="217"/>
        <v>0</v>
      </c>
      <c r="L1078">
        <f t="shared" ca="1" si="218"/>
        <v>0</v>
      </c>
      <c r="M1078">
        <f t="shared" ca="1" si="219"/>
        <v>5</v>
      </c>
      <c r="N1078">
        <f t="shared" ca="1" si="220"/>
        <v>0</v>
      </c>
    </row>
    <row r="1079" spans="1:14" x14ac:dyDescent="0.35">
      <c r="A1079" t="s">
        <v>1096</v>
      </c>
      <c r="B1079" t="str">
        <f t="shared" si="208"/>
        <v>Test</v>
      </c>
      <c r="C1079">
        <f t="shared" ca="1" si="209"/>
        <v>37</v>
      </c>
      <c r="D1079" t="str">
        <f t="shared" ca="1" si="210"/>
        <v>Female</v>
      </c>
      <c r="E1079" t="str">
        <f t="shared" ca="1" si="211"/>
        <v>Tops</v>
      </c>
      <c r="F1079">
        <f t="shared" ca="1" si="212"/>
        <v>5624</v>
      </c>
      <c r="G1079">
        <f t="shared" ca="1" si="213"/>
        <v>15</v>
      </c>
      <c r="H1079">
        <f t="shared" ca="1" si="214"/>
        <v>4780.3999999999996</v>
      </c>
      <c r="I1079">
        <f t="shared" ca="1" si="215"/>
        <v>1</v>
      </c>
      <c r="J1079">
        <f t="shared" ca="1" si="216"/>
        <v>0</v>
      </c>
      <c r="K1079">
        <f t="shared" ca="1" si="217"/>
        <v>0</v>
      </c>
      <c r="L1079">
        <f t="shared" ca="1" si="218"/>
        <v>0</v>
      </c>
      <c r="M1079">
        <f t="shared" ca="1" si="219"/>
        <v>6</v>
      </c>
      <c r="N1079">
        <f t="shared" ca="1" si="220"/>
        <v>0</v>
      </c>
    </row>
    <row r="1080" spans="1:14" x14ac:dyDescent="0.35">
      <c r="A1080" t="s">
        <v>1097</v>
      </c>
      <c r="B1080" t="str">
        <f t="shared" si="208"/>
        <v>Test</v>
      </c>
      <c r="C1080">
        <f t="shared" ca="1" si="209"/>
        <v>28</v>
      </c>
      <c r="D1080" t="str">
        <f t="shared" ca="1" si="210"/>
        <v>Female</v>
      </c>
      <c r="E1080" t="str">
        <f t="shared" ca="1" si="211"/>
        <v>Sportswear</v>
      </c>
      <c r="F1080">
        <f t="shared" ca="1" si="212"/>
        <v>2633</v>
      </c>
      <c r="G1080">
        <f t="shared" ca="1" si="213"/>
        <v>15</v>
      </c>
      <c r="H1080">
        <f t="shared" ca="1" si="214"/>
        <v>2238.0499999999997</v>
      </c>
      <c r="I1080">
        <f t="shared" ca="1" si="215"/>
        <v>1</v>
      </c>
      <c r="J1080">
        <f t="shared" ca="1" si="216"/>
        <v>1</v>
      </c>
      <c r="K1080">
        <f t="shared" ca="1" si="217"/>
        <v>1</v>
      </c>
      <c r="L1080">
        <f t="shared" ca="1" si="218"/>
        <v>2238.0499999999997</v>
      </c>
      <c r="M1080">
        <f t="shared" ca="1" si="219"/>
        <v>7</v>
      </c>
      <c r="N1080">
        <f t="shared" ca="1" si="220"/>
        <v>0</v>
      </c>
    </row>
    <row r="1081" spans="1:14" x14ac:dyDescent="0.35">
      <c r="A1081" t="s">
        <v>1098</v>
      </c>
      <c r="B1081" t="str">
        <f t="shared" si="208"/>
        <v>Test</v>
      </c>
      <c r="C1081">
        <f t="shared" ca="1" si="209"/>
        <v>32</v>
      </c>
      <c r="D1081" t="str">
        <f t="shared" ca="1" si="210"/>
        <v>Male</v>
      </c>
      <c r="E1081" t="str">
        <f t="shared" ca="1" si="211"/>
        <v>Dresses</v>
      </c>
      <c r="F1081">
        <f t="shared" ca="1" si="212"/>
        <v>5490</v>
      </c>
      <c r="G1081">
        <f t="shared" ca="1" si="213"/>
        <v>15</v>
      </c>
      <c r="H1081">
        <f t="shared" ca="1" si="214"/>
        <v>4666.5</v>
      </c>
      <c r="I1081">
        <f t="shared" ca="1" si="215"/>
        <v>0</v>
      </c>
      <c r="J1081">
        <f t="shared" ca="1" si="216"/>
        <v>0</v>
      </c>
      <c r="K1081">
        <f t="shared" ca="1" si="217"/>
        <v>0</v>
      </c>
      <c r="L1081">
        <f t="shared" ca="1" si="218"/>
        <v>0</v>
      </c>
      <c r="M1081">
        <f t="shared" ca="1" si="219"/>
        <v>5</v>
      </c>
      <c r="N1081">
        <f t="shared" ca="1" si="220"/>
        <v>0</v>
      </c>
    </row>
    <row r="1082" spans="1:14" x14ac:dyDescent="0.35">
      <c r="A1082" t="s">
        <v>1099</v>
      </c>
      <c r="B1082" t="str">
        <f t="shared" si="208"/>
        <v>Test</v>
      </c>
      <c r="C1082">
        <f t="shared" ca="1" si="209"/>
        <v>39</v>
      </c>
      <c r="D1082" t="str">
        <f t="shared" ca="1" si="210"/>
        <v>Female</v>
      </c>
      <c r="E1082" t="str">
        <f t="shared" ca="1" si="211"/>
        <v>Dresses</v>
      </c>
      <c r="F1082">
        <f t="shared" ca="1" si="212"/>
        <v>2768</v>
      </c>
      <c r="G1082">
        <f t="shared" ca="1" si="213"/>
        <v>15</v>
      </c>
      <c r="H1082">
        <f t="shared" ca="1" si="214"/>
        <v>2352.7999999999997</v>
      </c>
      <c r="I1082">
        <f t="shared" ca="1" si="215"/>
        <v>1</v>
      </c>
      <c r="J1082">
        <f t="shared" ca="1" si="216"/>
        <v>1</v>
      </c>
      <c r="K1082">
        <f t="shared" ca="1" si="217"/>
        <v>0</v>
      </c>
      <c r="L1082">
        <f t="shared" ca="1" si="218"/>
        <v>0</v>
      </c>
      <c r="M1082">
        <f t="shared" ca="1" si="219"/>
        <v>4</v>
      </c>
      <c r="N1082">
        <f t="shared" ca="1" si="220"/>
        <v>0</v>
      </c>
    </row>
    <row r="1083" spans="1:14" x14ac:dyDescent="0.35">
      <c r="A1083" t="s">
        <v>1100</v>
      </c>
      <c r="B1083" t="str">
        <f t="shared" si="208"/>
        <v>Test</v>
      </c>
      <c r="C1083">
        <f t="shared" ca="1" si="209"/>
        <v>41</v>
      </c>
      <c r="D1083" t="str">
        <f t="shared" ca="1" si="210"/>
        <v>Male</v>
      </c>
      <c r="E1083" t="str">
        <f t="shared" ca="1" si="211"/>
        <v>Shoes</v>
      </c>
      <c r="F1083">
        <f t="shared" ca="1" si="212"/>
        <v>4691</v>
      </c>
      <c r="G1083">
        <f t="shared" ca="1" si="213"/>
        <v>20</v>
      </c>
      <c r="H1083">
        <f t="shared" ca="1" si="214"/>
        <v>3752.8</v>
      </c>
      <c r="I1083">
        <f t="shared" ca="1" si="215"/>
        <v>1</v>
      </c>
      <c r="J1083">
        <f t="shared" ca="1" si="216"/>
        <v>1</v>
      </c>
      <c r="K1083">
        <f t="shared" ca="1" si="217"/>
        <v>0</v>
      </c>
      <c r="L1083">
        <f t="shared" ca="1" si="218"/>
        <v>0</v>
      </c>
      <c r="M1083">
        <f t="shared" ca="1" si="219"/>
        <v>6</v>
      </c>
      <c r="N1083">
        <f t="shared" ca="1" si="220"/>
        <v>0</v>
      </c>
    </row>
    <row r="1084" spans="1:14" x14ac:dyDescent="0.35">
      <c r="A1084" t="s">
        <v>1101</v>
      </c>
      <c r="B1084" t="str">
        <f t="shared" si="208"/>
        <v>Test</v>
      </c>
      <c r="C1084">
        <f t="shared" ca="1" si="209"/>
        <v>23</v>
      </c>
      <c r="D1084" t="str">
        <f t="shared" ca="1" si="210"/>
        <v>Female</v>
      </c>
      <c r="E1084" t="str">
        <f t="shared" ca="1" si="211"/>
        <v>Sportswear</v>
      </c>
      <c r="F1084">
        <f t="shared" ca="1" si="212"/>
        <v>7803</v>
      </c>
      <c r="G1084">
        <f t="shared" ca="1" si="213"/>
        <v>25</v>
      </c>
      <c r="H1084">
        <f t="shared" ca="1" si="214"/>
        <v>5852.25</v>
      </c>
      <c r="I1084">
        <f t="shared" ca="1" si="215"/>
        <v>1</v>
      </c>
      <c r="J1084">
        <f t="shared" ca="1" si="216"/>
        <v>1</v>
      </c>
      <c r="K1084">
        <f t="shared" ca="1" si="217"/>
        <v>0</v>
      </c>
      <c r="L1084">
        <f t="shared" ca="1" si="218"/>
        <v>0</v>
      </c>
      <c r="M1084">
        <f t="shared" ca="1" si="219"/>
        <v>7</v>
      </c>
      <c r="N1084">
        <f t="shared" ca="1" si="220"/>
        <v>0</v>
      </c>
    </row>
    <row r="1085" spans="1:14" x14ac:dyDescent="0.35">
      <c r="A1085" t="s">
        <v>1102</v>
      </c>
      <c r="B1085" t="str">
        <f t="shared" si="208"/>
        <v>Test</v>
      </c>
      <c r="C1085">
        <f t="shared" ca="1" si="209"/>
        <v>43</v>
      </c>
      <c r="D1085" t="str">
        <f t="shared" ca="1" si="210"/>
        <v>Male</v>
      </c>
      <c r="E1085" t="str">
        <f t="shared" ca="1" si="211"/>
        <v>Tops</v>
      </c>
      <c r="F1085">
        <f t="shared" ca="1" si="212"/>
        <v>7035</v>
      </c>
      <c r="G1085">
        <f t="shared" ca="1" si="213"/>
        <v>20</v>
      </c>
      <c r="H1085">
        <f t="shared" ca="1" si="214"/>
        <v>5628</v>
      </c>
      <c r="I1085">
        <f t="shared" ca="1" si="215"/>
        <v>1</v>
      </c>
      <c r="J1085">
        <f t="shared" ca="1" si="216"/>
        <v>1</v>
      </c>
      <c r="K1085">
        <f t="shared" ca="1" si="217"/>
        <v>1</v>
      </c>
      <c r="L1085">
        <f t="shared" ca="1" si="218"/>
        <v>5628</v>
      </c>
      <c r="M1085">
        <f t="shared" ca="1" si="219"/>
        <v>7</v>
      </c>
      <c r="N1085">
        <f t="shared" ca="1" si="220"/>
        <v>0</v>
      </c>
    </row>
    <row r="1086" spans="1:14" x14ac:dyDescent="0.35">
      <c r="A1086" t="s">
        <v>1103</v>
      </c>
      <c r="B1086" t="str">
        <f t="shared" si="208"/>
        <v>Test</v>
      </c>
      <c r="C1086">
        <f t="shared" ca="1" si="209"/>
        <v>18</v>
      </c>
      <c r="D1086" t="str">
        <f t="shared" ca="1" si="210"/>
        <v>Other</v>
      </c>
      <c r="E1086" t="str">
        <f t="shared" ca="1" si="211"/>
        <v>Tops</v>
      </c>
      <c r="F1086">
        <f t="shared" ca="1" si="212"/>
        <v>5453</v>
      </c>
      <c r="G1086">
        <f t="shared" ca="1" si="213"/>
        <v>15</v>
      </c>
      <c r="H1086">
        <f t="shared" ca="1" si="214"/>
        <v>4635.05</v>
      </c>
      <c r="I1086">
        <f t="shared" ca="1" si="215"/>
        <v>1</v>
      </c>
      <c r="J1086">
        <f t="shared" ca="1" si="216"/>
        <v>1</v>
      </c>
      <c r="K1086">
        <f t="shared" ca="1" si="217"/>
        <v>0</v>
      </c>
      <c r="L1086">
        <f t="shared" ca="1" si="218"/>
        <v>0</v>
      </c>
      <c r="M1086">
        <f t="shared" ca="1" si="219"/>
        <v>2</v>
      </c>
      <c r="N1086">
        <f t="shared" ca="1" si="220"/>
        <v>0</v>
      </c>
    </row>
    <row r="1087" spans="1:14" x14ac:dyDescent="0.35">
      <c r="A1087" t="s">
        <v>1104</v>
      </c>
      <c r="B1087" t="str">
        <f t="shared" si="208"/>
        <v>Test</v>
      </c>
      <c r="C1087">
        <f t="shared" ca="1" si="209"/>
        <v>37</v>
      </c>
      <c r="D1087" t="str">
        <f t="shared" ca="1" si="210"/>
        <v>Female</v>
      </c>
      <c r="E1087" t="str">
        <f t="shared" ca="1" si="211"/>
        <v>Dresses</v>
      </c>
      <c r="F1087">
        <f t="shared" ca="1" si="212"/>
        <v>7924</v>
      </c>
      <c r="G1087">
        <f t="shared" ca="1" si="213"/>
        <v>20</v>
      </c>
      <c r="H1087">
        <f t="shared" ca="1" si="214"/>
        <v>6339.2000000000007</v>
      </c>
      <c r="I1087">
        <f t="shared" ca="1" si="215"/>
        <v>0</v>
      </c>
      <c r="J1087">
        <f t="shared" ca="1" si="216"/>
        <v>0</v>
      </c>
      <c r="K1087">
        <f t="shared" ca="1" si="217"/>
        <v>0</v>
      </c>
      <c r="L1087">
        <f t="shared" ca="1" si="218"/>
        <v>0</v>
      </c>
      <c r="M1087">
        <f t="shared" ca="1" si="219"/>
        <v>6</v>
      </c>
      <c r="N1087">
        <f t="shared" ca="1" si="220"/>
        <v>0</v>
      </c>
    </row>
    <row r="1088" spans="1:14" x14ac:dyDescent="0.35">
      <c r="A1088" t="s">
        <v>1105</v>
      </c>
      <c r="B1088" t="str">
        <f t="shared" si="208"/>
        <v>Test</v>
      </c>
      <c r="C1088">
        <f t="shared" ca="1" si="209"/>
        <v>28</v>
      </c>
      <c r="D1088" t="str">
        <f t="shared" ca="1" si="210"/>
        <v>Male</v>
      </c>
      <c r="E1088" t="str">
        <f t="shared" ca="1" si="211"/>
        <v>Sportswear</v>
      </c>
      <c r="F1088">
        <f t="shared" ca="1" si="212"/>
        <v>4062</v>
      </c>
      <c r="G1088">
        <f t="shared" ca="1" si="213"/>
        <v>25</v>
      </c>
      <c r="H1088">
        <f t="shared" ca="1" si="214"/>
        <v>3046.5</v>
      </c>
      <c r="I1088">
        <f t="shared" ca="1" si="215"/>
        <v>1</v>
      </c>
      <c r="J1088">
        <f t="shared" ca="1" si="216"/>
        <v>0</v>
      </c>
      <c r="K1088">
        <f t="shared" ca="1" si="217"/>
        <v>0</v>
      </c>
      <c r="L1088">
        <f t="shared" ca="1" si="218"/>
        <v>0</v>
      </c>
      <c r="M1088">
        <f t="shared" ca="1" si="219"/>
        <v>2</v>
      </c>
      <c r="N1088">
        <f t="shared" ca="1" si="220"/>
        <v>0</v>
      </c>
    </row>
    <row r="1089" spans="1:14" x14ac:dyDescent="0.35">
      <c r="A1089" t="s">
        <v>1106</v>
      </c>
      <c r="B1089" t="str">
        <f t="shared" si="208"/>
        <v>Test</v>
      </c>
      <c r="C1089">
        <f t="shared" ca="1" si="209"/>
        <v>45</v>
      </c>
      <c r="D1089" t="str">
        <f t="shared" ca="1" si="210"/>
        <v>Male</v>
      </c>
      <c r="E1089" t="str">
        <f t="shared" ca="1" si="211"/>
        <v>Jeans</v>
      </c>
      <c r="F1089">
        <f t="shared" ca="1" si="212"/>
        <v>3974</v>
      </c>
      <c r="G1089">
        <f t="shared" ca="1" si="213"/>
        <v>15</v>
      </c>
      <c r="H1089">
        <f t="shared" ca="1" si="214"/>
        <v>3377.9</v>
      </c>
      <c r="I1089">
        <f t="shared" ca="1" si="215"/>
        <v>1</v>
      </c>
      <c r="J1089">
        <f t="shared" ca="1" si="216"/>
        <v>0</v>
      </c>
      <c r="K1089">
        <f t="shared" ca="1" si="217"/>
        <v>0</v>
      </c>
      <c r="L1089">
        <f t="shared" ca="1" si="218"/>
        <v>0</v>
      </c>
      <c r="M1089">
        <f t="shared" ca="1" si="219"/>
        <v>5</v>
      </c>
      <c r="N1089">
        <f t="shared" ca="1" si="220"/>
        <v>0</v>
      </c>
    </row>
    <row r="1090" spans="1:14" x14ac:dyDescent="0.35">
      <c r="A1090" t="s">
        <v>1107</v>
      </c>
      <c r="B1090" t="str">
        <f t="shared" si="208"/>
        <v>Test</v>
      </c>
      <c r="C1090">
        <f t="shared" ca="1" si="209"/>
        <v>24</v>
      </c>
      <c r="D1090" t="str">
        <f t="shared" ca="1" si="210"/>
        <v>Female</v>
      </c>
      <c r="E1090" t="str">
        <f t="shared" ca="1" si="211"/>
        <v>T-shirts</v>
      </c>
      <c r="F1090">
        <f t="shared" ca="1" si="212"/>
        <v>5621</v>
      </c>
      <c r="G1090">
        <f t="shared" ca="1" si="213"/>
        <v>25</v>
      </c>
      <c r="H1090">
        <f t="shared" ca="1" si="214"/>
        <v>4215.75</v>
      </c>
      <c r="I1090">
        <f t="shared" ca="1" si="215"/>
        <v>1</v>
      </c>
      <c r="J1090">
        <f t="shared" ca="1" si="216"/>
        <v>1</v>
      </c>
      <c r="K1090">
        <f t="shared" ca="1" si="217"/>
        <v>0</v>
      </c>
      <c r="L1090">
        <f t="shared" ca="1" si="218"/>
        <v>0</v>
      </c>
      <c r="M1090">
        <f t="shared" ca="1" si="219"/>
        <v>3</v>
      </c>
      <c r="N1090">
        <f t="shared" ca="1" si="220"/>
        <v>0</v>
      </c>
    </row>
    <row r="1091" spans="1:14" x14ac:dyDescent="0.35">
      <c r="A1091" t="s">
        <v>1108</v>
      </c>
      <c r="B1091" t="str">
        <f t="shared" si="208"/>
        <v>Test</v>
      </c>
      <c r="C1091">
        <f t="shared" ca="1" si="209"/>
        <v>18</v>
      </c>
      <c r="D1091" t="str">
        <f t="shared" ca="1" si="210"/>
        <v>Male</v>
      </c>
      <c r="E1091" t="str">
        <f t="shared" ca="1" si="211"/>
        <v>Accessories</v>
      </c>
      <c r="F1091">
        <f t="shared" ca="1" si="212"/>
        <v>6680</v>
      </c>
      <c r="G1091">
        <f t="shared" ca="1" si="213"/>
        <v>15</v>
      </c>
      <c r="H1091">
        <f t="shared" ca="1" si="214"/>
        <v>5678</v>
      </c>
      <c r="I1091">
        <f t="shared" ca="1" si="215"/>
        <v>1</v>
      </c>
      <c r="J1091">
        <f t="shared" ca="1" si="216"/>
        <v>1</v>
      </c>
      <c r="K1091">
        <f t="shared" ca="1" si="217"/>
        <v>0</v>
      </c>
      <c r="L1091">
        <f t="shared" ca="1" si="218"/>
        <v>0</v>
      </c>
      <c r="M1091">
        <f t="shared" ca="1" si="219"/>
        <v>1</v>
      </c>
      <c r="N1091">
        <f t="shared" ca="1" si="220"/>
        <v>0</v>
      </c>
    </row>
    <row r="1092" spans="1:14" x14ac:dyDescent="0.35">
      <c r="A1092" t="s">
        <v>1109</v>
      </c>
      <c r="B1092" t="str">
        <f t="shared" si="208"/>
        <v>Test</v>
      </c>
      <c r="C1092">
        <f t="shared" ca="1" si="209"/>
        <v>32</v>
      </c>
      <c r="D1092" t="str">
        <f t="shared" ca="1" si="210"/>
        <v>Female</v>
      </c>
      <c r="E1092" t="str">
        <f t="shared" ca="1" si="211"/>
        <v>Sportswear</v>
      </c>
      <c r="F1092">
        <f t="shared" ca="1" si="212"/>
        <v>4224</v>
      </c>
      <c r="G1092">
        <f t="shared" ca="1" si="213"/>
        <v>20</v>
      </c>
      <c r="H1092">
        <f t="shared" ca="1" si="214"/>
        <v>3379.2000000000003</v>
      </c>
      <c r="I1092">
        <f t="shared" ca="1" si="215"/>
        <v>1</v>
      </c>
      <c r="J1092">
        <f t="shared" ca="1" si="216"/>
        <v>0</v>
      </c>
      <c r="K1092">
        <f t="shared" ca="1" si="217"/>
        <v>0</v>
      </c>
      <c r="L1092">
        <f t="shared" ca="1" si="218"/>
        <v>0</v>
      </c>
      <c r="M1092">
        <f t="shared" ca="1" si="219"/>
        <v>6</v>
      </c>
      <c r="N1092">
        <f t="shared" ca="1" si="220"/>
        <v>0</v>
      </c>
    </row>
    <row r="1093" spans="1:14" x14ac:dyDescent="0.35">
      <c r="A1093" t="s">
        <v>1110</v>
      </c>
      <c r="B1093" t="str">
        <f t="shared" ref="B1093:B1156" si="221">IF(ROW()&lt;=1001,"Control","Test")</f>
        <v>Test</v>
      </c>
      <c r="C1093">
        <f t="shared" ref="C1093:C1156" ca="1" si="222">RANDBETWEEN(18,45)</f>
        <v>43</v>
      </c>
      <c r="D1093" t="str">
        <f t="shared" ref="D1093:D1156" ca="1" si="223">CHOOSE(RANDBETWEEN(1,20),"Female","Female","Female","Female","Female","Female","Female","Female","Female","Female","Male","Male","Male","Male","Male","Male","Male","Male","Other","Other")</f>
        <v>Female</v>
      </c>
      <c r="E1093" t="str">
        <f t="shared" ref="E1093:E1156" ca="1" si="224">CHOOSE(RANDBETWEEN(1,8),"T-shirts","Dresses","Jeans","Shoes","Ethnic Wear","Tops","Sportswear","Accessories")</f>
        <v>Dresses</v>
      </c>
      <c r="F1093">
        <f t="shared" ref="F1093:F1156" ca="1" si="225">RANDBETWEEN(300,8000)</f>
        <v>684</v>
      </c>
      <c r="G1093">
        <f t="shared" ref="G1093:G1156" ca="1" si="226">IF(B1093="Control",10,CHOOSE(RANDBETWEEN(1,3),15,20,25))</f>
        <v>15</v>
      </c>
      <c r="H1093">
        <f t="shared" ref="H1093:H1156" ca="1" si="227">F1093*(1-G1093/100)</f>
        <v>581.4</v>
      </c>
      <c r="I1093">
        <f t="shared" ref="I1093:I1156" ca="1" si="228">IF(RAND()&lt;0.85,1,0)</f>
        <v>1</v>
      </c>
      <c r="J1093">
        <f t="shared" ref="J1093:J1156" ca="1" si="229">IF(I1093=1,IF(RAND()&lt;0.55,1,0),0)</f>
        <v>1</v>
      </c>
      <c r="K1093">
        <f t="shared" ref="K1093:K1156" ca="1" si="230">IF(J1093=1,IF(B1093="Test",IF(RAND()&lt;0.4,1,0),IF(RAND()&lt;0.34,1,0)),0)</f>
        <v>1</v>
      </c>
      <c r="L1093">
        <f t="shared" ref="L1093:L1156" ca="1" si="231">IF(K1093=1,H1093,0)</f>
        <v>581.4</v>
      </c>
      <c r="M1093">
        <f t="shared" ref="M1093:M1156" ca="1" si="232">RANDBETWEEN(1,7)</f>
        <v>1</v>
      </c>
      <c r="N1093">
        <f t="shared" ref="N1093:N1156" ca="1" si="233">IF(K1093=1,IF(RAND()&lt;0.15,1,0),0)</f>
        <v>0</v>
      </c>
    </row>
    <row r="1094" spans="1:14" x14ac:dyDescent="0.35">
      <c r="A1094" t="s">
        <v>1111</v>
      </c>
      <c r="B1094" t="str">
        <f t="shared" si="221"/>
        <v>Test</v>
      </c>
      <c r="C1094">
        <f t="shared" ca="1" si="222"/>
        <v>34</v>
      </c>
      <c r="D1094" t="str">
        <f t="shared" ca="1" si="223"/>
        <v>Female</v>
      </c>
      <c r="E1094" t="str">
        <f t="shared" ca="1" si="224"/>
        <v>Accessories</v>
      </c>
      <c r="F1094">
        <f t="shared" ca="1" si="225"/>
        <v>686</v>
      </c>
      <c r="G1094">
        <f t="shared" ca="1" si="226"/>
        <v>25</v>
      </c>
      <c r="H1094">
        <f t="shared" ca="1" si="227"/>
        <v>514.5</v>
      </c>
      <c r="I1094">
        <f t="shared" ca="1" si="228"/>
        <v>1</v>
      </c>
      <c r="J1094">
        <f t="shared" ca="1" si="229"/>
        <v>1</v>
      </c>
      <c r="K1094">
        <f t="shared" ca="1" si="230"/>
        <v>1</v>
      </c>
      <c r="L1094">
        <f t="shared" ca="1" si="231"/>
        <v>514.5</v>
      </c>
      <c r="M1094">
        <f t="shared" ca="1" si="232"/>
        <v>6</v>
      </c>
      <c r="N1094">
        <f t="shared" ca="1" si="233"/>
        <v>0</v>
      </c>
    </row>
    <row r="1095" spans="1:14" x14ac:dyDescent="0.35">
      <c r="A1095" t="s">
        <v>1112</v>
      </c>
      <c r="B1095" t="str">
        <f t="shared" si="221"/>
        <v>Test</v>
      </c>
      <c r="C1095">
        <f t="shared" ca="1" si="222"/>
        <v>29</v>
      </c>
      <c r="D1095" t="str">
        <f t="shared" ca="1" si="223"/>
        <v>Male</v>
      </c>
      <c r="E1095" t="str">
        <f t="shared" ca="1" si="224"/>
        <v>Tops</v>
      </c>
      <c r="F1095">
        <f t="shared" ca="1" si="225"/>
        <v>1936</v>
      </c>
      <c r="G1095">
        <f t="shared" ca="1" si="226"/>
        <v>20</v>
      </c>
      <c r="H1095">
        <f t="shared" ca="1" si="227"/>
        <v>1548.8000000000002</v>
      </c>
      <c r="I1095">
        <f t="shared" ca="1" si="228"/>
        <v>1</v>
      </c>
      <c r="J1095">
        <f t="shared" ca="1" si="229"/>
        <v>1</v>
      </c>
      <c r="K1095">
        <f t="shared" ca="1" si="230"/>
        <v>1</v>
      </c>
      <c r="L1095">
        <f t="shared" ca="1" si="231"/>
        <v>1548.8000000000002</v>
      </c>
      <c r="M1095">
        <f t="shared" ca="1" si="232"/>
        <v>5</v>
      </c>
      <c r="N1095">
        <f t="shared" ca="1" si="233"/>
        <v>0</v>
      </c>
    </row>
    <row r="1096" spans="1:14" x14ac:dyDescent="0.35">
      <c r="A1096" t="s">
        <v>1113</v>
      </c>
      <c r="B1096" t="str">
        <f t="shared" si="221"/>
        <v>Test</v>
      </c>
      <c r="C1096">
        <f t="shared" ca="1" si="222"/>
        <v>45</v>
      </c>
      <c r="D1096" t="str">
        <f t="shared" ca="1" si="223"/>
        <v>Male</v>
      </c>
      <c r="E1096" t="str">
        <f t="shared" ca="1" si="224"/>
        <v>T-shirts</v>
      </c>
      <c r="F1096">
        <f t="shared" ca="1" si="225"/>
        <v>2515</v>
      </c>
      <c r="G1096">
        <f t="shared" ca="1" si="226"/>
        <v>25</v>
      </c>
      <c r="H1096">
        <f t="shared" ca="1" si="227"/>
        <v>1886.25</v>
      </c>
      <c r="I1096">
        <f t="shared" ca="1" si="228"/>
        <v>1</v>
      </c>
      <c r="J1096">
        <f t="shared" ca="1" si="229"/>
        <v>1</v>
      </c>
      <c r="K1096">
        <f t="shared" ca="1" si="230"/>
        <v>0</v>
      </c>
      <c r="L1096">
        <f t="shared" ca="1" si="231"/>
        <v>0</v>
      </c>
      <c r="M1096">
        <f t="shared" ca="1" si="232"/>
        <v>1</v>
      </c>
      <c r="N1096">
        <f t="shared" ca="1" si="233"/>
        <v>0</v>
      </c>
    </row>
    <row r="1097" spans="1:14" x14ac:dyDescent="0.35">
      <c r="A1097" t="s">
        <v>1114</v>
      </c>
      <c r="B1097" t="str">
        <f t="shared" si="221"/>
        <v>Test</v>
      </c>
      <c r="C1097">
        <f t="shared" ca="1" si="222"/>
        <v>31</v>
      </c>
      <c r="D1097" t="str">
        <f t="shared" ca="1" si="223"/>
        <v>Female</v>
      </c>
      <c r="E1097" t="str">
        <f t="shared" ca="1" si="224"/>
        <v>Ethnic Wear</v>
      </c>
      <c r="F1097">
        <f t="shared" ca="1" si="225"/>
        <v>5057</v>
      </c>
      <c r="G1097">
        <f t="shared" ca="1" si="226"/>
        <v>15</v>
      </c>
      <c r="H1097">
        <f t="shared" ca="1" si="227"/>
        <v>4298.45</v>
      </c>
      <c r="I1097">
        <f t="shared" ca="1" si="228"/>
        <v>0</v>
      </c>
      <c r="J1097">
        <f t="shared" ca="1" si="229"/>
        <v>0</v>
      </c>
      <c r="K1097">
        <f t="shared" ca="1" si="230"/>
        <v>0</v>
      </c>
      <c r="L1097">
        <f t="shared" ca="1" si="231"/>
        <v>0</v>
      </c>
      <c r="M1097">
        <f t="shared" ca="1" si="232"/>
        <v>4</v>
      </c>
      <c r="N1097">
        <f t="shared" ca="1" si="233"/>
        <v>0</v>
      </c>
    </row>
    <row r="1098" spans="1:14" x14ac:dyDescent="0.35">
      <c r="A1098" t="s">
        <v>1115</v>
      </c>
      <c r="B1098" t="str">
        <f t="shared" si="221"/>
        <v>Test</v>
      </c>
      <c r="C1098">
        <f t="shared" ca="1" si="222"/>
        <v>34</v>
      </c>
      <c r="D1098" t="str">
        <f t="shared" ca="1" si="223"/>
        <v>Female</v>
      </c>
      <c r="E1098" t="str">
        <f t="shared" ca="1" si="224"/>
        <v>Ethnic Wear</v>
      </c>
      <c r="F1098">
        <f t="shared" ca="1" si="225"/>
        <v>1247</v>
      </c>
      <c r="G1098">
        <f t="shared" ca="1" si="226"/>
        <v>20</v>
      </c>
      <c r="H1098">
        <f t="shared" ca="1" si="227"/>
        <v>997.6</v>
      </c>
      <c r="I1098">
        <f t="shared" ca="1" si="228"/>
        <v>1</v>
      </c>
      <c r="J1098">
        <f t="shared" ca="1" si="229"/>
        <v>1</v>
      </c>
      <c r="K1098">
        <f t="shared" ca="1" si="230"/>
        <v>1</v>
      </c>
      <c r="L1098">
        <f t="shared" ca="1" si="231"/>
        <v>997.6</v>
      </c>
      <c r="M1098">
        <f t="shared" ca="1" si="232"/>
        <v>1</v>
      </c>
      <c r="N1098">
        <f t="shared" ca="1" si="233"/>
        <v>0</v>
      </c>
    </row>
    <row r="1099" spans="1:14" x14ac:dyDescent="0.35">
      <c r="A1099" t="s">
        <v>1116</v>
      </c>
      <c r="B1099" t="str">
        <f t="shared" si="221"/>
        <v>Test</v>
      </c>
      <c r="C1099">
        <f t="shared" ca="1" si="222"/>
        <v>37</v>
      </c>
      <c r="D1099" t="str">
        <f t="shared" ca="1" si="223"/>
        <v>Male</v>
      </c>
      <c r="E1099" t="str">
        <f t="shared" ca="1" si="224"/>
        <v>Accessories</v>
      </c>
      <c r="F1099">
        <f t="shared" ca="1" si="225"/>
        <v>2956</v>
      </c>
      <c r="G1099">
        <f t="shared" ca="1" si="226"/>
        <v>15</v>
      </c>
      <c r="H1099">
        <f t="shared" ca="1" si="227"/>
        <v>2512.6</v>
      </c>
      <c r="I1099">
        <f t="shared" ca="1" si="228"/>
        <v>1</v>
      </c>
      <c r="J1099">
        <f t="shared" ca="1" si="229"/>
        <v>0</v>
      </c>
      <c r="K1099">
        <f t="shared" ca="1" si="230"/>
        <v>0</v>
      </c>
      <c r="L1099">
        <f t="shared" ca="1" si="231"/>
        <v>0</v>
      </c>
      <c r="M1099">
        <f t="shared" ca="1" si="232"/>
        <v>6</v>
      </c>
      <c r="N1099">
        <f t="shared" ca="1" si="233"/>
        <v>0</v>
      </c>
    </row>
    <row r="1100" spans="1:14" x14ac:dyDescent="0.35">
      <c r="A1100" t="s">
        <v>1117</v>
      </c>
      <c r="B1100" t="str">
        <f t="shared" si="221"/>
        <v>Test</v>
      </c>
      <c r="C1100">
        <f t="shared" ca="1" si="222"/>
        <v>30</v>
      </c>
      <c r="D1100" t="str">
        <f t="shared" ca="1" si="223"/>
        <v>Male</v>
      </c>
      <c r="E1100" t="str">
        <f t="shared" ca="1" si="224"/>
        <v>Jeans</v>
      </c>
      <c r="F1100">
        <f t="shared" ca="1" si="225"/>
        <v>4039</v>
      </c>
      <c r="G1100">
        <f t="shared" ca="1" si="226"/>
        <v>25</v>
      </c>
      <c r="H1100">
        <f t="shared" ca="1" si="227"/>
        <v>3029.25</v>
      </c>
      <c r="I1100">
        <f t="shared" ca="1" si="228"/>
        <v>1</v>
      </c>
      <c r="J1100">
        <f t="shared" ca="1" si="229"/>
        <v>1</v>
      </c>
      <c r="K1100">
        <f t="shared" ca="1" si="230"/>
        <v>0</v>
      </c>
      <c r="L1100">
        <f t="shared" ca="1" si="231"/>
        <v>0</v>
      </c>
      <c r="M1100">
        <f t="shared" ca="1" si="232"/>
        <v>4</v>
      </c>
      <c r="N1100">
        <f t="shared" ca="1" si="233"/>
        <v>0</v>
      </c>
    </row>
    <row r="1101" spans="1:14" x14ac:dyDescent="0.35">
      <c r="A1101" t="s">
        <v>1118</v>
      </c>
      <c r="B1101" t="str">
        <f t="shared" si="221"/>
        <v>Test</v>
      </c>
      <c r="C1101">
        <f t="shared" ca="1" si="222"/>
        <v>33</v>
      </c>
      <c r="D1101" t="str">
        <f t="shared" ca="1" si="223"/>
        <v>Male</v>
      </c>
      <c r="E1101" t="str">
        <f t="shared" ca="1" si="224"/>
        <v>Dresses</v>
      </c>
      <c r="F1101">
        <f t="shared" ca="1" si="225"/>
        <v>675</v>
      </c>
      <c r="G1101">
        <f t="shared" ca="1" si="226"/>
        <v>25</v>
      </c>
      <c r="H1101">
        <f t="shared" ca="1" si="227"/>
        <v>506.25</v>
      </c>
      <c r="I1101">
        <f t="shared" ca="1" si="228"/>
        <v>1</v>
      </c>
      <c r="J1101">
        <f t="shared" ca="1" si="229"/>
        <v>1</v>
      </c>
      <c r="K1101">
        <f t="shared" ca="1" si="230"/>
        <v>0</v>
      </c>
      <c r="L1101">
        <f t="shared" ca="1" si="231"/>
        <v>0</v>
      </c>
      <c r="M1101">
        <f t="shared" ca="1" si="232"/>
        <v>6</v>
      </c>
      <c r="N1101">
        <f t="shared" ca="1" si="233"/>
        <v>0</v>
      </c>
    </row>
    <row r="1102" spans="1:14" x14ac:dyDescent="0.35">
      <c r="A1102" t="s">
        <v>1119</v>
      </c>
      <c r="B1102" t="str">
        <f t="shared" si="221"/>
        <v>Test</v>
      </c>
      <c r="C1102">
        <f t="shared" ca="1" si="222"/>
        <v>21</v>
      </c>
      <c r="D1102" t="str">
        <f t="shared" ca="1" si="223"/>
        <v>Male</v>
      </c>
      <c r="E1102" t="str">
        <f t="shared" ca="1" si="224"/>
        <v>Dresses</v>
      </c>
      <c r="F1102">
        <f t="shared" ca="1" si="225"/>
        <v>5264</v>
      </c>
      <c r="G1102">
        <f t="shared" ca="1" si="226"/>
        <v>15</v>
      </c>
      <c r="H1102">
        <f t="shared" ca="1" si="227"/>
        <v>4474.3999999999996</v>
      </c>
      <c r="I1102">
        <f t="shared" ca="1" si="228"/>
        <v>1</v>
      </c>
      <c r="J1102">
        <f t="shared" ca="1" si="229"/>
        <v>1</v>
      </c>
      <c r="K1102">
        <f t="shared" ca="1" si="230"/>
        <v>0</v>
      </c>
      <c r="L1102">
        <f t="shared" ca="1" si="231"/>
        <v>0</v>
      </c>
      <c r="M1102">
        <f t="shared" ca="1" si="232"/>
        <v>5</v>
      </c>
      <c r="N1102">
        <f t="shared" ca="1" si="233"/>
        <v>0</v>
      </c>
    </row>
    <row r="1103" spans="1:14" x14ac:dyDescent="0.35">
      <c r="A1103" t="s">
        <v>1120</v>
      </c>
      <c r="B1103" t="str">
        <f t="shared" si="221"/>
        <v>Test</v>
      </c>
      <c r="C1103">
        <f t="shared" ca="1" si="222"/>
        <v>27</v>
      </c>
      <c r="D1103" t="str">
        <f t="shared" ca="1" si="223"/>
        <v>Male</v>
      </c>
      <c r="E1103" t="str">
        <f t="shared" ca="1" si="224"/>
        <v>Jeans</v>
      </c>
      <c r="F1103">
        <f t="shared" ca="1" si="225"/>
        <v>1598</v>
      </c>
      <c r="G1103">
        <f t="shared" ca="1" si="226"/>
        <v>20</v>
      </c>
      <c r="H1103">
        <f t="shared" ca="1" si="227"/>
        <v>1278.4000000000001</v>
      </c>
      <c r="I1103">
        <f t="shared" ca="1" si="228"/>
        <v>1</v>
      </c>
      <c r="J1103">
        <f t="shared" ca="1" si="229"/>
        <v>1</v>
      </c>
      <c r="K1103">
        <f t="shared" ca="1" si="230"/>
        <v>1</v>
      </c>
      <c r="L1103">
        <f t="shared" ca="1" si="231"/>
        <v>1278.4000000000001</v>
      </c>
      <c r="M1103">
        <f t="shared" ca="1" si="232"/>
        <v>6</v>
      </c>
      <c r="N1103">
        <f t="shared" ca="1" si="233"/>
        <v>0</v>
      </c>
    </row>
    <row r="1104" spans="1:14" x14ac:dyDescent="0.35">
      <c r="A1104" t="s">
        <v>1121</v>
      </c>
      <c r="B1104" t="str">
        <f t="shared" si="221"/>
        <v>Test</v>
      </c>
      <c r="C1104">
        <f t="shared" ca="1" si="222"/>
        <v>42</v>
      </c>
      <c r="D1104" t="str">
        <f t="shared" ca="1" si="223"/>
        <v>Female</v>
      </c>
      <c r="E1104" t="str">
        <f t="shared" ca="1" si="224"/>
        <v>Ethnic Wear</v>
      </c>
      <c r="F1104">
        <f t="shared" ca="1" si="225"/>
        <v>4735</v>
      </c>
      <c r="G1104">
        <f t="shared" ca="1" si="226"/>
        <v>25</v>
      </c>
      <c r="H1104">
        <f t="shared" ca="1" si="227"/>
        <v>3551.25</v>
      </c>
      <c r="I1104">
        <f t="shared" ca="1" si="228"/>
        <v>1</v>
      </c>
      <c r="J1104">
        <f t="shared" ca="1" si="229"/>
        <v>0</v>
      </c>
      <c r="K1104">
        <f t="shared" ca="1" si="230"/>
        <v>0</v>
      </c>
      <c r="L1104">
        <f t="shared" ca="1" si="231"/>
        <v>0</v>
      </c>
      <c r="M1104">
        <f t="shared" ca="1" si="232"/>
        <v>1</v>
      </c>
      <c r="N1104">
        <f t="shared" ca="1" si="233"/>
        <v>0</v>
      </c>
    </row>
    <row r="1105" spans="1:14" x14ac:dyDescent="0.35">
      <c r="A1105" t="s">
        <v>1122</v>
      </c>
      <c r="B1105" t="str">
        <f t="shared" si="221"/>
        <v>Test</v>
      </c>
      <c r="C1105">
        <f t="shared" ca="1" si="222"/>
        <v>41</v>
      </c>
      <c r="D1105" t="str">
        <f t="shared" ca="1" si="223"/>
        <v>Female</v>
      </c>
      <c r="E1105" t="str">
        <f t="shared" ca="1" si="224"/>
        <v>Ethnic Wear</v>
      </c>
      <c r="F1105">
        <f t="shared" ca="1" si="225"/>
        <v>484</v>
      </c>
      <c r="G1105">
        <f t="shared" ca="1" si="226"/>
        <v>15</v>
      </c>
      <c r="H1105">
        <f t="shared" ca="1" si="227"/>
        <v>411.4</v>
      </c>
      <c r="I1105">
        <f t="shared" ca="1" si="228"/>
        <v>1</v>
      </c>
      <c r="J1105">
        <f t="shared" ca="1" si="229"/>
        <v>0</v>
      </c>
      <c r="K1105">
        <f t="shared" ca="1" si="230"/>
        <v>0</v>
      </c>
      <c r="L1105">
        <f t="shared" ca="1" si="231"/>
        <v>0</v>
      </c>
      <c r="M1105">
        <f t="shared" ca="1" si="232"/>
        <v>6</v>
      </c>
      <c r="N1105">
        <f t="shared" ca="1" si="233"/>
        <v>0</v>
      </c>
    </row>
    <row r="1106" spans="1:14" x14ac:dyDescent="0.35">
      <c r="A1106" t="s">
        <v>1123</v>
      </c>
      <c r="B1106" t="str">
        <f t="shared" si="221"/>
        <v>Test</v>
      </c>
      <c r="C1106">
        <f t="shared" ca="1" si="222"/>
        <v>18</v>
      </c>
      <c r="D1106" t="str">
        <f t="shared" ca="1" si="223"/>
        <v>Female</v>
      </c>
      <c r="E1106" t="str">
        <f t="shared" ca="1" si="224"/>
        <v>Shoes</v>
      </c>
      <c r="F1106">
        <f t="shared" ca="1" si="225"/>
        <v>2504</v>
      </c>
      <c r="G1106">
        <f t="shared" ca="1" si="226"/>
        <v>15</v>
      </c>
      <c r="H1106">
        <f t="shared" ca="1" si="227"/>
        <v>2128.4</v>
      </c>
      <c r="I1106">
        <f t="shared" ca="1" si="228"/>
        <v>1</v>
      </c>
      <c r="J1106">
        <f t="shared" ca="1" si="229"/>
        <v>0</v>
      </c>
      <c r="K1106">
        <f t="shared" ca="1" si="230"/>
        <v>0</v>
      </c>
      <c r="L1106">
        <f t="shared" ca="1" si="231"/>
        <v>0</v>
      </c>
      <c r="M1106">
        <f t="shared" ca="1" si="232"/>
        <v>1</v>
      </c>
      <c r="N1106">
        <f t="shared" ca="1" si="233"/>
        <v>0</v>
      </c>
    </row>
    <row r="1107" spans="1:14" x14ac:dyDescent="0.35">
      <c r="A1107" t="s">
        <v>1124</v>
      </c>
      <c r="B1107" t="str">
        <f t="shared" si="221"/>
        <v>Test</v>
      </c>
      <c r="C1107">
        <f t="shared" ca="1" si="222"/>
        <v>22</v>
      </c>
      <c r="D1107" t="str">
        <f t="shared" ca="1" si="223"/>
        <v>Female</v>
      </c>
      <c r="E1107" t="str">
        <f t="shared" ca="1" si="224"/>
        <v>Jeans</v>
      </c>
      <c r="F1107">
        <f t="shared" ca="1" si="225"/>
        <v>3989</v>
      </c>
      <c r="G1107">
        <f t="shared" ca="1" si="226"/>
        <v>15</v>
      </c>
      <c r="H1107">
        <f t="shared" ca="1" si="227"/>
        <v>3390.65</v>
      </c>
      <c r="I1107">
        <f t="shared" ca="1" si="228"/>
        <v>1</v>
      </c>
      <c r="J1107">
        <f t="shared" ca="1" si="229"/>
        <v>0</v>
      </c>
      <c r="K1107">
        <f t="shared" ca="1" si="230"/>
        <v>0</v>
      </c>
      <c r="L1107">
        <f t="shared" ca="1" si="231"/>
        <v>0</v>
      </c>
      <c r="M1107">
        <f t="shared" ca="1" si="232"/>
        <v>7</v>
      </c>
      <c r="N1107">
        <f t="shared" ca="1" si="233"/>
        <v>0</v>
      </c>
    </row>
    <row r="1108" spans="1:14" x14ac:dyDescent="0.35">
      <c r="A1108" t="s">
        <v>1125</v>
      </c>
      <c r="B1108" t="str">
        <f t="shared" si="221"/>
        <v>Test</v>
      </c>
      <c r="C1108">
        <f t="shared" ca="1" si="222"/>
        <v>38</v>
      </c>
      <c r="D1108" t="str">
        <f t="shared" ca="1" si="223"/>
        <v>Male</v>
      </c>
      <c r="E1108" t="str">
        <f t="shared" ca="1" si="224"/>
        <v>Dresses</v>
      </c>
      <c r="F1108">
        <f t="shared" ca="1" si="225"/>
        <v>1112</v>
      </c>
      <c r="G1108">
        <f t="shared" ca="1" si="226"/>
        <v>25</v>
      </c>
      <c r="H1108">
        <f t="shared" ca="1" si="227"/>
        <v>834</v>
      </c>
      <c r="I1108">
        <f t="shared" ca="1" si="228"/>
        <v>1</v>
      </c>
      <c r="J1108">
        <f t="shared" ca="1" si="229"/>
        <v>1</v>
      </c>
      <c r="K1108">
        <f t="shared" ca="1" si="230"/>
        <v>1</v>
      </c>
      <c r="L1108">
        <f t="shared" ca="1" si="231"/>
        <v>834</v>
      </c>
      <c r="M1108">
        <f t="shared" ca="1" si="232"/>
        <v>6</v>
      </c>
      <c r="N1108">
        <f t="shared" ca="1" si="233"/>
        <v>1</v>
      </c>
    </row>
    <row r="1109" spans="1:14" x14ac:dyDescent="0.35">
      <c r="A1109" t="s">
        <v>1126</v>
      </c>
      <c r="B1109" t="str">
        <f t="shared" si="221"/>
        <v>Test</v>
      </c>
      <c r="C1109">
        <f t="shared" ca="1" si="222"/>
        <v>40</v>
      </c>
      <c r="D1109" t="str">
        <f t="shared" ca="1" si="223"/>
        <v>Female</v>
      </c>
      <c r="E1109" t="str">
        <f t="shared" ca="1" si="224"/>
        <v>Jeans</v>
      </c>
      <c r="F1109">
        <f t="shared" ca="1" si="225"/>
        <v>5967</v>
      </c>
      <c r="G1109">
        <f t="shared" ca="1" si="226"/>
        <v>15</v>
      </c>
      <c r="H1109">
        <f t="shared" ca="1" si="227"/>
        <v>5071.95</v>
      </c>
      <c r="I1109">
        <f t="shared" ca="1" si="228"/>
        <v>1</v>
      </c>
      <c r="J1109">
        <f t="shared" ca="1" si="229"/>
        <v>1</v>
      </c>
      <c r="K1109">
        <f t="shared" ca="1" si="230"/>
        <v>0</v>
      </c>
      <c r="L1109">
        <f t="shared" ca="1" si="231"/>
        <v>0</v>
      </c>
      <c r="M1109">
        <f t="shared" ca="1" si="232"/>
        <v>5</v>
      </c>
      <c r="N1109">
        <f t="shared" ca="1" si="233"/>
        <v>0</v>
      </c>
    </row>
    <row r="1110" spans="1:14" x14ac:dyDescent="0.35">
      <c r="A1110" t="s">
        <v>1127</v>
      </c>
      <c r="B1110" t="str">
        <f t="shared" si="221"/>
        <v>Test</v>
      </c>
      <c r="C1110">
        <f t="shared" ca="1" si="222"/>
        <v>29</v>
      </c>
      <c r="D1110" t="str">
        <f t="shared" ca="1" si="223"/>
        <v>Female</v>
      </c>
      <c r="E1110" t="str">
        <f t="shared" ca="1" si="224"/>
        <v>Dresses</v>
      </c>
      <c r="F1110">
        <f t="shared" ca="1" si="225"/>
        <v>3788</v>
      </c>
      <c r="G1110">
        <f t="shared" ca="1" si="226"/>
        <v>25</v>
      </c>
      <c r="H1110">
        <f t="shared" ca="1" si="227"/>
        <v>2841</v>
      </c>
      <c r="I1110">
        <f t="shared" ca="1" si="228"/>
        <v>1</v>
      </c>
      <c r="J1110">
        <f t="shared" ca="1" si="229"/>
        <v>0</v>
      </c>
      <c r="K1110">
        <f t="shared" ca="1" si="230"/>
        <v>0</v>
      </c>
      <c r="L1110">
        <f t="shared" ca="1" si="231"/>
        <v>0</v>
      </c>
      <c r="M1110">
        <f t="shared" ca="1" si="232"/>
        <v>5</v>
      </c>
      <c r="N1110">
        <f t="shared" ca="1" si="233"/>
        <v>0</v>
      </c>
    </row>
    <row r="1111" spans="1:14" x14ac:dyDescent="0.35">
      <c r="A1111" t="s">
        <v>1128</v>
      </c>
      <c r="B1111" t="str">
        <f t="shared" si="221"/>
        <v>Test</v>
      </c>
      <c r="C1111">
        <f t="shared" ca="1" si="222"/>
        <v>26</v>
      </c>
      <c r="D1111" t="str">
        <f t="shared" ca="1" si="223"/>
        <v>Male</v>
      </c>
      <c r="E1111" t="str">
        <f t="shared" ca="1" si="224"/>
        <v>Accessories</v>
      </c>
      <c r="F1111">
        <f t="shared" ca="1" si="225"/>
        <v>7493</v>
      </c>
      <c r="G1111">
        <f t="shared" ca="1" si="226"/>
        <v>25</v>
      </c>
      <c r="H1111">
        <f t="shared" ca="1" si="227"/>
        <v>5619.75</v>
      </c>
      <c r="I1111">
        <f t="shared" ca="1" si="228"/>
        <v>1</v>
      </c>
      <c r="J1111">
        <f t="shared" ca="1" si="229"/>
        <v>0</v>
      </c>
      <c r="K1111">
        <f t="shared" ca="1" si="230"/>
        <v>0</v>
      </c>
      <c r="L1111">
        <f t="shared" ca="1" si="231"/>
        <v>0</v>
      </c>
      <c r="M1111">
        <f t="shared" ca="1" si="232"/>
        <v>7</v>
      </c>
      <c r="N1111">
        <f t="shared" ca="1" si="233"/>
        <v>0</v>
      </c>
    </row>
    <row r="1112" spans="1:14" x14ac:dyDescent="0.35">
      <c r="A1112" t="s">
        <v>1129</v>
      </c>
      <c r="B1112" t="str">
        <f t="shared" si="221"/>
        <v>Test</v>
      </c>
      <c r="C1112">
        <f t="shared" ca="1" si="222"/>
        <v>21</v>
      </c>
      <c r="D1112" t="str">
        <f t="shared" ca="1" si="223"/>
        <v>Male</v>
      </c>
      <c r="E1112" t="str">
        <f t="shared" ca="1" si="224"/>
        <v>Accessories</v>
      </c>
      <c r="F1112">
        <f t="shared" ca="1" si="225"/>
        <v>6363</v>
      </c>
      <c r="G1112">
        <f t="shared" ca="1" si="226"/>
        <v>25</v>
      </c>
      <c r="H1112">
        <f t="shared" ca="1" si="227"/>
        <v>4772.25</v>
      </c>
      <c r="I1112">
        <f t="shared" ca="1" si="228"/>
        <v>0</v>
      </c>
      <c r="J1112">
        <f t="shared" ca="1" si="229"/>
        <v>0</v>
      </c>
      <c r="K1112">
        <f t="shared" ca="1" si="230"/>
        <v>0</v>
      </c>
      <c r="L1112">
        <f t="shared" ca="1" si="231"/>
        <v>0</v>
      </c>
      <c r="M1112">
        <f t="shared" ca="1" si="232"/>
        <v>2</v>
      </c>
      <c r="N1112">
        <f t="shared" ca="1" si="233"/>
        <v>0</v>
      </c>
    </row>
    <row r="1113" spans="1:14" x14ac:dyDescent="0.35">
      <c r="A1113" t="s">
        <v>1130</v>
      </c>
      <c r="B1113" t="str">
        <f t="shared" si="221"/>
        <v>Test</v>
      </c>
      <c r="C1113">
        <f t="shared" ca="1" si="222"/>
        <v>20</v>
      </c>
      <c r="D1113" t="str">
        <f t="shared" ca="1" si="223"/>
        <v>Male</v>
      </c>
      <c r="E1113" t="str">
        <f t="shared" ca="1" si="224"/>
        <v>Jeans</v>
      </c>
      <c r="F1113">
        <f t="shared" ca="1" si="225"/>
        <v>6478</v>
      </c>
      <c r="G1113">
        <f t="shared" ca="1" si="226"/>
        <v>15</v>
      </c>
      <c r="H1113">
        <f t="shared" ca="1" si="227"/>
        <v>5506.3</v>
      </c>
      <c r="I1113">
        <f t="shared" ca="1" si="228"/>
        <v>1</v>
      </c>
      <c r="J1113">
        <f t="shared" ca="1" si="229"/>
        <v>0</v>
      </c>
      <c r="K1113">
        <f t="shared" ca="1" si="230"/>
        <v>0</v>
      </c>
      <c r="L1113">
        <f t="shared" ca="1" si="231"/>
        <v>0</v>
      </c>
      <c r="M1113">
        <f t="shared" ca="1" si="232"/>
        <v>7</v>
      </c>
      <c r="N1113">
        <f t="shared" ca="1" si="233"/>
        <v>0</v>
      </c>
    </row>
    <row r="1114" spans="1:14" x14ac:dyDescent="0.35">
      <c r="A1114" t="s">
        <v>1131</v>
      </c>
      <c r="B1114" t="str">
        <f t="shared" si="221"/>
        <v>Test</v>
      </c>
      <c r="C1114">
        <f t="shared" ca="1" si="222"/>
        <v>31</v>
      </c>
      <c r="D1114" t="str">
        <f t="shared" ca="1" si="223"/>
        <v>Male</v>
      </c>
      <c r="E1114" t="str">
        <f t="shared" ca="1" si="224"/>
        <v>Ethnic Wear</v>
      </c>
      <c r="F1114">
        <f t="shared" ca="1" si="225"/>
        <v>2117</v>
      </c>
      <c r="G1114">
        <f t="shared" ca="1" si="226"/>
        <v>25</v>
      </c>
      <c r="H1114">
        <f t="shared" ca="1" si="227"/>
        <v>1587.75</v>
      </c>
      <c r="I1114">
        <f t="shared" ca="1" si="228"/>
        <v>1</v>
      </c>
      <c r="J1114">
        <f t="shared" ca="1" si="229"/>
        <v>0</v>
      </c>
      <c r="K1114">
        <f t="shared" ca="1" si="230"/>
        <v>0</v>
      </c>
      <c r="L1114">
        <f t="shared" ca="1" si="231"/>
        <v>0</v>
      </c>
      <c r="M1114">
        <f t="shared" ca="1" si="232"/>
        <v>3</v>
      </c>
      <c r="N1114">
        <f t="shared" ca="1" si="233"/>
        <v>0</v>
      </c>
    </row>
    <row r="1115" spans="1:14" x14ac:dyDescent="0.35">
      <c r="A1115" t="s">
        <v>1132</v>
      </c>
      <c r="B1115" t="str">
        <f t="shared" si="221"/>
        <v>Test</v>
      </c>
      <c r="C1115">
        <f t="shared" ca="1" si="222"/>
        <v>27</v>
      </c>
      <c r="D1115" t="str">
        <f t="shared" ca="1" si="223"/>
        <v>Female</v>
      </c>
      <c r="E1115" t="str">
        <f t="shared" ca="1" si="224"/>
        <v>Dresses</v>
      </c>
      <c r="F1115">
        <f t="shared" ca="1" si="225"/>
        <v>4989</v>
      </c>
      <c r="G1115">
        <f t="shared" ca="1" si="226"/>
        <v>20</v>
      </c>
      <c r="H1115">
        <f t="shared" ca="1" si="227"/>
        <v>3991.2000000000003</v>
      </c>
      <c r="I1115">
        <f t="shared" ca="1" si="228"/>
        <v>1</v>
      </c>
      <c r="J1115">
        <f t="shared" ca="1" si="229"/>
        <v>1</v>
      </c>
      <c r="K1115">
        <f t="shared" ca="1" si="230"/>
        <v>0</v>
      </c>
      <c r="L1115">
        <f t="shared" ca="1" si="231"/>
        <v>0</v>
      </c>
      <c r="M1115">
        <f t="shared" ca="1" si="232"/>
        <v>6</v>
      </c>
      <c r="N1115">
        <f t="shared" ca="1" si="233"/>
        <v>0</v>
      </c>
    </row>
    <row r="1116" spans="1:14" x14ac:dyDescent="0.35">
      <c r="A1116" t="s">
        <v>1133</v>
      </c>
      <c r="B1116" t="str">
        <f t="shared" si="221"/>
        <v>Test</v>
      </c>
      <c r="C1116">
        <f t="shared" ca="1" si="222"/>
        <v>23</v>
      </c>
      <c r="D1116" t="str">
        <f t="shared" ca="1" si="223"/>
        <v>Female</v>
      </c>
      <c r="E1116" t="str">
        <f t="shared" ca="1" si="224"/>
        <v>T-shirts</v>
      </c>
      <c r="F1116">
        <f t="shared" ca="1" si="225"/>
        <v>2243</v>
      </c>
      <c r="G1116">
        <f t="shared" ca="1" si="226"/>
        <v>15</v>
      </c>
      <c r="H1116">
        <f t="shared" ca="1" si="227"/>
        <v>1906.55</v>
      </c>
      <c r="I1116">
        <f t="shared" ca="1" si="228"/>
        <v>1</v>
      </c>
      <c r="J1116">
        <f t="shared" ca="1" si="229"/>
        <v>1</v>
      </c>
      <c r="K1116">
        <f t="shared" ca="1" si="230"/>
        <v>0</v>
      </c>
      <c r="L1116">
        <f t="shared" ca="1" si="231"/>
        <v>0</v>
      </c>
      <c r="M1116">
        <f t="shared" ca="1" si="232"/>
        <v>4</v>
      </c>
      <c r="N1116">
        <f t="shared" ca="1" si="233"/>
        <v>0</v>
      </c>
    </row>
    <row r="1117" spans="1:14" x14ac:dyDescent="0.35">
      <c r="A1117" t="s">
        <v>1134</v>
      </c>
      <c r="B1117" t="str">
        <f t="shared" si="221"/>
        <v>Test</v>
      </c>
      <c r="C1117">
        <f t="shared" ca="1" si="222"/>
        <v>20</v>
      </c>
      <c r="D1117" t="str">
        <f t="shared" ca="1" si="223"/>
        <v>Male</v>
      </c>
      <c r="E1117" t="str">
        <f t="shared" ca="1" si="224"/>
        <v>Ethnic Wear</v>
      </c>
      <c r="F1117">
        <f t="shared" ca="1" si="225"/>
        <v>6319</v>
      </c>
      <c r="G1117">
        <f t="shared" ca="1" si="226"/>
        <v>25</v>
      </c>
      <c r="H1117">
        <f t="shared" ca="1" si="227"/>
        <v>4739.25</v>
      </c>
      <c r="I1117">
        <f t="shared" ca="1" si="228"/>
        <v>1</v>
      </c>
      <c r="J1117">
        <f t="shared" ca="1" si="229"/>
        <v>1</v>
      </c>
      <c r="K1117">
        <f t="shared" ca="1" si="230"/>
        <v>0</v>
      </c>
      <c r="L1117">
        <f t="shared" ca="1" si="231"/>
        <v>0</v>
      </c>
      <c r="M1117">
        <f t="shared" ca="1" si="232"/>
        <v>3</v>
      </c>
      <c r="N1117">
        <f t="shared" ca="1" si="233"/>
        <v>0</v>
      </c>
    </row>
    <row r="1118" spans="1:14" x14ac:dyDescent="0.35">
      <c r="A1118" t="s">
        <v>1135</v>
      </c>
      <c r="B1118" t="str">
        <f t="shared" si="221"/>
        <v>Test</v>
      </c>
      <c r="C1118">
        <f t="shared" ca="1" si="222"/>
        <v>24</v>
      </c>
      <c r="D1118" t="str">
        <f t="shared" ca="1" si="223"/>
        <v>Male</v>
      </c>
      <c r="E1118" t="str">
        <f t="shared" ca="1" si="224"/>
        <v>Ethnic Wear</v>
      </c>
      <c r="F1118">
        <f t="shared" ca="1" si="225"/>
        <v>303</v>
      </c>
      <c r="G1118">
        <f t="shared" ca="1" si="226"/>
        <v>25</v>
      </c>
      <c r="H1118">
        <f t="shared" ca="1" si="227"/>
        <v>227.25</v>
      </c>
      <c r="I1118">
        <f t="shared" ca="1" si="228"/>
        <v>1</v>
      </c>
      <c r="J1118">
        <f t="shared" ca="1" si="229"/>
        <v>1</v>
      </c>
      <c r="K1118">
        <f t="shared" ca="1" si="230"/>
        <v>1</v>
      </c>
      <c r="L1118">
        <f t="shared" ca="1" si="231"/>
        <v>227.25</v>
      </c>
      <c r="M1118">
        <f t="shared" ca="1" si="232"/>
        <v>6</v>
      </c>
      <c r="N1118">
        <f t="shared" ca="1" si="233"/>
        <v>0</v>
      </c>
    </row>
    <row r="1119" spans="1:14" x14ac:dyDescent="0.35">
      <c r="A1119" t="s">
        <v>1136</v>
      </c>
      <c r="B1119" t="str">
        <f t="shared" si="221"/>
        <v>Test</v>
      </c>
      <c r="C1119">
        <f t="shared" ca="1" si="222"/>
        <v>19</v>
      </c>
      <c r="D1119" t="str">
        <f t="shared" ca="1" si="223"/>
        <v>Female</v>
      </c>
      <c r="E1119" t="str">
        <f t="shared" ca="1" si="224"/>
        <v>Tops</v>
      </c>
      <c r="F1119">
        <f t="shared" ca="1" si="225"/>
        <v>652</v>
      </c>
      <c r="G1119">
        <f t="shared" ca="1" si="226"/>
        <v>25</v>
      </c>
      <c r="H1119">
        <f t="shared" ca="1" si="227"/>
        <v>489</v>
      </c>
      <c r="I1119">
        <f t="shared" ca="1" si="228"/>
        <v>1</v>
      </c>
      <c r="J1119">
        <f t="shared" ca="1" si="229"/>
        <v>0</v>
      </c>
      <c r="K1119">
        <f t="shared" ca="1" si="230"/>
        <v>0</v>
      </c>
      <c r="L1119">
        <f t="shared" ca="1" si="231"/>
        <v>0</v>
      </c>
      <c r="M1119">
        <f t="shared" ca="1" si="232"/>
        <v>4</v>
      </c>
      <c r="N1119">
        <f t="shared" ca="1" si="233"/>
        <v>0</v>
      </c>
    </row>
    <row r="1120" spans="1:14" x14ac:dyDescent="0.35">
      <c r="A1120" t="s">
        <v>1137</v>
      </c>
      <c r="B1120" t="str">
        <f t="shared" si="221"/>
        <v>Test</v>
      </c>
      <c r="C1120">
        <f t="shared" ca="1" si="222"/>
        <v>44</v>
      </c>
      <c r="D1120" t="str">
        <f t="shared" ca="1" si="223"/>
        <v>Female</v>
      </c>
      <c r="E1120" t="str">
        <f t="shared" ca="1" si="224"/>
        <v>Ethnic Wear</v>
      </c>
      <c r="F1120">
        <f t="shared" ca="1" si="225"/>
        <v>7731</v>
      </c>
      <c r="G1120">
        <f t="shared" ca="1" si="226"/>
        <v>25</v>
      </c>
      <c r="H1120">
        <f t="shared" ca="1" si="227"/>
        <v>5798.25</v>
      </c>
      <c r="I1120">
        <f t="shared" ca="1" si="228"/>
        <v>1</v>
      </c>
      <c r="J1120">
        <f t="shared" ca="1" si="229"/>
        <v>0</v>
      </c>
      <c r="K1120">
        <f t="shared" ca="1" si="230"/>
        <v>0</v>
      </c>
      <c r="L1120">
        <f t="shared" ca="1" si="231"/>
        <v>0</v>
      </c>
      <c r="M1120">
        <f t="shared" ca="1" si="232"/>
        <v>7</v>
      </c>
      <c r="N1120">
        <f t="shared" ca="1" si="233"/>
        <v>0</v>
      </c>
    </row>
    <row r="1121" spans="1:14" x14ac:dyDescent="0.35">
      <c r="A1121" t="s">
        <v>1138</v>
      </c>
      <c r="B1121" t="str">
        <f t="shared" si="221"/>
        <v>Test</v>
      </c>
      <c r="C1121">
        <f t="shared" ca="1" si="222"/>
        <v>18</v>
      </c>
      <c r="D1121" t="str">
        <f t="shared" ca="1" si="223"/>
        <v>Female</v>
      </c>
      <c r="E1121" t="str">
        <f t="shared" ca="1" si="224"/>
        <v>Tops</v>
      </c>
      <c r="F1121">
        <f t="shared" ca="1" si="225"/>
        <v>3848</v>
      </c>
      <c r="G1121">
        <f t="shared" ca="1" si="226"/>
        <v>20</v>
      </c>
      <c r="H1121">
        <f t="shared" ca="1" si="227"/>
        <v>3078.4</v>
      </c>
      <c r="I1121">
        <f t="shared" ca="1" si="228"/>
        <v>1</v>
      </c>
      <c r="J1121">
        <f t="shared" ca="1" si="229"/>
        <v>1</v>
      </c>
      <c r="K1121">
        <f t="shared" ca="1" si="230"/>
        <v>0</v>
      </c>
      <c r="L1121">
        <f t="shared" ca="1" si="231"/>
        <v>0</v>
      </c>
      <c r="M1121">
        <f t="shared" ca="1" si="232"/>
        <v>3</v>
      </c>
      <c r="N1121">
        <f t="shared" ca="1" si="233"/>
        <v>0</v>
      </c>
    </row>
    <row r="1122" spans="1:14" x14ac:dyDescent="0.35">
      <c r="A1122" t="s">
        <v>1139</v>
      </c>
      <c r="B1122" t="str">
        <f t="shared" si="221"/>
        <v>Test</v>
      </c>
      <c r="C1122">
        <f t="shared" ca="1" si="222"/>
        <v>23</v>
      </c>
      <c r="D1122" t="str">
        <f t="shared" ca="1" si="223"/>
        <v>Female</v>
      </c>
      <c r="E1122" t="str">
        <f t="shared" ca="1" si="224"/>
        <v>Sportswear</v>
      </c>
      <c r="F1122">
        <f t="shared" ca="1" si="225"/>
        <v>1139</v>
      </c>
      <c r="G1122">
        <f t="shared" ca="1" si="226"/>
        <v>15</v>
      </c>
      <c r="H1122">
        <f t="shared" ca="1" si="227"/>
        <v>968.15</v>
      </c>
      <c r="I1122">
        <f t="shared" ca="1" si="228"/>
        <v>1</v>
      </c>
      <c r="J1122">
        <f t="shared" ca="1" si="229"/>
        <v>1</v>
      </c>
      <c r="K1122">
        <f t="shared" ca="1" si="230"/>
        <v>1</v>
      </c>
      <c r="L1122">
        <f t="shared" ca="1" si="231"/>
        <v>968.15</v>
      </c>
      <c r="M1122">
        <f t="shared" ca="1" si="232"/>
        <v>7</v>
      </c>
      <c r="N1122">
        <f t="shared" ca="1" si="233"/>
        <v>0</v>
      </c>
    </row>
    <row r="1123" spans="1:14" x14ac:dyDescent="0.35">
      <c r="A1123" t="s">
        <v>1140</v>
      </c>
      <c r="B1123" t="str">
        <f t="shared" si="221"/>
        <v>Test</v>
      </c>
      <c r="C1123">
        <f t="shared" ca="1" si="222"/>
        <v>26</v>
      </c>
      <c r="D1123" t="str">
        <f t="shared" ca="1" si="223"/>
        <v>Male</v>
      </c>
      <c r="E1123" t="str">
        <f t="shared" ca="1" si="224"/>
        <v>T-shirts</v>
      </c>
      <c r="F1123">
        <f t="shared" ca="1" si="225"/>
        <v>6352</v>
      </c>
      <c r="G1123">
        <f t="shared" ca="1" si="226"/>
        <v>20</v>
      </c>
      <c r="H1123">
        <f t="shared" ca="1" si="227"/>
        <v>5081.6000000000004</v>
      </c>
      <c r="I1123">
        <f t="shared" ca="1" si="228"/>
        <v>1</v>
      </c>
      <c r="J1123">
        <f t="shared" ca="1" si="229"/>
        <v>1</v>
      </c>
      <c r="K1123">
        <f t="shared" ca="1" si="230"/>
        <v>0</v>
      </c>
      <c r="L1123">
        <f t="shared" ca="1" si="231"/>
        <v>0</v>
      </c>
      <c r="M1123">
        <f t="shared" ca="1" si="232"/>
        <v>3</v>
      </c>
      <c r="N1123">
        <f t="shared" ca="1" si="233"/>
        <v>0</v>
      </c>
    </row>
    <row r="1124" spans="1:14" x14ac:dyDescent="0.35">
      <c r="A1124" t="s">
        <v>1141</v>
      </c>
      <c r="B1124" t="str">
        <f t="shared" si="221"/>
        <v>Test</v>
      </c>
      <c r="C1124">
        <f t="shared" ca="1" si="222"/>
        <v>30</v>
      </c>
      <c r="D1124" t="str">
        <f t="shared" ca="1" si="223"/>
        <v>Female</v>
      </c>
      <c r="E1124" t="str">
        <f t="shared" ca="1" si="224"/>
        <v>Dresses</v>
      </c>
      <c r="F1124">
        <f t="shared" ca="1" si="225"/>
        <v>508</v>
      </c>
      <c r="G1124">
        <f t="shared" ca="1" si="226"/>
        <v>25</v>
      </c>
      <c r="H1124">
        <f t="shared" ca="1" si="227"/>
        <v>381</v>
      </c>
      <c r="I1124">
        <f t="shared" ca="1" si="228"/>
        <v>1</v>
      </c>
      <c r="J1124">
        <f t="shared" ca="1" si="229"/>
        <v>1</v>
      </c>
      <c r="K1124">
        <f t="shared" ca="1" si="230"/>
        <v>0</v>
      </c>
      <c r="L1124">
        <f t="shared" ca="1" si="231"/>
        <v>0</v>
      </c>
      <c r="M1124">
        <f t="shared" ca="1" si="232"/>
        <v>3</v>
      </c>
      <c r="N1124">
        <f t="shared" ca="1" si="233"/>
        <v>0</v>
      </c>
    </row>
    <row r="1125" spans="1:14" x14ac:dyDescent="0.35">
      <c r="A1125" t="s">
        <v>1142</v>
      </c>
      <c r="B1125" t="str">
        <f t="shared" si="221"/>
        <v>Test</v>
      </c>
      <c r="C1125">
        <f t="shared" ca="1" si="222"/>
        <v>27</v>
      </c>
      <c r="D1125" t="str">
        <f t="shared" ca="1" si="223"/>
        <v>Female</v>
      </c>
      <c r="E1125" t="str">
        <f t="shared" ca="1" si="224"/>
        <v>Shoes</v>
      </c>
      <c r="F1125">
        <f t="shared" ca="1" si="225"/>
        <v>3114</v>
      </c>
      <c r="G1125">
        <f t="shared" ca="1" si="226"/>
        <v>20</v>
      </c>
      <c r="H1125">
        <f t="shared" ca="1" si="227"/>
        <v>2491.2000000000003</v>
      </c>
      <c r="I1125">
        <f t="shared" ca="1" si="228"/>
        <v>1</v>
      </c>
      <c r="J1125">
        <f t="shared" ca="1" si="229"/>
        <v>1</v>
      </c>
      <c r="K1125">
        <f t="shared" ca="1" si="230"/>
        <v>0</v>
      </c>
      <c r="L1125">
        <f t="shared" ca="1" si="231"/>
        <v>0</v>
      </c>
      <c r="M1125">
        <f t="shared" ca="1" si="232"/>
        <v>3</v>
      </c>
      <c r="N1125">
        <f t="shared" ca="1" si="233"/>
        <v>0</v>
      </c>
    </row>
    <row r="1126" spans="1:14" x14ac:dyDescent="0.35">
      <c r="A1126" t="s">
        <v>1143</v>
      </c>
      <c r="B1126" t="str">
        <f t="shared" si="221"/>
        <v>Test</v>
      </c>
      <c r="C1126">
        <f t="shared" ca="1" si="222"/>
        <v>20</v>
      </c>
      <c r="D1126" t="str">
        <f t="shared" ca="1" si="223"/>
        <v>Male</v>
      </c>
      <c r="E1126" t="str">
        <f t="shared" ca="1" si="224"/>
        <v>T-shirts</v>
      </c>
      <c r="F1126">
        <f t="shared" ca="1" si="225"/>
        <v>1647</v>
      </c>
      <c r="G1126">
        <f t="shared" ca="1" si="226"/>
        <v>20</v>
      </c>
      <c r="H1126">
        <f t="shared" ca="1" si="227"/>
        <v>1317.6000000000001</v>
      </c>
      <c r="I1126">
        <f t="shared" ca="1" si="228"/>
        <v>1</v>
      </c>
      <c r="J1126">
        <f t="shared" ca="1" si="229"/>
        <v>1</v>
      </c>
      <c r="K1126">
        <f t="shared" ca="1" si="230"/>
        <v>1</v>
      </c>
      <c r="L1126">
        <f t="shared" ca="1" si="231"/>
        <v>1317.6000000000001</v>
      </c>
      <c r="M1126">
        <f t="shared" ca="1" si="232"/>
        <v>7</v>
      </c>
      <c r="N1126">
        <f t="shared" ca="1" si="233"/>
        <v>0</v>
      </c>
    </row>
    <row r="1127" spans="1:14" x14ac:dyDescent="0.35">
      <c r="A1127" t="s">
        <v>1144</v>
      </c>
      <c r="B1127" t="str">
        <f t="shared" si="221"/>
        <v>Test</v>
      </c>
      <c r="C1127">
        <f t="shared" ca="1" si="222"/>
        <v>41</v>
      </c>
      <c r="D1127" t="str">
        <f t="shared" ca="1" si="223"/>
        <v>Female</v>
      </c>
      <c r="E1127" t="str">
        <f t="shared" ca="1" si="224"/>
        <v>Dresses</v>
      </c>
      <c r="F1127">
        <f t="shared" ca="1" si="225"/>
        <v>5351</v>
      </c>
      <c r="G1127">
        <f t="shared" ca="1" si="226"/>
        <v>20</v>
      </c>
      <c r="H1127">
        <f t="shared" ca="1" si="227"/>
        <v>4280.8</v>
      </c>
      <c r="I1127">
        <f t="shared" ca="1" si="228"/>
        <v>1</v>
      </c>
      <c r="J1127">
        <f t="shared" ca="1" si="229"/>
        <v>0</v>
      </c>
      <c r="K1127">
        <f t="shared" ca="1" si="230"/>
        <v>0</v>
      </c>
      <c r="L1127">
        <f t="shared" ca="1" si="231"/>
        <v>0</v>
      </c>
      <c r="M1127">
        <f t="shared" ca="1" si="232"/>
        <v>6</v>
      </c>
      <c r="N1127">
        <f t="shared" ca="1" si="233"/>
        <v>0</v>
      </c>
    </row>
    <row r="1128" spans="1:14" x14ac:dyDescent="0.35">
      <c r="A1128" t="s">
        <v>1145</v>
      </c>
      <c r="B1128" t="str">
        <f t="shared" si="221"/>
        <v>Test</v>
      </c>
      <c r="C1128">
        <f t="shared" ca="1" si="222"/>
        <v>41</v>
      </c>
      <c r="D1128" t="str">
        <f t="shared" ca="1" si="223"/>
        <v>Female</v>
      </c>
      <c r="E1128" t="str">
        <f t="shared" ca="1" si="224"/>
        <v>Shoes</v>
      </c>
      <c r="F1128">
        <f t="shared" ca="1" si="225"/>
        <v>5972</v>
      </c>
      <c r="G1128">
        <f t="shared" ca="1" si="226"/>
        <v>15</v>
      </c>
      <c r="H1128">
        <f t="shared" ca="1" si="227"/>
        <v>5076.2</v>
      </c>
      <c r="I1128">
        <f t="shared" ca="1" si="228"/>
        <v>1</v>
      </c>
      <c r="J1128">
        <f t="shared" ca="1" si="229"/>
        <v>0</v>
      </c>
      <c r="K1128">
        <f t="shared" ca="1" si="230"/>
        <v>0</v>
      </c>
      <c r="L1128">
        <f t="shared" ca="1" si="231"/>
        <v>0</v>
      </c>
      <c r="M1128">
        <f t="shared" ca="1" si="232"/>
        <v>2</v>
      </c>
      <c r="N1128">
        <f t="shared" ca="1" si="233"/>
        <v>0</v>
      </c>
    </row>
    <row r="1129" spans="1:14" x14ac:dyDescent="0.35">
      <c r="A1129" t="s">
        <v>1146</v>
      </c>
      <c r="B1129" t="str">
        <f t="shared" si="221"/>
        <v>Test</v>
      </c>
      <c r="C1129">
        <f t="shared" ca="1" si="222"/>
        <v>25</v>
      </c>
      <c r="D1129" t="str">
        <f t="shared" ca="1" si="223"/>
        <v>Male</v>
      </c>
      <c r="E1129" t="str">
        <f t="shared" ca="1" si="224"/>
        <v>Dresses</v>
      </c>
      <c r="F1129">
        <f t="shared" ca="1" si="225"/>
        <v>491</v>
      </c>
      <c r="G1129">
        <f t="shared" ca="1" si="226"/>
        <v>25</v>
      </c>
      <c r="H1129">
        <f t="shared" ca="1" si="227"/>
        <v>368.25</v>
      </c>
      <c r="I1129">
        <f t="shared" ca="1" si="228"/>
        <v>1</v>
      </c>
      <c r="J1129">
        <f t="shared" ca="1" si="229"/>
        <v>0</v>
      </c>
      <c r="K1129">
        <f t="shared" ca="1" si="230"/>
        <v>0</v>
      </c>
      <c r="L1129">
        <f t="shared" ca="1" si="231"/>
        <v>0</v>
      </c>
      <c r="M1129">
        <f t="shared" ca="1" si="232"/>
        <v>5</v>
      </c>
      <c r="N1129">
        <f t="shared" ca="1" si="233"/>
        <v>0</v>
      </c>
    </row>
    <row r="1130" spans="1:14" x14ac:dyDescent="0.35">
      <c r="A1130" t="s">
        <v>1147</v>
      </c>
      <c r="B1130" t="str">
        <f t="shared" si="221"/>
        <v>Test</v>
      </c>
      <c r="C1130">
        <f t="shared" ca="1" si="222"/>
        <v>42</v>
      </c>
      <c r="D1130" t="str">
        <f t="shared" ca="1" si="223"/>
        <v>Female</v>
      </c>
      <c r="E1130" t="str">
        <f t="shared" ca="1" si="224"/>
        <v>Shoes</v>
      </c>
      <c r="F1130">
        <f t="shared" ca="1" si="225"/>
        <v>764</v>
      </c>
      <c r="G1130">
        <f t="shared" ca="1" si="226"/>
        <v>20</v>
      </c>
      <c r="H1130">
        <f t="shared" ca="1" si="227"/>
        <v>611.20000000000005</v>
      </c>
      <c r="I1130">
        <f t="shared" ca="1" si="228"/>
        <v>1</v>
      </c>
      <c r="J1130">
        <f t="shared" ca="1" si="229"/>
        <v>1</v>
      </c>
      <c r="K1130">
        <f t="shared" ca="1" si="230"/>
        <v>0</v>
      </c>
      <c r="L1130">
        <f t="shared" ca="1" si="231"/>
        <v>0</v>
      </c>
      <c r="M1130">
        <f t="shared" ca="1" si="232"/>
        <v>2</v>
      </c>
      <c r="N1130">
        <f t="shared" ca="1" si="233"/>
        <v>0</v>
      </c>
    </row>
    <row r="1131" spans="1:14" x14ac:dyDescent="0.35">
      <c r="A1131" t="s">
        <v>1148</v>
      </c>
      <c r="B1131" t="str">
        <f t="shared" si="221"/>
        <v>Test</v>
      </c>
      <c r="C1131">
        <f t="shared" ca="1" si="222"/>
        <v>41</v>
      </c>
      <c r="D1131" t="str">
        <f t="shared" ca="1" si="223"/>
        <v>Male</v>
      </c>
      <c r="E1131" t="str">
        <f t="shared" ca="1" si="224"/>
        <v>Ethnic Wear</v>
      </c>
      <c r="F1131">
        <f t="shared" ca="1" si="225"/>
        <v>687</v>
      </c>
      <c r="G1131">
        <f t="shared" ca="1" si="226"/>
        <v>20</v>
      </c>
      <c r="H1131">
        <f t="shared" ca="1" si="227"/>
        <v>549.6</v>
      </c>
      <c r="I1131">
        <f t="shared" ca="1" si="228"/>
        <v>1</v>
      </c>
      <c r="J1131">
        <f t="shared" ca="1" si="229"/>
        <v>1</v>
      </c>
      <c r="K1131">
        <f t="shared" ca="1" si="230"/>
        <v>1</v>
      </c>
      <c r="L1131">
        <f t="shared" ca="1" si="231"/>
        <v>549.6</v>
      </c>
      <c r="M1131">
        <f t="shared" ca="1" si="232"/>
        <v>3</v>
      </c>
      <c r="N1131">
        <f t="shared" ca="1" si="233"/>
        <v>0</v>
      </c>
    </row>
    <row r="1132" spans="1:14" x14ac:dyDescent="0.35">
      <c r="A1132" t="s">
        <v>1149</v>
      </c>
      <c r="B1132" t="str">
        <f t="shared" si="221"/>
        <v>Test</v>
      </c>
      <c r="C1132">
        <f t="shared" ca="1" si="222"/>
        <v>22</v>
      </c>
      <c r="D1132" t="str">
        <f t="shared" ca="1" si="223"/>
        <v>Male</v>
      </c>
      <c r="E1132" t="str">
        <f t="shared" ca="1" si="224"/>
        <v>Sportswear</v>
      </c>
      <c r="F1132">
        <f t="shared" ca="1" si="225"/>
        <v>1434</v>
      </c>
      <c r="G1132">
        <f t="shared" ca="1" si="226"/>
        <v>25</v>
      </c>
      <c r="H1132">
        <f t="shared" ca="1" si="227"/>
        <v>1075.5</v>
      </c>
      <c r="I1132">
        <f t="shared" ca="1" si="228"/>
        <v>1</v>
      </c>
      <c r="J1132">
        <f t="shared" ca="1" si="229"/>
        <v>0</v>
      </c>
      <c r="K1132">
        <f t="shared" ca="1" si="230"/>
        <v>0</v>
      </c>
      <c r="L1132">
        <f t="shared" ca="1" si="231"/>
        <v>0</v>
      </c>
      <c r="M1132">
        <f t="shared" ca="1" si="232"/>
        <v>3</v>
      </c>
      <c r="N1132">
        <f t="shared" ca="1" si="233"/>
        <v>0</v>
      </c>
    </row>
    <row r="1133" spans="1:14" x14ac:dyDescent="0.35">
      <c r="A1133" t="s">
        <v>1150</v>
      </c>
      <c r="B1133" t="str">
        <f t="shared" si="221"/>
        <v>Test</v>
      </c>
      <c r="C1133">
        <f t="shared" ca="1" si="222"/>
        <v>21</v>
      </c>
      <c r="D1133" t="str">
        <f t="shared" ca="1" si="223"/>
        <v>Male</v>
      </c>
      <c r="E1133" t="str">
        <f t="shared" ca="1" si="224"/>
        <v>Tops</v>
      </c>
      <c r="F1133">
        <f t="shared" ca="1" si="225"/>
        <v>7228</v>
      </c>
      <c r="G1133">
        <f t="shared" ca="1" si="226"/>
        <v>25</v>
      </c>
      <c r="H1133">
        <f t="shared" ca="1" si="227"/>
        <v>5421</v>
      </c>
      <c r="I1133">
        <f t="shared" ca="1" si="228"/>
        <v>1</v>
      </c>
      <c r="J1133">
        <f t="shared" ca="1" si="229"/>
        <v>1</v>
      </c>
      <c r="K1133">
        <f t="shared" ca="1" si="230"/>
        <v>0</v>
      </c>
      <c r="L1133">
        <f t="shared" ca="1" si="231"/>
        <v>0</v>
      </c>
      <c r="M1133">
        <f t="shared" ca="1" si="232"/>
        <v>3</v>
      </c>
      <c r="N1133">
        <f t="shared" ca="1" si="233"/>
        <v>0</v>
      </c>
    </row>
    <row r="1134" spans="1:14" x14ac:dyDescent="0.35">
      <c r="A1134" t="s">
        <v>1151</v>
      </c>
      <c r="B1134" t="str">
        <f t="shared" si="221"/>
        <v>Test</v>
      </c>
      <c r="C1134">
        <f t="shared" ca="1" si="222"/>
        <v>40</v>
      </c>
      <c r="D1134" t="str">
        <f t="shared" ca="1" si="223"/>
        <v>Male</v>
      </c>
      <c r="E1134" t="str">
        <f t="shared" ca="1" si="224"/>
        <v>Tops</v>
      </c>
      <c r="F1134">
        <f t="shared" ca="1" si="225"/>
        <v>2443</v>
      </c>
      <c r="G1134">
        <f t="shared" ca="1" si="226"/>
        <v>20</v>
      </c>
      <c r="H1134">
        <f t="shared" ca="1" si="227"/>
        <v>1954.4</v>
      </c>
      <c r="I1134">
        <f t="shared" ca="1" si="228"/>
        <v>1</v>
      </c>
      <c r="J1134">
        <f t="shared" ca="1" si="229"/>
        <v>1</v>
      </c>
      <c r="K1134">
        <f t="shared" ca="1" si="230"/>
        <v>0</v>
      </c>
      <c r="L1134">
        <f t="shared" ca="1" si="231"/>
        <v>0</v>
      </c>
      <c r="M1134">
        <f t="shared" ca="1" si="232"/>
        <v>7</v>
      </c>
      <c r="N1134">
        <f t="shared" ca="1" si="233"/>
        <v>0</v>
      </c>
    </row>
    <row r="1135" spans="1:14" x14ac:dyDescent="0.35">
      <c r="A1135" t="s">
        <v>1152</v>
      </c>
      <c r="B1135" t="str">
        <f t="shared" si="221"/>
        <v>Test</v>
      </c>
      <c r="C1135">
        <f t="shared" ca="1" si="222"/>
        <v>45</v>
      </c>
      <c r="D1135" t="str">
        <f t="shared" ca="1" si="223"/>
        <v>Female</v>
      </c>
      <c r="E1135" t="str">
        <f t="shared" ca="1" si="224"/>
        <v>T-shirts</v>
      </c>
      <c r="F1135">
        <f t="shared" ca="1" si="225"/>
        <v>6126</v>
      </c>
      <c r="G1135">
        <f t="shared" ca="1" si="226"/>
        <v>20</v>
      </c>
      <c r="H1135">
        <f t="shared" ca="1" si="227"/>
        <v>4900.8</v>
      </c>
      <c r="I1135">
        <f t="shared" ca="1" si="228"/>
        <v>1</v>
      </c>
      <c r="J1135">
        <f t="shared" ca="1" si="229"/>
        <v>1</v>
      </c>
      <c r="K1135">
        <f t="shared" ca="1" si="230"/>
        <v>1</v>
      </c>
      <c r="L1135">
        <f t="shared" ca="1" si="231"/>
        <v>4900.8</v>
      </c>
      <c r="M1135">
        <f t="shared" ca="1" si="232"/>
        <v>4</v>
      </c>
      <c r="N1135">
        <f t="shared" ca="1" si="233"/>
        <v>0</v>
      </c>
    </row>
    <row r="1136" spans="1:14" x14ac:dyDescent="0.35">
      <c r="A1136" t="s">
        <v>1153</v>
      </c>
      <c r="B1136" t="str">
        <f t="shared" si="221"/>
        <v>Test</v>
      </c>
      <c r="C1136">
        <f t="shared" ca="1" si="222"/>
        <v>25</v>
      </c>
      <c r="D1136" t="str">
        <f t="shared" ca="1" si="223"/>
        <v>Female</v>
      </c>
      <c r="E1136" t="str">
        <f t="shared" ca="1" si="224"/>
        <v>Dresses</v>
      </c>
      <c r="F1136">
        <f t="shared" ca="1" si="225"/>
        <v>3702</v>
      </c>
      <c r="G1136">
        <f t="shared" ca="1" si="226"/>
        <v>20</v>
      </c>
      <c r="H1136">
        <f t="shared" ca="1" si="227"/>
        <v>2961.6000000000004</v>
      </c>
      <c r="I1136">
        <f t="shared" ca="1" si="228"/>
        <v>1</v>
      </c>
      <c r="J1136">
        <f t="shared" ca="1" si="229"/>
        <v>1</v>
      </c>
      <c r="K1136">
        <f t="shared" ca="1" si="230"/>
        <v>1</v>
      </c>
      <c r="L1136">
        <f t="shared" ca="1" si="231"/>
        <v>2961.6000000000004</v>
      </c>
      <c r="M1136">
        <f t="shared" ca="1" si="232"/>
        <v>7</v>
      </c>
      <c r="N1136">
        <f t="shared" ca="1" si="233"/>
        <v>0</v>
      </c>
    </row>
    <row r="1137" spans="1:14" x14ac:dyDescent="0.35">
      <c r="A1137" t="s">
        <v>1154</v>
      </c>
      <c r="B1137" t="str">
        <f t="shared" si="221"/>
        <v>Test</v>
      </c>
      <c r="C1137">
        <f t="shared" ca="1" si="222"/>
        <v>39</v>
      </c>
      <c r="D1137" t="str">
        <f t="shared" ca="1" si="223"/>
        <v>Male</v>
      </c>
      <c r="E1137" t="str">
        <f t="shared" ca="1" si="224"/>
        <v>Dresses</v>
      </c>
      <c r="F1137">
        <f t="shared" ca="1" si="225"/>
        <v>743</v>
      </c>
      <c r="G1137">
        <f t="shared" ca="1" si="226"/>
        <v>15</v>
      </c>
      <c r="H1137">
        <f t="shared" ca="1" si="227"/>
        <v>631.54999999999995</v>
      </c>
      <c r="I1137">
        <f t="shared" ca="1" si="228"/>
        <v>1</v>
      </c>
      <c r="J1137">
        <f t="shared" ca="1" si="229"/>
        <v>1</v>
      </c>
      <c r="K1137">
        <f t="shared" ca="1" si="230"/>
        <v>0</v>
      </c>
      <c r="L1137">
        <f t="shared" ca="1" si="231"/>
        <v>0</v>
      </c>
      <c r="M1137">
        <f t="shared" ca="1" si="232"/>
        <v>3</v>
      </c>
      <c r="N1137">
        <f t="shared" ca="1" si="233"/>
        <v>0</v>
      </c>
    </row>
    <row r="1138" spans="1:14" x14ac:dyDescent="0.35">
      <c r="A1138" t="s">
        <v>1155</v>
      </c>
      <c r="B1138" t="str">
        <f t="shared" si="221"/>
        <v>Test</v>
      </c>
      <c r="C1138">
        <f t="shared" ca="1" si="222"/>
        <v>39</v>
      </c>
      <c r="D1138" t="str">
        <f t="shared" ca="1" si="223"/>
        <v>Female</v>
      </c>
      <c r="E1138" t="str">
        <f t="shared" ca="1" si="224"/>
        <v>T-shirts</v>
      </c>
      <c r="F1138">
        <f t="shared" ca="1" si="225"/>
        <v>549</v>
      </c>
      <c r="G1138">
        <f t="shared" ca="1" si="226"/>
        <v>15</v>
      </c>
      <c r="H1138">
        <f t="shared" ca="1" si="227"/>
        <v>466.65</v>
      </c>
      <c r="I1138">
        <f t="shared" ca="1" si="228"/>
        <v>1</v>
      </c>
      <c r="J1138">
        <f t="shared" ca="1" si="229"/>
        <v>0</v>
      </c>
      <c r="K1138">
        <f t="shared" ca="1" si="230"/>
        <v>0</v>
      </c>
      <c r="L1138">
        <f t="shared" ca="1" si="231"/>
        <v>0</v>
      </c>
      <c r="M1138">
        <f t="shared" ca="1" si="232"/>
        <v>7</v>
      </c>
      <c r="N1138">
        <f t="shared" ca="1" si="233"/>
        <v>0</v>
      </c>
    </row>
    <row r="1139" spans="1:14" x14ac:dyDescent="0.35">
      <c r="A1139" t="s">
        <v>1156</v>
      </c>
      <c r="B1139" t="str">
        <f t="shared" si="221"/>
        <v>Test</v>
      </c>
      <c r="C1139">
        <f t="shared" ca="1" si="222"/>
        <v>24</v>
      </c>
      <c r="D1139" t="str">
        <f t="shared" ca="1" si="223"/>
        <v>Other</v>
      </c>
      <c r="E1139" t="str">
        <f t="shared" ca="1" si="224"/>
        <v>Shoes</v>
      </c>
      <c r="F1139">
        <f t="shared" ca="1" si="225"/>
        <v>3631</v>
      </c>
      <c r="G1139">
        <f t="shared" ca="1" si="226"/>
        <v>25</v>
      </c>
      <c r="H1139">
        <f t="shared" ca="1" si="227"/>
        <v>2723.25</v>
      </c>
      <c r="I1139">
        <f t="shared" ca="1" si="228"/>
        <v>0</v>
      </c>
      <c r="J1139">
        <f t="shared" ca="1" si="229"/>
        <v>0</v>
      </c>
      <c r="K1139">
        <f t="shared" ca="1" si="230"/>
        <v>0</v>
      </c>
      <c r="L1139">
        <f t="shared" ca="1" si="231"/>
        <v>0</v>
      </c>
      <c r="M1139">
        <f t="shared" ca="1" si="232"/>
        <v>6</v>
      </c>
      <c r="N1139">
        <f t="shared" ca="1" si="233"/>
        <v>0</v>
      </c>
    </row>
    <row r="1140" spans="1:14" x14ac:dyDescent="0.35">
      <c r="A1140" t="s">
        <v>1157</v>
      </c>
      <c r="B1140" t="str">
        <f t="shared" si="221"/>
        <v>Test</v>
      </c>
      <c r="C1140">
        <f t="shared" ca="1" si="222"/>
        <v>32</v>
      </c>
      <c r="D1140" t="str">
        <f t="shared" ca="1" si="223"/>
        <v>Female</v>
      </c>
      <c r="E1140" t="str">
        <f t="shared" ca="1" si="224"/>
        <v>Sportswear</v>
      </c>
      <c r="F1140">
        <f t="shared" ca="1" si="225"/>
        <v>1681</v>
      </c>
      <c r="G1140">
        <f t="shared" ca="1" si="226"/>
        <v>25</v>
      </c>
      <c r="H1140">
        <f t="shared" ca="1" si="227"/>
        <v>1260.75</v>
      </c>
      <c r="I1140">
        <f t="shared" ca="1" si="228"/>
        <v>0</v>
      </c>
      <c r="J1140">
        <f t="shared" ca="1" si="229"/>
        <v>0</v>
      </c>
      <c r="K1140">
        <f t="shared" ca="1" si="230"/>
        <v>0</v>
      </c>
      <c r="L1140">
        <f t="shared" ca="1" si="231"/>
        <v>0</v>
      </c>
      <c r="M1140">
        <f t="shared" ca="1" si="232"/>
        <v>4</v>
      </c>
      <c r="N1140">
        <f t="shared" ca="1" si="233"/>
        <v>0</v>
      </c>
    </row>
    <row r="1141" spans="1:14" x14ac:dyDescent="0.35">
      <c r="A1141" t="s">
        <v>1158</v>
      </c>
      <c r="B1141" t="str">
        <f t="shared" si="221"/>
        <v>Test</v>
      </c>
      <c r="C1141">
        <f t="shared" ca="1" si="222"/>
        <v>24</v>
      </c>
      <c r="D1141" t="str">
        <f t="shared" ca="1" si="223"/>
        <v>Male</v>
      </c>
      <c r="E1141" t="str">
        <f t="shared" ca="1" si="224"/>
        <v>Tops</v>
      </c>
      <c r="F1141">
        <f t="shared" ca="1" si="225"/>
        <v>7363</v>
      </c>
      <c r="G1141">
        <f t="shared" ca="1" si="226"/>
        <v>15</v>
      </c>
      <c r="H1141">
        <f t="shared" ca="1" si="227"/>
        <v>6258.55</v>
      </c>
      <c r="I1141">
        <f t="shared" ca="1" si="228"/>
        <v>1</v>
      </c>
      <c r="J1141">
        <f t="shared" ca="1" si="229"/>
        <v>1</v>
      </c>
      <c r="K1141">
        <f t="shared" ca="1" si="230"/>
        <v>0</v>
      </c>
      <c r="L1141">
        <f t="shared" ca="1" si="231"/>
        <v>0</v>
      </c>
      <c r="M1141">
        <f t="shared" ca="1" si="232"/>
        <v>4</v>
      </c>
      <c r="N1141">
        <f t="shared" ca="1" si="233"/>
        <v>0</v>
      </c>
    </row>
    <row r="1142" spans="1:14" x14ac:dyDescent="0.35">
      <c r="A1142" t="s">
        <v>1159</v>
      </c>
      <c r="B1142" t="str">
        <f t="shared" si="221"/>
        <v>Test</v>
      </c>
      <c r="C1142">
        <f t="shared" ca="1" si="222"/>
        <v>24</v>
      </c>
      <c r="D1142" t="str">
        <f t="shared" ca="1" si="223"/>
        <v>Male</v>
      </c>
      <c r="E1142" t="str">
        <f t="shared" ca="1" si="224"/>
        <v>Tops</v>
      </c>
      <c r="F1142">
        <f t="shared" ca="1" si="225"/>
        <v>5484</v>
      </c>
      <c r="G1142">
        <f t="shared" ca="1" si="226"/>
        <v>15</v>
      </c>
      <c r="H1142">
        <f t="shared" ca="1" si="227"/>
        <v>4661.3999999999996</v>
      </c>
      <c r="I1142">
        <f t="shared" ca="1" si="228"/>
        <v>1</v>
      </c>
      <c r="J1142">
        <f t="shared" ca="1" si="229"/>
        <v>1</v>
      </c>
      <c r="K1142">
        <f t="shared" ca="1" si="230"/>
        <v>0</v>
      </c>
      <c r="L1142">
        <f t="shared" ca="1" si="231"/>
        <v>0</v>
      </c>
      <c r="M1142">
        <f t="shared" ca="1" si="232"/>
        <v>5</v>
      </c>
      <c r="N1142">
        <f t="shared" ca="1" si="233"/>
        <v>0</v>
      </c>
    </row>
    <row r="1143" spans="1:14" x14ac:dyDescent="0.35">
      <c r="A1143" t="s">
        <v>1160</v>
      </c>
      <c r="B1143" t="str">
        <f t="shared" si="221"/>
        <v>Test</v>
      </c>
      <c r="C1143">
        <f t="shared" ca="1" si="222"/>
        <v>35</v>
      </c>
      <c r="D1143" t="str">
        <f t="shared" ca="1" si="223"/>
        <v>Male</v>
      </c>
      <c r="E1143" t="str">
        <f t="shared" ca="1" si="224"/>
        <v>Sportswear</v>
      </c>
      <c r="F1143">
        <f t="shared" ca="1" si="225"/>
        <v>5562</v>
      </c>
      <c r="G1143">
        <f t="shared" ca="1" si="226"/>
        <v>20</v>
      </c>
      <c r="H1143">
        <f t="shared" ca="1" si="227"/>
        <v>4449.6000000000004</v>
      </c>
      <c r="I1143">
        <f t="shared" ca="1" si="228"/>
        <v>1</v>
      </c>
      <c r="J1143">
        <f t="shared" ca="1" si="229"/>
        <v>0</v>
      </c>
      <c r="K1143">
        <f t="shared" ca="1" si="230"/>
        <v>0</v>
      </c>
      <c r="L1143">
        <f t="shared" ca="1" si="231"/>
        <v>0</v>
      </c>
      <c r="M1143">
        <f t="shared" ca="1" si="232"/>
        <v>2</v>
      </c>
      <c r="N1143">
        <f t="shared" ca="1" si="233"/>
        <v>0</v>
      </c>
    </row>
    <row r="1144" spans="1:14" x14ac:dyDescent="0.35">
      <c r="A1144" t="s">
        <v>1161</v>
      </c>
      <c r="B1144" t="str">
        <f t="shared" si="221"/>
        <v>Test</v>
      </c>
      <c r="C1144">
        <f t="shared" ca="1" si="222"/>
        <v>40</v>
      </c>
      <c r="D1144" t="str">
        <f t="shared" ca="1" si="223"/>
        <v>Female</v>
      </c>
      <c r="E1144" t="str">
        <f t="shared" ca="1" si="224"/>
        <v>Ethnic Wear</v>
      </c>
      <c r="F1144">
        <f t="shared" ca="1" si="225"/>
        <v>1178</v>
      </c>
      <c r="G1144">
        <f t="shared" ca="1" si="226"/>
        <v>25</v>
      </c>
      <c r="H1144">
        <f t="shared" ca="1" si="227"/>
        <v>883.5</v>
      </c>
      <c r="I1144">
        <f t="shared" ca="1" si="228"/>
        <v>0</v>
      </c>
      <c r="J1144">
        <f t="shared" ca="1" si="229"/>
        <v>0</v>
      </c>
      <c r="K1144">
        <f t="shared" ca="1" si="230"/>
        <v>0</v>
      </c>
      <c r="L1144">
        <f t="shared" ca="1" si="231"/>
        <v>0</v>
      </c>
      <c r="M1144">
        <f t="shared" ca="1" si="232"/>
        <v>5</v>
      </c>
      <c r="N1144">
        <f t="shared" ca="1" si="233"/>
        <v>0</v>
      </c>
    </row>
    <row r="1145" spans="1:14" x14ac:dyDescent="0.35">
      <c r="A1145" t="s">
        <v>1162</v>
      </c>
      <c r="B1145" t="str">
        <f t="shared" si="221"/>
        <v>Test</v>
      </c>
      <c r="C1145">
        <f t="shared" ca="1" si="222"/>
        <v>31</v>
      </c>
      <c r="D1145" t="str">
        <f t="shared" ca="1" si="223"/>
        <v>Female</v>
      </c>
      <c r="E1145" t="str">
        <f t="shared" ca="1" si="224"/>
        <v>Dresses</v>
      </c>
      <c r="F1145">
        <f t="shared" ca="1" si="225"/>
        <v>1044</v>
      </c>
      <c r="G1145">
        <f t="shared" ca="1" si="226"/>
        <v>20</v>
      </c>
      <c r="H1145">
        <f t="shared" ca="1" si="227"/>
        <v>835.2</v>
      </c>
      <c r="I1145">
        <f t="shared" ca="1" si="228"/>
        <v>1</v>
      </c>
      <c r="J1145">
        <f t="shared" ca="1" si="229"/>
        <v>1</v>
      </c>
      <c r="K1145">
        <f t="shared" ca="1" si="230"/>
        <v>0</v>
      </c>
      <c r="L1145">
        <f t="shared" ca="1" si="231"/>
        <v>0</v>
      </c>
      <c r="M1145">
        <f t="shared" ca="1" si="232"/>
        <v>7</v>
      </c>
      <c r="N1145">
        <f t="shared" ca="1" si="233"/>
        <v>0</v>
      </c>
    </row>
    <row r="1146" spans="1:14" x14ac:dyDescent="0.35">
      <c r="A1146" t="s">
        <v>1163</v>
      </c>
      <c r="B1146" t="str">
        <f t="shared" si="221"/>
        <v>Test</v>
      </c>
      <c r="C1146">
        <f t="shared" ca="1" si="222"/>
        <v>18</v>
      </c>
      <c r="D1146" t="str">
        <f t="shared" ca="1" si="223"/>
        <v>Male</v>
      </c>
      <c r="E1146" t="str">
        <f t="shared" ca="1" si="224"/>
        <v>Shoes</v>
      </c>
      <c r="F1146">
        <f t="shared" ca="1" si="225"/>
        <v>3540</v>
      </c>
      <c r="G1146">
        <f t="shared" ca="1" si="226"/>
        <v>15</v>
      </c>
      <c r="H1146">
        <f t="shared" ca="1" si="227"/>
        <v>3009</v>
      </c>
      <c r="I1146">
        <f t="shared" ca="1" si="228"/>
        <v>1</v>
      </c>
      <c r="J1146">
        <f t="shared" ca="1" si="229"/>
        <v>0</v>
      </c>
      <c r="K1146">
        <f t="shared" ca="1" si="230"/>
        <v>0</v>
      </c>
      <c r="L1146">
        <f t="shared" ca="1" si="231"/>
        <v>0</v>
      </c>
      <c r="M1146">
        <f t="shared" ca="1" si="232"/>
        <v>7</v>
      </c>
      <c r="N1146">
        <f t="shared" ca="1" si="233"/>
        <v>0</v>
      </c>
    </row>
    <row r="1147" spans="1:14" x14ac:dyDescent="0.35">
      <c r="A1147" t="s">
        <v>1164</v>
      </c>
      <c r="B1147" t="str">
        <f t="shared" si="221"/>
        <v>Test</v>
      </c>
      <c r="C1147">
        <f t="shared" ca="1" si="222"/>
        <v>39</v>
      </c>
      <c r="D1147" t="str">
        <f t="shared" ca="1" si="223"/>
        <v>Male</v>
      </c>
      <c r="E1147" t="str">
        <f t="shared" ca="1" si="224"/>
        <v>Shoes</v>
      </c>
      <c r="F1147">
        <f t="shared" ca="1" si="225"/>
        <v>3307</v>
      </c>
      <c r="G1147">
        <f t="shared" ca="1" si="226"/>
        <v>15</v>
      </c>
      <c r="H1147">
        <f t="shared" ca="1" si="227"/>
        <v>2810.95</v>
      </c>
      <c r="I1147">
        <f t="shared" ca="1" si="228"/>
        <v>1</v>
      </c>
      <c r="J1147">
        <f t="shared" ca="1" si="229"/>
        <v>1</v>
      </c>
      <c r="K1147">
        <f t="shared" ca="1" si="230"/>
        <v>1</v>
      </c>
      <c r="L1147">
        <f t="shared" ca="1" si="231"/>
        <v>2810.95</v>
      </c>
      <c r="M1147">
        <f t="shared" ca="1" si="232"/>
        <v>1</v>
      </c>
      <c r="N1147">
        <f t="shared" ca="1" si="233"/>
        <v>0</v>
      </c>
    </row>
    <row r="1148" spans="1:14" x14ac:dyDescent="0.35">
      <c r="A1148" t="s">
        <v>1165</v>
      </c>
      <c r="B1148" t="str">
        <f t="shared" si="221"/>
        <v>Test</v>
      </c>
      <c r="C1148">
        <f t="shared" ca="1" si="222"/>
        <v>40</v>
      </c>
      <c r="D1148" t="str">
        <f t="shared" ca="1" si="223"/>
        <v>Female</v>
      </c>
      <c r="E1148" t="str">
        <f t="shared" ca="1" si="224"/>
        <v>Sportswear</v>
      </c>
      <c r="F1148">
        <f t="shared" ca="1" si="225"/>
        <v>690</v>
      </c>
      <c r="G1148">
        <f t="shared" ca="1" si="226"/>
        <v>25</v>
      </c>
      <c r="H1148">
        <f t="shared" ca="1" si="227"/>
        <v>517.5</v>
      </c>
      <c r="I1148">
        <f t="shared" ca="1" si="228"/>
        <v>1</v>
      </c>
      <c r="J1148">
        <f t="shared" ca="1" si="229"/>
        <v>0</v>
      </c>
      <c r="K1148">
        <f t="shared" ca="1" si="230"/>
        <v>0</v>
      </c>
      <c r="L1148">
        <f t="shared" ca="1" si="231"/>
        <v>0</v>
      </c>
      <c r="M1148">
        <f t="shared" ca="1" si="232"/>
        <v>5</v>
      </c>
      <c r="N1148">
        <f t="shared" ca="1" si="233"/>
        <v>0</v>
      </c>
    </row>
    <row r="1149" spans="1:14" x14ac:dyDescent="0.35">
      <c r="A1149" t="s">
        <v>1166</v>
      </c>
      <c r="B1149" t="str">
        <f t="shared" si="221"/>
        <v>Test</v>
      </c>
      <c r="C1149">
        <f t="shared" ca="1" si="222"/>
        <v>45</v>
      </c>
      <c r="D1149" t="str">
        <f t="shared" ca="1" si="223"/>
        <v>Male</v>
      </c>
      <c r="E1149" t="str">
        <f t="shared" ca="1" si="224"/>
        <v>Tops</v>
      </c>
      <c r="F1149">
        <f t="shared" ca="1" si="225"/>
        <v>6541</v>
      </c>
      <c r="G1149">
        <f t="shared" ca="1" si="226"/>
        <v>15</v>
      </c>
      <c r="H1149">
        <f t="shared" ca="1" si="227"/>
        <v>5559.8499999999995</v>
      </c>
      <c r="I1149">
        <f t="shared" ca="1" si="228"/>
        <v>1</v>
      </c>
      <c r="J1149">
        <f t="shared" ca="1" si="229"/>
        <v>1</v>
      </c>
      <c r="K1149">
        <f t="shared" ca="1" si="230"/>
        <v>1</v>
      </c>
      <c r="L1149">
        <f t="shared" ca="1" si="231"/>
        <v>5559.8499999999995</v>
      </c>
      <c r="M1149">
        <f t="shared" ca="1" si="232"/>
        <v>2</v>
      </c>
      <c r="N1149">
        <f t="shared" ca="1" si="233"/>
        <v>0</v>
      </c>
    </row>
    <row r="1150" spans="1:14" x14ac:dyDescent="0.35">
      <c r="A1150" t="s">
        <v>1167</v>
      </c>
      <c r="B1150" t="str">
        <f t="shared" si="221"/>
        <v>Test</v>
      </c>
      <c r="C1150">
        <f t="shared" ca="1" si="222"/>
        <v>22</v>
      </c>
      <c r="D1150" t="str">
        <f t="shared" ca="1" si="223"/>
        <v>Male</v>
      </c>
      <c r="E1150" t="str">
        <f t="shared" ca="1" si="224"/>
        <v>Accessories</v>
      </c>
      <c r="F1150">
        <f t="shared" ca="1" si="225"/>
        <v>2237</v>
      </c>
      <c r="G1150">
        <f t="shared" ca="1" si="226"/>
        <v>20</v>
      </c>
      <c r="H1150">
        <f t="shared" ca="1" si="227"/>
        <v>1789.6000000000001</v>
      </c>
      <c r="I1150">
        <f t="shared" ca="1" si="228"/>
        <v>0</v>
      </c>
      <c r="J1150">
        <f t="shared" ca="1" si="229"/>
        <v>0</v>
      </c>
      <c r="K1150">
        <f t="shared" ca="1" si="230"/>
        <v>0</v>
      </c>
      <c r="L1150">
        <f t="shared" ca="1" si="231"/>
        <v>0</v>
      </c>
      <c r="M1150">
        <f t="shared" ca="1" si="232"/>
        <v>5</v>
      </c>
      <c r="N1150">
        <f t="shared" ca="1" si="233"/>
        <v>0</v>
      </c>
    </row>
    <row r="1151" spans="1:14" x14ac:dyDescent="0.35">
      <c r="A1151" t="s">
        <v>1168</v>
      </c>
      <c r="B1151" t="str">
        <f t="shared" si="221"/>
        <v>Test</v>
      </c>
      <c r="C1151">
        <f t="shared" ca="1" si="222"/>
        <v>35</v>
      </c>
      <c r="D1151" t="str">
        <f t="shared" ca="1" si="223"/>
        <v>Male</v>
      </c>
      <c r="E1151" t="str">
        <f t="shared" ca="1" si="224"/>
        <v>T-shirts</v>
      </c>
      <c r="F1151">
        <f t="shared" ca="1" si="225"/>
        <v>3342</v>
      </c>
      <c r="G1151">
        <f t="shared" ca="1" si="226"/>
        <v>15</v>
      </c>
      <c r="H1151">
        <f t="shared" ca="1" si="227"/>
        <v>2840.7</v>
      </c>
      <c r="I1151">
        <f t="shared" ca="1" si="228"/>
        <v>1</v>
      </c>
      <c r="J1151">
        <f t="shared" ca="1" si="229"/>
        <v>0</v>
      </c>
      <c r="K1151">
        <f t="shared" ca="1" si="230"/>
        <v>0</v>
      </c>
      <c r="L1151">
        <f t="shared" ca="1" si="231"/>
        <v>0</v>
      </c>
      <c r="M1151">
        <f t="shared" ca="1" si="232"/>
        <v>4</v>
      </c>
      <c r="N1151">
        <f t="shared" ca="1" si="233"/>
        <v>0</v>
      </c>
    </row>
    <row r="1152" spans="1:14" x14ac:dyDescent="0.35">
      <c r="A1152" t="s">
        <v>1169</v>
      </c>
      <c r="B1152" t="str">
        <f t="shared" si="221"/>
        <v>Test</v>
      </c>
      <c r="C1152">
        <f t="shared" ca="1" si="222"/>
        <v>19</v>
      </c>
      <c r="D1152" t="str">
        <f t="shared" ca="1" si="223"/>
        <v>Male</v>
      </c>
      <c r="E1152" t="str">
        <f t="shared" ca="1" si="224"/>
        <v>Dresses</v>
      </c>
      <c r="F1152">
        <f t="shared" ca="1" si="225"/>
        <v>444</v>
      </c>
      <c r="G1152">
        <f t="shared" ca="1" si="226"/>
        <v>20</v>
      </c>
      <c r="H1152">
        <f t="shared" ca="1" si="227"/>
        <v>355.20000000000005</v>
      </c>
      <c r="I1152">
        <f t="shared" ca="1" si="228"/>
        <v>1</v>
      </c>
      <c r="J1152">
        <f t="shared" ca="1" si="229"/>
        <v>0</v>
      </c>
      <c r="K1152">
        <f t="shared" ca="1" si="230"/>
        <v>0</v>
      </c>
      <c r="L1152">
        <f t="shared" ca="1" si="231"/>
        <v>0</v>
      </c>
      <c r="M1152">
        <f t="shared" ca="1" si="232"/>
        <v>4</v>
      </c>
      <c r="N1152">
        <f t="shared" ca="1" si="233"/>
        <v>0</v>
      </c>
    </row>
    <row r="1153" spans="1:14" x14ac:dyDescent="0.35">
      <c r="A1153" t="s">
        <v>1170</v>
      </c>
      <c r="B1153" t="str">
        <f t="shared" si="221"/>
        <v>Test</v>
      </c>
      <c r="C1153">
        <f t="shared" ca="1" si="222"/>
        <v>20</v>
      </c>
      <c r="D1153" t="str">
        <f t="shared" ca="1" si="223"/>
        <v>Female</v>
      </c>
      <c r="E1153" t="str">
        <f t="shared" ca="1" si="224"/>
        <v>Sportswear</v>
      </c>
      <c r="F1153">
        <f t="shared" ca="1" si="225"/>
        <v>2062</v>
      </c>
      <c r="G1153">
        <f t="shared" ca="1" si="226"/>
        <v>20</v>
      </c>
      <c r="H1153">
        <f t="shared" ca="1" si="227"/>
        <v>1649.6000000000001</v>
      </c>
      <c r="I1153">
        <f t="shared" ca="1" si="228"/>
        <v>1</v>
      </c>
      <c r="J1153">
        <f t="shared" ca="1" si="229"/>
        <v>1</v>
      </c>
      <c r="K1153">
        <f t="shared" ca="1" si="230"/>
        <v>0</v>
      </c>
      <c r="L1153">
        <f t="shared" ca="1" si="231"/>
        <v>0</v>
      </c>
      <c r="M1153">
        <f t="shared" ca="1" si="232"/>
        <v>4</v>
      </c>
      <c r="N1153">
        <f t="shared" ca="1" si="233"/>
        <v>0</v>
      </c>
    </row>
    <row r="1154" spans="1:14" x14ac:dyDescent="0.35">
      <c r="A1154" t="s">
        <v>1171</v>
      </c>
      <c r="B1154" t="str">
        <f t="shared" si="221"/>
        <v>Test</v>
      </c>
      <c r="C1154">
        <f t="shared" ca="1" si="222"/>
        <v>31</v>
      </c>
      <c r="D1154" t="str">
        <f t="shared" ca="1" si="223"/>
        <v>Female</v>
      </c>
      <c r="E1154" t="str">
        <f t="shared" ca="1" si="224"/>
        <v>Tops</v>
      </c>
      <c r="F1154">
        <f t="shared" ca="1" si="225"/>
        <v>3218</v>
      </c>
      <c r="G1154">
        <f t="shared" ca="1" si="226"/>
        <v>20</v>
      </c>
      <c r="H1154">
        <f t="shared" ca="1" si="227"/>
        <v>2574.4</v>
      </c>
      <c r="I1154">
        <f t="shared" ca="1" si="228"/>
        <v>1</v>
      </c>
      <c r="J1154">
        <f t="shared" ca="1" si="229"/>
        <v>0</v>
      </c>
      <c r="K1154">
        <f t="shared" ca="1" si="230"/>
        <v>0</v>
      </c>
      <c r="L1154">
        <f t="shared" ca="1" si="231"/>
        <v>0</v>
      </c>
      <c r="M1154">
        <f t="shared" ca="1" si="232"/>
        <v>2</v>
      </c>
      <c r="N1154">
        <f t="shared" ca="1" si="233"/>
        <v>0</v>
      </c>
    </row>
    <row r="1155" spans="1:14" x14ac:dyDescent="0.35">
      <c r="A1155" t="s">
        <v>1172</v>
      </c>
      <c r="B1155" t="str">
        <f t="shared" si="221"/>
        <v>Test</v>
      </c>
      <c r="C1155">
        <f t="shared" ca="1" si="222"/>
        <v>36</v>
      </c>
      <c r="D1155" t="str">
        <f t="shared" ca="1" si="223"/>
        <v>Male</v>
      </c>
      <c r="E1155" t="str">
        <f t="shared" ca="1" si="224"/>
        <v>Jeans</v>
      </c>
      <c r="F1155">
        <f t="shared" ca="1" si="225"/>
        <v>1965</v>
      </c>
      <c r="G1155">
        <f t="shared" ca="1" si="226"/>
        <v>20</v>
      </c>
      <c r="H1155">
        <f t="shared" ca="1" si="227"/>
        <v>1572</v>
      </c>
      <c r="I1155">
        <f t="shared" ca="1" si="228"/>
        <v>1</v>
      </c>
      <c r="J1155">
        <f t="shared" ca="1" si="229"/>
        <v>1</v>
      </c>
      <c r="K1155">
        <f t="shared" ca="1" si="230"/>
        <v>1</v>
      </c>
      <c r="L1155">
        <f t="shared" ca="1" si="231"/>
        <v>1572</v>
      </c>
      <c r="M1155">
        <f t="shared" ca="1" si="232"/>
        <v>7</v>
      </c>
      <c r="N1155">
        <f t="shared" ca="1" si="233"/>
        <v>0</v>
      </c>
    </row>
    <row r="1156" spans="1:14" x14ac:dyDescent="0.35">
      <c r="A1156" t="s">
        <v>1173</v>
      </c>
      <c r="B1156" t="str">
        <f t="shared" si="221"/>
        <v>Test</v>
      </c>
      <c r="C1156">
        <f t="shared" ca="1" si="222"/>
        <v>25</v>
      </c>
      <c r="D1156" t="str">
        <f t="shared" ca="1" si="223"/>
        <v>Male</v>
      </c>
      <c r="E1156" t="str">
        <f t="shared" ca="1" si="224"/>
        <v>T-shirts</v>
      </c>
      <c r="F1156">
        <f t="shared" ca="1" si="225"/>
        <v>2484</v>
      </c>
      <c r="G1156">
        <f t="shared" ca="1" si="226"/>
        <v>20</v>
      </c>
      <c r="H1156">
        <f t="shared" ca="1" si="227"/>
        <v>1987.2</v>
      </c>
      <c r="I1156">
        <f t="shared" ca="1" si="228"/>
        <v>1</v>
      </c>
      <c r="J1156">
        <f t="shared" ca="1" si="229"/>
        <v>0</v>
      </c>
      <c r="K1156">
        <f t="shared" ca="1" si="230"/>
        <v>0</v>
      </c>
      <c r="L1156">
        <f t="shared" ca="1" si="231"/>
        <v>0</v>
      </c>
      <c r="M1156">
        <f t="shared" ca="1" si="232"/>
        <v>4</v>
      </c>
      <c r="N1156">
        <f t="shared" ca="1" si="233"/>
        <v>0</v>
      </c>
    </row>
    <row r="1157" spans="1:14" x14ac:dyDescent="0.35">
      <c r="A1157" t="s">
        <v>1174</v>
      </c>
      <c r="B1157" t="str">
        <f t="shared" ref="B1157:B1220" si="234">IF(ROW()&lt;=1001,"Control","Test")</f>
        <v>Test</v>
      </c>
      <c r="C1157">
        <f t="shared" ref="C1157:C1220" ca="1" si="235">RANDBETWEEN(18,45)</f>
        <v>20</v>
      </c>
      <c r="D1157" t="str">
        <f t="shared" ref="D1157:D1220" ca="1" si="236">CHOOSE(RANDBETWEEN(1,20),"Female","Female","Female","Female","Female","Female","Female","Female","Female","Female","Male","Male","Male","Male","Male","Male","Male","Male","Other","Other")</f>
        <v>Male</v>
      </c>
      <c r="E1157" t="str">
        <f t="shared" ref="E1157:E1220" ca="1" si="237">CHOOSE(RANDBETWEEN(1,8),"T-shirts","Dresses","Jeans","Shoes","Ethnic Wear","Tops","Sportswear","Accessories")</f>
        <v>Jeans</v>
      </c>
      <c r="F1157">
        <f t="shared" ref="F1157:F1220" ca="1" si="238">RANDBETWEEN(300,8000)</f>
        <v>1736</v>
      </c>
      <c r="G1157">
        <f t="shared" ref="G1157:G1220" ca="1" si="239">IF(B1157="Control",10,CHOOSE(RANDBETWEEN(1,3),15,20,25))</f>
        <v>20</v>
      </c>
      <c r="H1157">
        <f t="shared" ref="H1157:H1220" ca="1" si="240">F1157*(1-G1157/100)</f>
        <v>1388.8000000000002</v>
      </c>
      <c r="I1157">
        <f t="shared" ref="I1157:I1220" ca="1" si="241">IF(RAND()&lt;0.85,1,0)</f>
        <v>1</v>
      </c>
      <c r="J1157">
        <f t="shared" ref="J1157:J1220" ca="1" si="242">IF(I1157=1,IF(RAND()&lt;0.55,1,0),0)</f>
        <v>0</v>
      </c>
      <c r="K1157">
        <f t="shared" ref="K1157:K1220" ca="1" si="243">IF(J1157=1,IF(B1157="Test",IF(RAND()&lt;0.4,1,0),IF(RAND()&lt;0.34,1,0)),0)</f>
        <v>0</v>
      </c>
      <c r="L1157">
        <f t="shared" ref="L1157:L1220" ca="1" si="244">IF(K1157=1,H1157,0)</f>
        <v>0</v>
      </c>
      <c r="M1157">
        <f t="shared" ref="M1157:M1220" ca="1" si="245">RANDBETWEEN(1,7)</f>
        <v>1</v>
      </c>
      <c r="N1157">
        <f t="shared" ref="N1157:N1220" ca="1" si="246">IF(K1157=1,IF(RAND()&lt;0.15,1,0),0)</f>
        <v>0</v>
      </c>
    </row>
    <row r="1158" spans="1:14" x14ac:dyDescent="0.35">
      <c r="A1158" t="s">
        <v>1175</v>
      </c>
      <c r="B1158" t="str">
        <f t="shared" si="234"/>
        <v>Test</v>
      </c>
      <c r="C1158">
        <f t="shared" ca="1" si="235"/>
        <v>22</v>
      </c>
      <c r="D1158" t="str">
        <f t="shared" ca="1" si="236"/>
        <v>Male</v>
      </c>
      <c r="E1158" t="str">
        <f t="shared" ca="1" si="237"/>
        <v>Dresses</v>
      </c>
      <c r="F1158">
        <f t="shared" ca="1" si="238"/>
        <v>2223</v>
      </c>
      <c r="G1158">
        <f t="shared" ca="1" si="239"/>
        <v>15</v>
      </c>
      <c r="H1158">
        <f t="shared" ca="1" si="240"/>
        <v>1889.55</v>
      </c>
      <c r="I1158">
        <f t="shared" ca="1" si="241"/>
        <v>0</v>
      </c>
      <c r="J1158">
        <f t="shared" ca="1" si="242"/>
        <v>0</v>
      </c>
      <c r="K1158">
        <f t="shared" ca="1" si="243"/>
        <v>0</v>
      </c>
      <c r="L1158">
        <f t="shared" ca="1" si="244"/>
        <v>0</v>
      </c>
      <c r="M1158">
        <f t="shared" ca="1" si="245"/>
        <v>1</v>
      </c>
      <c r="N1158">
        <f t="shared" ca="1" si="246"/>
        <v>0</v>
      </c>
    </row>
    <row r="1159" spans="1:14" x14ac:dyDescent="0.35">
      <c r="A1159" t="s">
        <v>1176</v>
      </c>
      <c r="B1159" t="str">
        <f t="shared" si="234"/>
        <v>Test</v>
      </c>
      <c r="C1159">
        <f t="shared" ca="1" si="235"/>
        <v>26</v>
      </c>
      <c r="D1159" t="str">
        <f t="shared" ca="1" si="236"/>
        <v>Male</v>
      </c>
      <c r="E1159" t="str">
        <f t="shared" ca="1" si="237"/>
        <v>Sportswear</v>
      </c>
      <c r="F1159">
        <f t="shared" ca="1" si="238"/>
        <v>5898</v>
      </c>
      <c r="G1159">
        <f t="shared" ca="1" si="239"/>
        <v>15</v>
      </c>
      <c r="H1159">
        <f t="shared" ca="1" si="240"/>
        <v>5013.3</v>
      </c>
      <c r="I1159">
        <f t="shared" ca="1" si="241"/>
        <v>1</v>
      </c>
      <c r="J1159">
        <f t="shared" ca="1" si="242"/>
        <v>1</v>
      </c>
      <c r="K1159">
        <f t="shared" ca="1" si="243"/>
        <v>0</v>
      </c>
      <c r="L1159">
        <f t="shared" ca="1" si="244"/>
        <v>0</v>
      </c>
      <c r="M1159">
        <f t="shared" ca="1" si="245"/>
        <v>4</v>
      </c>
      <c r="N1159">
        <f t="shared" ca="1" si="246"/>
        <v>0</v>
      </c>
    </row>
    <row r="1160" spans="1:14" x14ac:dyDescent="0.35">
      <c r="A1160" t="s">
        <v>1177</v>
      </c>
      <c r="B1160" t="str">
        <f t="shared" si="234"/>
        <v>Test</v>
      </c>
      <c r="C1160">
        <f t="shared" ca="1" si="235"/>
        <v>18</v>
      </c>
      <c r="D1160" t="str">
        <f t="shared" ca="1" si="236"/>
        <v>Male</v>
      </c>
      <c r="E1160" t="str">
        <f t="shared" ca="1" si="237"/>
        <v>Tops</v>
      </c>
      <c r="F1160">
        <f t="shared" ca="1" si="238"/>
        <v>3442</v>
      </c>
      <c r="G1160">
        <f t="shared" ca="1" si="239"/>
        <v>25</v>
      </c>
      <c r="H1160">
        <f t="shared" ca="1" si="240"/>
        <v>2581.5</v>
      </c>
      <c r="I1160">
        <f t="shared" ca="1" si="241"/>
        <v>1</v>
      </c>
      <c r="J1160">
        <f t="shared" ca="1" si="242"/>
        <v>1</v>
      </c>
      <c r="K1160">
        <f t="shared" ca="1" si="243"/>
        <v>0</v>
      </c>
      <c r="L1160">
        <f t="shared" ca="1" si="244"/>
        <v>0</v>
      </c>
      <c r="M1160">
        <f t="shared" ca="1" si="245"/>
        <v>1</v>
      </c>
      <c r="N1160">
        <f t="shared" ca="1" si="246"/>
        <v>0</v>
      </c>
    </row>
    <row r="1161" spans="1:14" x14ac:dyDescent="0.35">
      <c r="A1161" t="s">
        <v>1178</v>
      </c>
      <c r="B1161" t="str">
        <f t="shared" si="234"/>
        <v>Test</v>
      </c>
      <c r="C1161">
        <f t="shared" ca="1" si="235"/>
        <v>42</v>
      </c>
      <c r="D1161" t="str">
        <f t="shared" ca="1" si="236"/>
        <v>Male</v>
      </c>
      <c r="E1161" t="str">
        <f t="shared" ca="1" si="237"/>
        <v>T-shirts</v>
      </c>
      <c r="F1161">
        <f t="shared" ca="1" si="238"/>
        <v>2141</v>
      </c>
      <c r="G1161">
        <f t="shared" ca="1" si="239"/>
        <v>15</v>
      </c>
      <c r="H1161">
        <f t="shared" ca="1" si="240"/>
        <v>1819.85</v>
      </c>
      <c r="I1161">
        <f t="shared" ca="1" si="241"/>
        <v>0</v>
      </c>
      <c r="J1161">
        <f t="shared" ca="1" si="242"/>
        <v>0</v>
      </c>
      <c r="K1161">
        <f t="shared" ca="1" si="243"/>
        <v>0</v>
      </c>
      <c r="L1161">
        <f t="shared" ca="1" si="244"/>
        <v>0</v>
      </c>
      <c r="M1161">
        <f t="shared" ca="1" si="245"/>
        <v>6</v>
      </c>
      <c r="N1161">
        <f t="shared" ca="1" si="246"/>
        <v>0</v>
      </c>
    </row>
    <row r="1162" spans="1:14" x14ac:dyDescent="0.35">
      <c r="A1162" t="s">
        <v>1179</v>
      </c>
      <c r="B1162" t="str">
        <f t="shared" si="234"/>
        <v>Test</v>
      </c>
      <c r="C1162">
        <f t="shared" ca="1" si="235"/>
        <v>20</v>
      </c>
      <c r="D1162" t="str">
        <f t="shared" ca="1" si="236"/>
        <v>Female</v>
      </c>
      <c r="E1162" t="str">
        <f t="shared" ca="1" si="237"/>
        <v>Jeans</v>
      </c>
      <c r="F1162">
        <f t="shared" ca="1" si="238"/>
        <v>6842</v>
      </c>
      <c r="G1162">
        <f t="shared" ca="1" si="239"/>
        <v>15</v>
      </c>
      <c r="H1162">
        <f t="shared" ca="1" si="240"/>
        <v>5815.7</v>
      </c>
      <c r="I1162">
        <f t="shared" ca="1" si="241"/>
        <v>1</v>
      </c>
      <c r="J1162">
        <f t="shared" ca="1" si="242"/>
        <v>0</v>
      </c>
      <c r="K1162">
        <f t="shared" ca="1" si="243"/>
        <v>0</v>
      </c>
      <c r="L1162">
        <f t="shared" ca="1" si="244"/>
        <v>0</v>
      </c>
      <c r="M1162">
        <f t="shared" ca="1" si="245"/>
        <v>3</v>
      </c>
      <c r="N1162">
        <f t="shared" ca="1" si="246"/>
        <v>0</v>
      </c>
    </row>
    <row r="1163" spans="1:14" x14ac:dyDescent="0.35">
      <c r="A1163" t="s">
        <v>1180</v>
      </c>
      <c r="B1163" t="str">
        <f t="shared" si="234"/>
        <v>Test</v>
      </c>
      <c r="C1163">
        <f t="shared" ca="1" si="235"/>
        <v>23</v>
      </c>
      <c r="D1163" t="str">
        <f t="shared" ca="1" si="236"/>
        <v>Male</v>
      </c>
      <c r="E1163" t="str">
        <f t="shared" ca="1" si="237"/>
        <v>T-shirts</v>
      </c>
      <c r="F1163">
        <f t="shared" ca="1" si="238"/>
        <v>7818</v>
      </c>
      <c r="G1163">
        <f t="shared" ca="1" si="239"/>
        <v>25</v>
      </c>
      <c r="H1163">
        <f t="shared" ca="1" si="240"/>
        <v>5863.5</v>
      </c>
      <c r="I1163">
        <f t="shared" ca="1" si="241"/>
        <v>1</v>
      </c>
      <c r="J1163">
        <f t="shared" ca="1" si="242"/>
        <v>1</v>
      </c>
      <c r="K1163">
        <f t="shared" ca="1" si="243"/>
        <v>1</v>
      </c>
      <c r="L1163">
        <f t="shared" ca="1" si="244"/>
        <v>5863.5</v>
      </c>
      <c r="M1163">
        <f t="shared" ca="1" si="245"/>
        <v>7</v>
      </c>
      <c r="N1163">
        <f t="shared" ca="1" si="246"/>
        <v>0</v>
      </c>
    </row>
    <row r="1164" spans="1:14" x14ac:dyDescent="0.35">
      <c r="A1164" t="s">
        <v>1181</v>
      </c>
      <c r="B1164" t="str">
        <f t="shared" si="234"/>
        <v>Test</v>
      </c>
      <c r="C1164">
        <f t="shared" ca="1" si="235"/>
        <v>31</v>
      </c>
      <c r="D1164" t="str">
        <f t="shared" ca="1" si="236"/>
        <v>Other</v>
      </c>
      <c r="E1164" t="str">
        <f t="shared" ca="1" si="237"/>
        <v>Ethnic Wear</v>
      </c>
      <c r="F1164">
        <f t="shared" ca="1" si="238"/>
        <v>331</v>
      </c>
      <c r="G1164">
        <f t="shared" ca="1" si="239"/>
        <v>20</v>
      </c>
      <c r="H1164">
        <f t="shared" ca="1" si="240"/>
        <v>264.8</v>
      </c>
      <c r="I1164">
        <f t="shared" ca="1" si="241"/>
        <v>1</v>
      </c>
      <c r="J1164">
        <f t="shared" ca="1" si="242"/>
        <v>1</v>
      </c>
      <c r="K1164">
        <f t="shared" ca="1" si="243"/>
        <v>1</v>
      </c>
      <c r="L1164">
        <f t="shared" ca="1" si="244"/>
        <v>264.8</v>
      </c>
      <c r="M1164">
        <f t="shared" ca="1" si="245"/>
        <v>7</v>
      </c>
      <c r="N1164">
        <f t="shared" ca="1" si="246"/>
        <v>0</v>
      </c>
    </row>
    <row r="1165" spans="1:14" x14ac:dyDescent="0.35">
      <c r="A1165" t="s">
        <v>1182</v>
      </c>
      <c r="B1165" t="str">
        <f t="shared" si="234"/>
        <v>Test</v>
      </c>
      <c r="C1165">
        <f t="shared" ca="1" si="235"/>
        <v>44</v>
      </c>
      <c r="D1165" t="str">
        <f t="shared" ca="1" si="236"/>
        <v>Male</v>
      </c>
      <c r="E1165" t="str">
        <f t="shared" ca="1" si="237"/>
        <v>T-shirts</v>
      </c>
      <c r="F1165">
        <f t="shared" ca="1" si="238"/>
        <v>1371</v>
      </c>
      <c r="G1165">
        <f t="shared" ca="1" si="239"/>
        <v>15</v>
      </c>
      <c r="H1165">
        <f t="shared" ca="1" si="240"/>
        <v>1165.3499999999999</v>
      </c>
      <c r="I1165">
        <f t="shared" ca="1" si="241"/>
        <v>1</v>
      </c>
      <c r="J1165">
        <f t="shared" ca="1" si="242"/>
        <v>1</v>
      </c>
      <c r="K1165">
        <f t="shared" ca="1" si="243"/>
        <v>0</v>
      </c>
      <c r="L1165">
        <f t="shared" ca="1" si="244"/>
        <v>0</v>
      </c>
      <c r="M1165">
        <f t="shared" ca="1" si="245"/>
        <v>7</v>
      </c>
      <c r="N1165">
        <f t="shared" ca="1" si="246"/>
        <v>0</v>
      </c>
    </row>
    <row r="1166" spans="1:14" x14ac:dyDescent="0.35">
      <c r="A1166" t="s">
        <v>1183</v>
      </c>
      <c r="B1166" t="str">
        <f t="shared" si="234"/>
        <v>Test</v>
      </c>
      <c r="C1166">
        <f t="shared" ca="1" si="235"/>
        <v>24</v>
      </c>
      <c r="D1166" t="str">
        <f t="shared" ca="1" si="236"/>
        <v>Female</v>
      </c>
      <c r="E1166" t="str">
        <f t="shared" ca="1" si="237"/>
        <v>Accessories</v>
      </c>
      <c r="F1166">
        <f t="shared" ca="1" si="238"/>
        <v>6233</v>
      </c>
      <c r="G1166">
        <f t="shared" ca="1" si="239"/>
        <v>20</v>
      </c>
      <c r="H1166">
        <f t="shared" ca="1" si="240"/>
        <v>4986.4000000000005</v>
      </c>
      <c r="I1166">
        <f t="shared" ca="1" si="241"/>
        <v>0</v>
      </c>
      <c r="J1166">
        <f t="shared" ca="1" si="242"/>
        <v>0</v>
      </c>
      <c r="K1166">
        <f t="shared" ca="1" si="243"/>
        <v>0</v>
      </c>
      <c r="L1166">
        <f t="shared" ca="1" si="244"/>
        <v>0</v>
      </c>
      <c r="M1166">
        <f t="shared" ca="1" si="245"/>
        <v>2</v>
      </c>
      <c r="N1166">
        <f t="shared" ca="1" si="246"/>
        <v>0</v>
      </c>
    </row>
    <row r="1167" spans="1:14" x14ac:dyDescent="0.35">
      <c r="A1167" t="s">
        <v>1184</v>
      </c>
      <c r="B1167" t="str">
        <f t="shared" si="234"/>
        <v>Test</v>
      </c>
      <c r="C1167">
        <f t="shared" ca="1" si="235"/>
        <v>36</v>
      </c>
      <c r="D1167" t="str">
        <f t="shared" ca="1" si="236"/>
        <v>Female</v>
      </c>
      <c r="E1167" t="str">
        <f t="shared" ca="1" si="237"/>
        <v>Dresses</v>
      </c>
      <c r="F1167">
        <f t="shared" ca="1" si="238"/>
        <v>1951</v>
      </c>
      <c r="G1167">
        <f t="shared" ca="1" si="239"/>
        <v>15</v>
      </c>
      <c r="H1167">
        <f t="shared" ca="1" si="240"/>
        <v>1658.35</v>
      </c>
      <c r="I1167">
        <f t="shared" ca="1" si="241"/>
        <v>1</v>
      </c>
      <c r="J1167">
        <f t="shared" ca="1" si="242"/>
        <v>1</v>
      </c>
      <c r="K1167">
        <f t="shared" ca="1" si="243"/>
        <v>0</v>
      </c>
      <c r="L1167">
        <f t="shared" ca="1" si="244"/>
        <v>0</v>
      </c>
      <c r="M1167">
        <f t="shared" ca="1" si="245"/>
        <v>6</v>
      </c>
      <c r="N1167">
        <f t="shared" ca="1" si="246"/>
        <v>0</v>
      </c>
    </row>
    <row r="1168" spans="1:14" x14ac:dyDescent="0.35">
      <c r="A1168" t="s">
        <v>1185</v>
      </c>
      <c r="B1168" t="str">
        <f t="shared" si="234"/>
        <v>Test</v>
      </c>
      <c r="C1168">
        <f t="shared" ca="1" si="235"/>
        <v>40</v>
      </c>
      <c r="D1168" t="str">
        <f t="shared" ca="1" si="236"/>
        <v>Male</v>
      </c>
      <c r="E1168" t="str">
        <f t="shared" ca="1" si="237"/>
        <v>Dresses</v>
      </c>
      <c r="F1168">
        <f t="shared" ca="1" si="238"/>
        <v>4095</v>
      </c>
      <c r="G1168">
        <f t="shared" ca="1" si="239"/>
        <v>20</v>
      </c>
      <c r="H1168">
        <f t="shared" ca="1" si="240"/>
        <v>3276</v>
      </c>
      <c r="I1168">
        <f t="shared" ca="1" si="241"/>
        <v>1</v>
      </c>
      <c r="J1168">
        <f t="shared" ca="1" si="242"/>
        <v>1</v>
      </c>
      <c r="K1168">
        <f t="shared" ca="1" si="243"/>
        <v>1</v>
      </c>
      <c r="L1168">
        <f t="shared" ca="1" si="244"/>
        <v>3276</v>
      </c>
      <c r="M1168">
        <f t="shared" ca="1" si="245"/>
        <v>4</v>
      </c>
      <c r="N1168">
        <f t="shared" ca="1" si="246"/>
        <v>0</v>
      </c>
    </row>
    <row r="1169" spans="1:14" x14ac:dyDescent="0.35">
      <c r="A1169" t="s">
        <v>1186</v>
      </c>
      <c r="B1169" t="str">
        <f t="shared" si="234"/>
        <v>Test</v>
      </c>
      <c r="C1169">
        <f t="shared" ca="1" si="235"/>
        <v>31</v>
      </c>
      <c r="D1169" t="str">
        <f t="shared" ca="1" si="236"/>
        <v>Male</v>
      </c>
      <c r="E1169" t="str">
        <f t="shared" ca="1" si="237"/>
        <v>Sportswear</v>
      </c>
      <c r="F1169">
        <f t="shared" ca="1" si="238"/>
        <v>3278</v>
      </c>
      <c r="G1169">
        <f t="shared" ca="1" si="239"/>
        <v>20</v>
      </c>
      <c r="H1169">
        <f t="shared" ca="1" si="240"/>
        <v>2622.4</v>
      </c>
      <c r="I1169">
        <f t="shared" ca="1" si="241"/>
        <v>1</v>
      </c>
      <c r="J1169">
        <f t="shared" ca="1" si="242"/>
        <v>0</v>
      </c>
      <c r="K1169">
        <f t="shared" ca="1" si="243"/>
        <v>0</v>
      </c>
      <c r="L1169">
        <f t="shared" ca="1" si="244"/>
        <v>0</v>
      </c>
      <c r="M1169">
        <f t="shared" ca="1" si="245"/>
        <v>5</v>
      </c>
      <c r="N1169">
        <f t="shared" ca="1" si="246"/>
        <v>0</v>
      </c>
    </row>
    <row r="1170" spans="1:14" x14ac:dyDescent="0.35">
      <c r="A1170" t="s">
        <v>1187</v>
      </c>
      <c r="B1170" t="str">
        <f t="shared" si="234"/>
        <v>Test</v>
      </c>
      <c r="C1170">
        <f t="shared" ca="1" si="235"/>
        <v>37</v>
      </c>
      <c r="D1170" t="str">
        <f t="shared" ca="1" si="236"/>
        <v>Female</v>
      </c>
      <c r="E1170" t="str">
        <f t="shared" ca="1" si="237"/>
        <v>Tops</v>
      </c>
      <c r="F1170">
        <f t="shared" ca="1" si="238"/>
        <v>5386</v>
      </c>
      <c r="G1170">
        <f t="shared" ca="1" si="239"/>
        <v>25</v>
      </c>
      <c r="H1170">
        <f t="shared" ca="1" si="240"/>
        <v>4039.5</v>
      </c>
      <c r="I1170">
        <f t="shared" ca="1" si="241"/>
        <v>1</v>
      </c>
      <c r="J1170">
        <f t="shared" ca="1" si="242"/>
        <v>1</v>
      </c>
      <c r="K1170">
        <f t="shared" ca="1" si="243"/>
        <v>1</v>
      </c>
      <c r="L1170">
        <f t="shared" ca="1" si="244"/>
        <v>4039.5</v>
      </c>
      <c r="M1170">
        <f t="shared" ca="1" si="245"/>
        <v>7</v>
      </c>
      <c r="N1170">
        <f t="shared" ca="1" si="246"/>
        <v>0</v>
      </c>
    </row>
    <row r="1171" spans="1:14" x14ac:dyDescent="0.35">
      <c r="A1171" t="s">
        <v>1188</v>
      </c>
      <c r="B1171" t="str">
        <f t="shared" si="234"/>
        <v>Test</v>
      </c>
      <c r="C1171">
        <f t="shared" ca="1" si="235"/>
        <v>25</v>
      </c>
      <c r="D1171" t="str">
        <f t="shared" ca="1" si="236"/>
        <v>Female</v>
      </c>
      <c r="E1171" t="str">
        <f t="shared" ca="1" si="237"/>
        <v>T-shirts</v>
      </c>
      <c r="F1171">
        <f t="shared" ca="1" si="238"/>
        <v>5985</v>
      </c>
      <c r="G1171">
        <f t="shared" ca="1" si="239"/>
        <v>20</v>
      </c>
      <c r="H1171">
        <f t="shared" ca="1" si="240"/>
        <v>4788</v>
      </c>
      <c r="I1171">
        <f t="shared" ca="1" si="241"/>
        <v>1</v>
      </c>
      <c r="J1171">
        <f t="shared" ca="1" si="242"/>
        <v>1</v>
      </c>
      <c r="K1171">
        <f t="shared" ca="1" si="243"/>
        <v>1</v>
      </c>
      <c r="L1171">
        <f t="shared" ca="1" si="244"/>
        <v>4788</v>
      </c>
      <c r="M1171">
        <f t="shared" ca="1" si="245"/>
        <v>4</v>
      </c>
      <c r="N1171">
        <f t="shared" ca="1" si="246"/>
        <v>0</v>
      </c>
    </row>
    <row r="1172" spans="1:14" x14ac:dyDescent="0.35">
      <c r="A1172" t="s">
        <v>1189</v>
      </c>
      <c r="B1172" t="str">
        <f t="shared" si="234"/>
        <v>Test</v>
      </c>
      <c r="C1172">
        <f t="shared" ca="1" si="235"/>
        <v>28</v>
      </c>
      <c r="D1172" t="str">
        <f t="shared" ca="1" si="236"/>
        <v>Male</v>
      </c>
      <c r="E1172" t="str">
        <f t="shared" ca="1" si="237"/>
        <v>Sportswear</v>
      </c>
      <c r="F1172">
        <f t="shared" ca="1" si="238"/>
        <v>2381</v>
      </c>
      <c r="G1172">
        <f t="shared" ca="1" si="239"/>
        <v>20</v>
      </c>
      <c r="H1172">
        <f t="shared" ca="1" si="240"/>
        <v>1904.8000000000002</v>
      </c>
      <c r="I1172">
        <f t="shared" ca="1" si="241"/>
        <v>1</v>
      </c>
      <c r="J1172">
        <f t="shared" ca="1" si="242"/>
        <v>1</v>
      </c>
      <c r="K1172">
        <f t="shared" ca="1" si="243"/>
        <v>0</v>
      </c>
      <c r="L1172">
        <f t="shared" ca="1" si="244"/>
        <v>0</v>
      </c>
      <c r="M1172">
        <f t="shared" ca="1" si="245"/>
        <v>4</v>
      </c>
      <c r="N1172">
        <f t="shared" ca="1" si="246"/>
        <v>0</v>
      </c>
    </row>
    <row r="1173" spans="1:14" x14ac:dyDescent="0.35">
      <c r="A1173" t="s">
        <v>1190</v>
      </c>
      <c r="B1173" t="str">
        <f t="shared" si="234"/>
        <v>Test</v>
      </c>
      <c r="C1173">
        <f t="shared" ca="1" si="235"/>
        <v>37</v>
      </c>
      <c r="D1173" t="str">
        <f t="shared" ca="1" si="236"/>
        <v>Male</v>
      </c>
      <c r="E1173" t="str">
        <f t="shared" ca="1" si="237"/>
        <v>Sportswear</v>
      </c>
      <c r="F1173">
        <f t="shared" ca="1" si="238"/>
        <v>2602</v>
      </c>
      <c r="G1173">
        <f t="shared" ca="1" si="239"/>
        <v>25</v>
      </c>
      <c r="H1173">
        <f t="shared" ca="1" si="240"/>
        <v>1951.5</v>
      </c>
      <c r="I1173">
        <f t="shared" ca="1" si="241"/>
        <v>1</v>
      </c>
      <c r="J1173">
        <f t="shared" ca="1" si="242"/>
        <v>0</v>
      </c>
      <c r="K1173">
        <f t="shared" ca="1" si="243"/>
        <v>0</v>
      </c>
      <c r="L1173">
        <f t="shared" ca="1" si="244"/>
        <v>0</v>
      </c>
      <c r="M1173">
        <f t="shared" ca="1" si="245"/>
        <v>4</v>
      </c>
      <c r="N1173">
        <f t="shared" ca="1" si="246"/>
        <v>0</v>
      </c>
    </row>
    <row r="1174" spans="1:14" x14ac:dyDescent="0.35">
      <c r="A1174" t="s">
        <v>1191</v>
      </c>
      <c r="B1174" t="str">
        <f t="shared" si="234"/>
        <v>Test</v>
      </c>
      <c r="C1174">
        <f t="shared" ca="1" si="235"/>
        <v>19</v>
      </c>
      <c r="D1174" t="str">
        <f t="shared" ca="1" si="236"/>
        <v>Female</v>
      </c>
      <c r="E1174" t="str">
        <f t="shared" ca="1" si="237"/>
        <v>Ethnic Wear</v>
      </c>
      <c r="F1174">
        <f t="shared" ca="1" si="238"/>
        <v>7879</v>
      </c>
      <c r="G1174">
        <f t="shared" ca="1" si="239"/>
        <v>15</v>
      </c>
      <c r="H1174">
        <f t="shared" ca="1" si="240"/>
        <v>6697.15</v>
      </c>
      <c r="I1174">
        <f t="shared" ca="1" si="241"/>
        <v>0</v>
      </c>
      <c r="J1174">
        <f t="shared" ca="1" si="242"/>
        <v>0</v>
      </c>
      <c r="K1174">
        <f t="shared" ca="1" si="243"/>
        <v>0</v>
      </c>
      <c r="L1174">
        <f t="shared" ca="1" si="244"/>
        <v>0</v>
      </c>
      <c r="M1174">
        <f t="shared" ca="1" si="245"/>
        <v>2</v>
      </c>
      <c r="N1174">
        <f t="shared" ca="1" si="246"/>
        <v>0</v>
      </c>
    </row>
    <row r="1175" spans="1:14" x14ac:dyDescent="0.35">
      <c r="A1175" t="s">
        <v>1192</v>
      </c>
      <c r="B1175" t="str">
        <f t="shared" si="234"/>
        <v>Test</v>
      </c>
      <c r="C1175">
        <f t="shared" ca="1" si="235"/>
        <v>23</v>
      </c>
      <c r="D1175" t="str">
        <f t="shared" ca="1" si="236"/>
        <v>Other</v>
      </c>
      <c r="E1175" t="str">
        <f t="shared" ca="1" si="237"/>
        <v>Jeans</v>
      </c>
      <c r="F1175">
        <f t="shared" ca="1" si="238"/>
        <v>6095</v>
      </c>
      <c r="G1175">
        <f t="shared" ca="1" si="239"/>
        <v>20</v>
      </c>
      <c r="H1175">
        <f t="shared" ca="1" si="240"/>
        <v>4876</v>
      </c>
      <c r="I1175">
        <f t="shared" ca="1" si="241"/>
        <v>1</v>
      </c>
      <c r="J1175">
        <f t="shared" ca="1" si="242"/>
        <v>0</v>
      </c>
      <c r="K1175">
        <f t="shared" ca="1" si="243"/>
        <v>0</v>
      </c>
      <c r="L1175">
        <f t="shared" ca="1" si="244"/>
        <v>0</v>
      </c>
      <c r="M1175">
        <f t="shared" ca="1" si="245"/>
        <v>2</v>
      </c>
      <c r="N1175">
        <f t="shared" ca="1" si="246"/>
        <v>0</v>
      </c>
    </row>
    <row r="1176" spans="1:14" x14ac:dyDescent="0.35">
      <c r="A1176" t="s">
        <v>1193</v>
      </c>
      <c r="B1176" t="str">
        <f t="shared" si="234"/>
        <v>Test</v>
      </c>
      <c r="C1176">
        <f t="shared" ca="1" si="235"/>
        <v>41</v>
      </c>
      <c r="D1176" t="str">
        <f t="shared" ca="1" si="236"/>
        <v>Female</v>
      </c>
      <c r="E1176" t="str">
        <f t="shared" ca="1" si="237"/>
        <v>Shoes</v>
      </c>
      <c r="F1176">
        <f t="shared" ca="1" si="238"/>
        <v>1940</v>
      </c>
      <c r="G1176">
        <f t="shared" ca="1" si="239"/>
        <v>20</v>
      </c>
      <c r="H1176">
        <f t="shared" ca="1" si="240"/>
        <v>1552</v>
      </c>
      <c r="I1176">
        <f t="shared" ca="1" si="241"/>
        <v>1</v>
      </c>
      <c r="J1176">
        <f t="shared" ca="1" si="242"/>
        <v>1</v>
      </c>
      <c r="K1176">
        <f t="shared" ca="1" si="243"/>
        <v>0</v>
      </c>
      <c r="L1176">
        <f t="shared" ca="1" si="244"/>
        <v>0</v>
      </c>
      <c r="M1176">
        <f t="shared" ca="1" si="245"/>
        <v>4</v>
      </c>
      <c r="N1176">
        <f t="shared" ca="1" si="246"/>
        <v>0</v>
      </c>
    </row>
    <row r="1177" spans="1:14" x14ac:dyDescent="0.35">
      <c r="A1177" t="s">
        <v>1194</v>
      </c>
      <c r="B1177" t="str">
        <f t="shared" si="234"/>
        <v>Test</v>
      </c>
      <c r="C1177">
        <f t="shared" ca="1" si="235"/>
        <v>43</v>
      </c>
      <c r="D1177" t="str">
        <f t="shared" ca="1" si="236"/>
        <v>Male</v>
      </c>
      <c r="E1177" t="str">
        <f t="shared" ca="1" si="237"/>
        <v>Sportswear</v>
      </c>
      <c r="F1177">
        <f t="shared" ca="1" si="238"/>
        <v>1354</v>
      </c>
      <c r="G1177">
        <f t="shared" ca="1" si="239"/>
        <v>25</v>
      </c>
      <c r="H1177">
        <f t="shared" ca="1" si="240"/>
        <v>1015.5</v>
      </c>
      <c r="I1177">
        <f t="shared" ca="1" si="241"/>
        <v>1</v>
      </c>
      <c r="J1177">
        <f t="shared" ca="1" si="242"/>
        <v>1</v>
      </c>
      <c r="K1177">
        <f t="shared" ca="1" si="243"/>
        <v>0</v>
      </c>
      <c r="L1177">
        <f t="shared" ca="1" si="244"/>
        <v>0</v>
      </c>
      <c r="M1177">
        <f t="shared" ca="1" si="245"/>
        <v>7</v>
      </c>
      <c r="N1177">
        <f t="shared" ca="1" si="246"/>
        <v>0</v>
      </c>
    </row>
    <row r="1178" spans="1:14" x14ac:dyDescent="0.35">
      <c r="A1178" t="s">
        <v>1195</v>
      </c>
      <c r="B1178" t="str">
        <f t="shared" si="234"/>
        <v>Test</v>
      </c>
      <c r="C1178">
        <f t="shared" ca="1" si="235"/>
        <v>30</v>
      </c>
      <c r="D1178" t="str">
        <f t="shared" ca="1" si="236"/>
        <v>Male</v>
      </c>
      <c r="E1178" t="str">
        <f t="shared" ca="1" si="237"/>
        <v>Sportswear</v>
      </c>
      <c r="F1178">
        <f t="shared" ca="1" si="238"/>
        <v>7960</v>
      </c>
      <c r="G1178">
        <f t="shared" ca="1" si="239"/>
        <v>20</v>
      </c>
      <c r="H1178">
        <f t="shared" ca="1" si="240"/>
        <v>6368</v>
      </c>
      <c r="I1178">
        <f t="shared" ca="1" si="241"/>
        <v>1</v>
      </c>
      <c r="J1178">
        <f t="shared" ca="1" si="242"/>
        <v>1</v>
      </c>
      <c r="K1178">
        <f t="shared" ca="1" si="243"/>
        <v>0</v>
      </c>
      <c r="L1178">
        <f t="shared" ca="1" si="244"/>
        <v>0</v>
      </c>
      <c r="M1178">
        <f t="shared" ca="1" si="245"/>
        <v>4</v>
      </c>
      <c r="N1178">
        <f t="shared" ca="1" si="246"/>
        <v>0</v>
      </c>
    </row>
    <row r="1179" spans="1:14" x14ac:dyDescent="0.35">
      <c r="A1179" t="s">
        <v>1196</v>
      </c>
      <c r="B1179" t="str">
        <f t="shared" si="234"/>
        <v>Test</v>
      </c>
      <c r="C1179">
        <f t="shared" ca="1" si="235"/>
        <v>45</v>
      </c>
      <c r="D1179" t="str">
        <f t="shared" ca="1" si="236"/>
        <v>Male</v>
      </c>
      <c r="E1179" t="str">
        <f t="shared" ca="1" si="237"/>
        <v>Dresses</v>
      </c>
      <c r="F1179">
        <f t="shared" ca="1" si="238"/>
        <v>7519</v>
      </c>
      <c r="G1179">
        <f t="shared" ca="1" si="239"/>
        <v>15</v>
      </c>
      <c r="H1179">
        <f t="shared" ca="1" si="240"/>
        <v>6391.15</v>
      </c>
      <c r="I1179">
        <f t="shared" ca="1" si="241"/>
        <v>1</v>
      </c>
      <c r="J1179">
        <f t="shared" ca="1" si="242"/>
        <v>1</v>
      </c>
      <c r="K1179">
        <f t="shared" ca="1" si="243"/>
        <v>1</v>
      </c>
      <c r="L1179">
        <f t="shared" ca="1" si="244"/>
        <v>6391.15</v>
      </c>
      <c r="M1179">
        <f t="shared" ca="1" si="245"/>
        <v>5</v>
      </c>
      <c r="N1179">
        <f t="shared" ca="1" si="246"/>
        <v>0</v>
      </c>
    </row>
    <row r="1180" spans="1:14" x14ac:dyDescent="0.35">
      <c r="A1180" t="s">
        <v>1197</v>
      </c>
      <c r="B1180" t="str">
        <f t="shared" si="234"/>
        <v>Test</v>
      </c>
      <c r="C1180">
        <f t="shared" ca="1" si="235"/>
        <v>26</v>
      </c>
      <c r="D1180" t="str">
        <f t="shared" ca="1" si="236"/>
        <v>Male</v>
      </c>
      <c r="E1180" t="str">
        <f t="shared" ca="1" si="237"/>
        <v>Sportswear</v>
      </c>
      <c r="F1180">
        <f t="shared" ca="1" si="238"/>
        <v>1367</v>
      </c>
      <c r="G1180">
        <f t="shared" ca="1" si="239"/>
        <v>25</v>
      </c>
      <c r="H1180">
        <f t="shared" ca="1" si="240"/>
        <v>1025.25</v>
      </c>
      <c r="I1180">
        <f t="shared" ca="1" si="241"/>
        <v>1</v>
      </c>
      <c r="J1180">
        <f t="shared" ca="1" si="242"/>
        <v>0</v>
      </c>
      <c r="K1180">
        <f t="shared" ca="1" si="243"/>
        <v>0</v>
      </c>
      <c r="L1180">
        <f t="shared" ca="1" si="244"/>
        <v>0</v>
      </c>
      <c r="M1180">
        <f t="shared" ca="1" si="245"/>
        <v>5</v>
      </c>
      <c r="N1180">
        <f t="shared" ca="1" si="246"/>
        <v>0</v>
      </c>
    </row>
    <row r="1181" spans="1:14" x14ac:dyDescent="0.35">
      <c r="A1181" t="s">
        <v>1198</v>
      </c>
      <c r="B1181" t="str">
        <f t="shared" si="234"/>
        <v>Test</v>
      </c>
      <c r="C1181">
        <f t="shared" ca="1" si="235"/>
        <v>23</v>
      </c>
      <c r="D1181" t="str">
        <f t="shared" ca="1" si="236"/>
        <v>Female</v>
      </c>
      <c r="E1181" t="str">
        <f t="shared" ca="1" si="237"/>
        <v>Accessories</v>
      </c>
      <c r="F1181">
        <f t="shared" ca="1" si="238"/>
        <v>2570</v>
      </c>
      <c r="G1181">
        <f t="shared" ca="1" si="239"/>
        <v>20</v>
      </c>
      <c r="H1181">
        <f t="shared" ca="1" si="240"/>
        <v>2056</v>
      </c>
      <c r="I1181">
        <f t="shared" ca="1" si="241"/>
        <v>1</v>
      </c>
      <c r="J1181">
        <f t="shared" ca="1" si="242"/>
        <v>1</v>
      </c>
      <c r="K1181">
        <f t="shared" ca="1" si="243"/>
        <v>0</v>
      </c>
      <c r="L1181">
        <f t="shared" ca="1" si="244"/>
        <v>0</v>
      </c>
      <c r="M1181">
        <f t="shared" ca="1" si="245"/>
        <v>2</v>
      </c>
      <c r="N1181">
        <f t="shared" ca="1" si="246"/>
        <v>0</v>
      </c>
    </row>
    <row r="1182" spans="1:14" x14ac:dyDescent="0.35">
      <c r="A1182" t="s">
        <v>1199</v>
      </c>
      <c r="B1182" t="str">
        <f t="shared" si="234"/>
        <v>Test</v>
      </c>
      <c r="C1182">
        <f t="shared" ca="1" si="235"/>
        <v>27</v>
      </c>
      <c r="D1182" t="str">
        <f t="shared" ca="1" si="236"/>
        <v>Male</v>
      </c>
      <c r="E1182" t="str">
        <f t="shared" ca="1" si="237"/>
        <v>Tops</v>
      </c>
      <c r="F1182">
        <f t="shared" ca="1" si="238"/>
        <v>1791</v>
      </c>
      <c r="G1182">
        <f t="shared" ca="1" si="239"/>
        <v>25</v>
      </c>
      <c r="H1182">
        <f t="shared" ca="1" si="240"/>
        <v>1343.25</v>
      </c>
      <c r="I1182">
        <f t="shared" ca="1" si="241"/>
        <v>1</v>
      </c>
      <c r="J1182">
        <f t="shared" ca="1" si="242"/>
        <v>0</v>
      </c>
      <c r="K1182">
        <f t="shared" ca="1" si="243"/>
        <v>0</v>
      </c>
      <c r="L1182">
        <f t="shared" ca="1" si="244"/>
        <v>0</v>
      </c>
      <c r="M1182">
        <f t="shared" ca="1" si="245"/>
        <v>7</v>
      </c>
      <c r="N1182">
        <f t="shared" ca="1" si="246"/>
        <v>0</v>
      </c>
    </row>
    <row r="1183" spans="1:14" x14ac:dyDescent="0.35">
      <c r="A1183" t="s">
        <v>1200</v>
      </c>
      <c r="B1183" t="str">
        <f t="shared" si="234"/>
        <v>Test</v>
      </c>
      <c r="C1183">
        <f t="shared" ca="1" si="235"/>
        <v>26</v>
      </c>
      <c r="D1183" t="str">
        <f t="shared" ca="1" si="236"/>
        <v>Male</v>
      </c>
      <c r="E1183" t="str">
        <f t="shared" ca="1" si="237"/>
        <v>Shoes</v>
      </c>
      <c r="F1183">
        <f t="shared" ca="1" si="238"/>
        <v>2253</v>
      </c>
      <c r="G1183">
        <f t="shared" ca="1" si="239"/>
        <v>15</v>
      </c>
      <c r="H1183">
        <f t="shared" ca="1" si="240"/>
        <v>1915.05</v>
      </c>
      <c r="I1183">
        <f t="shared" ca="1" si="241"/>
        <v>1</v>
      </c>
      <c r="J1183">
        <f t="shared" ca="1" si="242"/>
        <v>1</v>
      </c>
      <c r="K1183">
        <f t="shared" ca="1" si="243"/>
        <v>0</v>
      </c>
      <c r="L1183">
        <f t="shared" ca="1" si="244"/>
        <v>0</v>
      </c>
      <c r="M1183">
        <f t="shared" ca="1" si="245"/>
        <v>3</v>
      </c>
      <c r="N1183">
        <f t="shared" ca="1" si="246"/>
        <v>0</v>
      </c>
    </row>
    <row r="1184" spans="1:14" x14ac:dyDescent="0.35">
      <c r="A1184" t="s">
        <v>1201</v>
      </c>
      <c r="B1184" t="str">
        <f t="shared" si="234"/>
        <v>Test</v>
      </c>
      <c r="C1184">
        <f t="shared" ca="1" si="235"/>
        <v>20</v>
      </c>
      <c r="D1184" t="str">
        <f t="shared" ca="1" si="236"/>
        <v>Female</v>
      </c>
      <c r="E1184" t="str">
        <f t="shared" ca="1" si="237"/>
        <v>Jeans</v>
      </c>
      <c r="F1184">
        <f t="shared" ca="1" si="238"/>
        <v>2640</v>
      </c>
      <c r="G1184">
        <f t="shared" ca="1" si="239"/>
        <v>15</v>
      </c>
      <c r="H1184">
        <f t="shared" ca="1" si="240"/>
        <v>2244</v>
      </c>
      <c r="I1184">
        <f t="shared" ca="1" si="241"/>
        <v>1</v>
      </c>
      <c r="J1184">
        <f t="shared" ca="1" si="242"/>
        <v>0</v>
      </c>
      <c r="K1184">
        <f t="shared" ca="1" si="243"/>
        <v>0</v>
      </c>
      <c r="L1184">
        <f t="shared" ca="1" si="244"/>
        <v>0</v>
      </c>
      <c r="M1184">
        <f t="shared" ca="1" si="245"/>
        <v>3</v>
      </c>
      <c r="N1184">
        <f t="shared" ca="1" si="246"/>
        <v>0</v>
      </c>
    </row>
    <row r="1185" spans="1:14" x14ac:dyDescent="0.35">
      <c r="A1185" t="s">
        <v>1202</v>
      </c>
      <c r="B1185" t="str">
        <f t="shared" si="234"/>
        <v>Test</v>
      </c>
      <c r="C1185">
        <f t="shared" ca="1" si="235"/>
        <v>36</v>
      </c>
      <c r="D1185" t="str">
        <f t="shared" ca="1" si="236"/>
        <v>Male</v>
      </c>
      <c r="E1185" t="str">
        <f t="shared" ca="1" si="237"/>
        <v>Tops</v>
      </c>
      <c r="F1185">
        <f t="shared" ca="1" si="238"/>
        <v>3896</v>
      </c>
      <c r="G1185">
        <f t="shared" ca="1" si="239"/>
        <v>20</v>
      </c>
      <c r="H1185">
        <f t="shared" ca="1" si="240"/>
        <v>3116.8</v>
      </c>
      <c r="I1185">
        <f t="shared" ca="1" si="241"/>
        <v>1</v>
      </c>
      <c r="J1185">
        <f t="shared" ca="1" si="242"/>
        <v>1</v>
      </c>
      <c r="K1185">
        <f t="shared" ca="1" si="243"/>
        <v>0</v>
      </c>
      <c r="L1185">
        <f t="shared" ca="1" si="244"/>
        <v>0</v>
      </c>
      <c r="M1185">
        <f t="shared" ca="1" si="245"/>
        <v>4</v>
      </c>
      <c r="N1185">
        <f t="shared" ca="1" si="246"/>
        <v>0</v>
      </c>
    </row>
    <row r="1186" spans="1:14" x14ac:dyDescent="0.35">
      <c r="A1186" t="s">
        <v>1203</v>
      </c>
      <c r="B1186" t="str">
        <f t="shared" si="234"/>
        <v>Test</v>
      </c>
      <c r="C1186">
        <f t="shared" ca="1" si="235"/>
        <v>39</v>
      </c>
      <c r="D1186" t="str">
        <f t="shared" ca="1" si="236"/>
        <v>Male</v>
      </c>
      <c r="E1186" t="str">
        <f t="shared" ca="1" si="237"/>
        <v>Dresses</v>
      </c>
      <c r="F1186">
        <f t="shared" ca="1" si="238"/>
        <v>3088</v>
      </c>
      <c r="G1186">
        <f t="shared" ca="1" si="239"/>
        <v>25</v>
      </c>
      <c r="H1186">
        <f t="shared" ca="1" si="240"/>
        <v>2316</v>
      </c>
      <c r="I1186">
        <f t="shared" ca="1" si="241"/>
        <v>1</v>
      </c>
      <c r="J1186">
        <f t="shared" ca="1" si="242"/>
        <v>1</v>
      </c>
      <c r="K1186">
        <f t="shared" ca="1" si="243"/>
        <v>0</v>
      </c>
      <c r="L1186">
        <f t="shared" ca="1" si="244"/>
        <v>0</v>
      </c>
      <c r="M1186">
        <f t="shared" ca="1" si="245"/>
        <v>5</v>
      </c>
      <c r="N1186">
        <f t="shared" ca="1" si="246"/>
        <v>0</v>
      </c>
    </row>
    <row r="1187" spans="1:14" x14ac:dyDescent="0.35">
      <c r="A1187" t="s">
        <v>1204</v>
      </c>
      <c r="B1187" t="str">
        <f t="shared" si="234"/>
        <v>Test</v>
      </c>
      <c r="C1187">
        <f t="shared" ca="1" si="235"/>
        <v>22</v>
      </c>
      <c r="D1187" t="str">
        <f t="shared" ca="1" si="236"/>
        <v>Female</v>
      </c>
      <c r="E1187" t="str">
        <f t="shared" ca="1" si="237"/>
        <v>Shoes</v>
      </c>
      <c r="F1187">
        <f t="shared" ca="1" si="238"/>
        <v>4800</v>
      </c>
      <c r="G1187">
        <f t="shared" ca="1" si="239"/>
        <v>25</v>
      </c>
      <c r="H1187">
        <f t="shared" ca="1" si="240"/>
        <v>3600</v>
      </c>
      <c r="I1187">
        <f t="shared" ca="1" si="241"/>
        <v>1</v>
      </c>
      <c r="J1187">
        <f t="shared" ca="1" si="242"/>
        <v>1</v>
      </c>
      <c r="K1187">
        <f t="shared" ca="1" si="243"/>
        <v>1</v>
      </c>
      <c r="L1187">
        <f t="shared" ca="1" si="244"/>
        <v>3600</v>
      </c>
      <c r="M1187">
        <f t="shared" ca="1" si="245"/>
        <v>4</v>
      </c>
      <c r="N1187">
        <f t="shared" ca="1" si="246"/>
        <v>0</v>
      </c>
    </row>
    <row r="1188" spans="1:14" x14ac:dyDescent="0.35">
      <c r="A1188" t="s">
        <v>1205</v>
      </c>
      <c r="B1188" t="str">
        <f t="shared" si="234"/>
        <v>Test</v>
      </c>
      <c r="C1188">
        <f t="shared" ca="1" si="235"/>
        <v>39</v>
      </c>
      <c r="D1188" t="str">
        <f t="shared" ca="1" si="236"/>
        <v>Male</v>
      </c>
      <c r="E1188" t="str">
        <f t="shared" ca="1" si="237"/>
        <v>Sportswear</v>
      </c>
      <c r="F1188">
        <f t="shared" ca="1" si="238"/>
        <v>5462</v>
      </c>
      <c r="G1188">
        <f t="shared" ca="1" si="239"/>
        <v>25</v>
      </c>
      <c r="H1188">
        <f t="shared" ca="1" si="240"/>
        <v>4096.5</v>
      </c>
      <c r="I1188">
        <f t="shared" ca="1" si="241"/>
        <v>0</v>
      </c>
      <c r="J1188">
        <f t="shared" ca="1" si="242"/>
        <v>0</v>
      </c>
      <c r="K1188">
        <f t="shared" ca="1" si="243"/>
        <v>0</v>
      </c>
      <c r="L1188">
        <f t="shared" ca="1" si="244"/>
        <v>0</v>
      </c>
      <c r="M1188">
        <f t="shared" ca="1" si="245"/>
        <v>3</v>
      </c>
      <c r="N1188">
        <f t="shared" ca="1" si="246"/>
        <v>0</v>
      </c>
    </row>
    <row r="1189" spans="1:14" x14ac:dyDescent="0.35">
      <c r="A1189" t="s">
        <v>1206</v>
      </c>
      <c r="B1189" t="str">
        <f t="shared" si="234"/>
        <v>Test</v>
      </c>
      <c r="C1189">
        <f t="shared" ca="1" si="235"/>
        <v>27</v>
      </c>
      <c r="D1189" t="str">
        <f t="shared" ca="1" si="236"/>
        <v>Female</v>
      </c>
      <c r="E1189" t="str">
        <f t="shared" ca="1" si="237"/>
        <v>Sportswear</v>
      </c>
      <c r="F1189">
        <f t="shared" ca="1" si="238"/>
        <v>3871</v>
      </c>
      <c r="G1189">
        <f t="shared" ca="1" si="239"/>
        <v>15</v>
      </c>
      <c r="H1189">
        <f t="shared" ca="1" si="240"/>
        <v>3290.35</v>
      </c>
      <c r="I1189">
        <f t="shared" ca="1" si="241"/>
        <v>0</v>
      </c>
      <c r="J1189">
        <f t="shared" ca="1" si="242"/>
        <v>0</v>
      </c>
      <c r="K1189">
        <f t="shared" ca="1" si="243"/>
        <v>0</v>
      </c>
      <c r="L1189">
        <f t="shared" ca="1" si="244"/>
        <v>0</v>
      </c>
      <c r="M1189">
        <f t="shared" ca="1" si="245"/>
        <v>6</v>
      </c>
      <c r="N1189">
        <f t="shared" ca="1" si="246"/>
        <v>0</v>
      </c>
    </row>
    <row r="1190" spans="1:14" x14ac:dyDescent="0.35">
      <c r="A1190" t="s">
        <v>1207</v>
      </c>
      <c r="B1190" t="str">
        <f t="shared" si="234"/>
        <v>Test</v>
      </c>
      <c r="C1190">
        <f t="shared" ca="1" si="235"/>
        <v>25</v>
      </c>
      <c r="D1190" t="str">
        <f t="shared" ca="1" si="236"/>
        <v>Male</v>
      </c>
      <c r="E1190" t="str">
        <f t="shared" ca="1" si="237"/>
        <v>Ethnic Wear</v>
      </c>
      <c r="F1190">
        <f t="shared" ca="1" si="238"/>
        <v>828</v>
      </c>
      <c r="G1190">
        <f t="shared" ca="1" si="239"/>
        <v>20</v>
      </c>
      <c r="H1190">
        <f t="shared" ca="1" si="240"/>
        <v>662.40000000000009</v>
      </c>
      <c r="I1190">
        <f t="shared" ca="1" si="241"/>
        <v>1</v>
      </c>
      <c r="J1190">
        <f t="shared" ca="1" si="242"/>
        <v>1</v>
      </c>
      <c r="K1190">
        <f t="shared" ca="1" si="243"/>
        <v>1</v>
      </c>
      <c r="L1190">
        <f t="shared" ca="1" si="244"/>
        <v>662.40000000000009</v>
      </c>
      <c r="M1190">
        <f t="shared" ca="1" si="245"/>
        <v>2</v>
      </c>
      <c r="N1190">
        <f t="shared" ca="1" si="246"/>
        <v>0</v>
      </c>
    </row>
    <row r="1191" spans="1:14" x14ac:dyDescent="0.35">
      <c r="A1191" t="s">
        <v>1208</v>
      </c>
      <c r="B1191" t="str">
        <f t="shared" si="234"/>
        <v>Test</v>
      </c>
      <c r="C1191">
        <f t="shared" ca="1" si="235"/>
        <v>26</v>
      </c>
      <c r="D1191" t="str">
        <f t="shared" ca="1" si="236"/>
        <v>Female</v>
      </c>
      <c r="E1191" t="str">
        <f t="shared" ca="1" si="237"/>
        <v>Sportswear</v>
      </c>
      <c r="F1191">
        <f t="shared" ca="1" si="238"/>
        <v>814</v>
      </c>
      <c r="G1191">
        <f t="shared" ca="1" si="239"/>
        <v>20</v>
      </c>
      <c r="H1191">
        <f t="shared" ca="1" si="240"/>
        <v>651.20000000000005</v>
      </c>
      <c r="I1191">
        <f t="shared" ca="1" si="241"/>
        <v>1</v>
      </c>
      <c r="J1191">
        <f t="shared" ca="1" si="242"/>
        <v>1</v>
      </c>
      <c r="K1191">
        <f t="shared" ca="1" si="243"/>
        <v>0</v>
      </c>
      <c r="L1191">
        <f t="shared" ca="1" si="244"/>
        <v>0</v>
      </c>
      <c r="M1191">
        <f t="shared" ca="1" si="245"/>
        <v>2</v>
      </c>
      <c r="N1191">
        <f t="shared" ca="1" si="246"/>
        <v>0</v>
      </c>
    </row>
    <row r="1192" spans="1:14" x14ac:dyDescent="0.35">
      <c r="A1192" t="s">
        <v>1209</v>
      </c>
      <c r="B1192" t="str">
        <f t="shared" si="234"/>
        <v>Test</v>
      </c>
      <c r="C1192">
        <f t="shared" ca="1" si="235"/>
        <v>39</v>
      </c>
      <c r="D1192" t="str">
        <f t="shared" ca="1" si="236"/>
        <v>Male</v>
      </c>
      <c r="E1192" t="str">
        <f t="shared" ca="1" si="237"/>
        <v>T-shirts</v>
      </c>
      <c r="F1192">
        <f t="shared" ca="1" si="238"/>
        <v>544</v>
      </c>
      <c r="G1192">
        <f t="shared" ca="1" si="239"/>
        <v>20</v>
      </c>
      <c r="H1192">
        <f t="shared" ca="1" si="240"/>
        <v>435.20000000000005</v>
      </c>
      <c r="I1192">
        <f t="shared" ca="1" si="241"/>
        <v>1</v>
      </c>
      <c r="J1192">
        <f t="shared" ca="1" si="242"/>
        <v>0</v>
      </c>
      <c r="K1192">
        <f t="shared" ca="1" si="243"/>
        <v>0</v>
      </c>
      <c r="L1192">
        <f t="shared" ca="1" si="244"/>
        <v>0</v>
      </c>
      <c r="M1192">
        <f t="shared" ca="1" si="245"/>
        <v>7</v>
      </c>
      <c r="N1192">
        <f t="shared" ca="1" si="246"/>
        <v>0</v>
      </c>
    </row>
    <row r="1193" spans="1:14" x14ac:dyDescent="0.35">
      <c r="A1193" t="s">
        <v>1210</v>
      </c>
      <c r="B1193" t="str">
        <f t="shared" si="234"/>
        <v>Test</v>
      </c>
      <c r="C1193">
        <f t="shared" ca="1" si="235"/>
        <v>33</v>
      </c>
      <c r="D1193" t="str">
        <f t="shared" ca="1" si="236"/>
        <v>Male</v>
      </c>
      <c r="E1193" t="str">
        <f t="shared" ca="1" si="237"/>
        <v>Accessories</v>
      </c>
      <c r="F1193">
        <f t="shared" ca="1" si="238"/>
        <v>4976</v>
      </c>
      <c r="G1193">
        <f t="shared" ca="1" si="239"/>
        <v>15</v>
      </c>
      <c r="H1193">
        <f t="shared" ca="1" si="240"/>
        <v>4229.5999999999995</v>
      </c>
      <c r="I1193">
        <f t="shared" ca="1" si="241"/>
        <v>1</v>
      </c>
      <c r="J1193">
        <f t="shared" ca="1" si="242"/>
        <v>0</v>
      </c>
      <c r="K1193">
        <f t="shared" ca="1" si="243"/>
        <v>0</v>
      </c>
      <c r="L1193">
        <f t="shared" ca="1" si="244"/>
        <v>0</v>
      </c>
      <c r="M1193">
        <f t="shared" ca="1" si="245"/>
        <v>3</v>
      </c>
      <c r="N1193">
        <f t="shared" ca="1" si="246"/>
        <v>0</v>
      </c>
    </row>
    <row r="1194" spans="1:14" x14ac:dyDescent="0.35">
      <c r="A1194" t="s">
        <v>1211</v>
      </c>
      <c r="B1194" t="str">
        <f t="shared" si="234"/>
        <v>Test</v>
      </c>
      <c r="C1194">
        <f t="shared" ca="1" si="235"/>
        <v>19</v>
      </c>
      <c r="D1194" t="str">
        <f t="shared" ca="1" si="236"/>
        <v>Female</v>
      </c>
      <c r="E1194" t="str">
        <f t="shared" ca="1" si="237"/>
        <v>Sportswear</v>
      </c>
      <c r="F1194">
        <f t="shared" ca="1" si="238"/>
        <v>4852</v>
      </c>
      <c r="G1194">
        <f t="shared" ca="1" si="239"/>
        <v>15</v>
      </c>
      <c r="H1194">
        <f t="shared" ca="1" si="240"/>
        <v>4124.2</v>
      </c>
      <c r="I1194">
        <f t="shared" ca="1" si="241"/>
        <v>1</v>
      </c>
      <c r="J1194">
        <f t="shared" ca="1" si="242"/>
        <v>1</v>
      </c>
      <c r="K1194">
        <f t="shared" ca="1" si="243"/>
        <v>0</v>
      </c>
      <c r="L1194">
        <f t="shared" ca="1" si="244"/>
        <v>0</v>
      </c>
      <c r="M1194">
        <f t="shared" ca="1" si="245"/>
        <v>6</v>
      </c>
      <c r="N1194">
        <f t="shared" ca="1" si="246"/>
        <v>0</v>
      </c>
    </row>
    <row r="1195" spans="1:14" x14ac:dyDescent="0.35">
      <c r="A1195" t="s">
        <v>1212</v>
      </c>
      <c r="B1195" t="str">
        <f t="shared" si="234"/>
        <v>Test</v>
      </c>
      <c r="C1195">
        <f t="shared" ca="1" si="235"/>
        <v>26</v>
      </c>
      <c r="D1195" t="str">
        <f t="shared" ca="1" si="236"/>
        <v>Male</v>
      </c>
      <c r="E1195" t="str">
        <f t="shared" ca="1" si="237"/>
        <v>Shoes</v>
      </c>
      <c r="F1195">
        <f t="shared" ca="1" si="238"/>
        <v>5294</v>
      </c>
      <c r="G1195">
        <f t="shared" ca="1" si="239"/>
        <v>15</v>
      </c>
      <c r="H1195">
        <f t="shared" ca="1" si="240"/>
        <v>4499.8999999999996</v>
      </c>
      <c r="I1195">
        <f t="shared" ca="1" si="241"/>
        <v>1</v>
      </c>
      <c r="J1195">
        <f t="shared" ca="1" si="242"/>
        <v>1</v>
      </c>
      <c r="K1195">
        <f t="shared" ca="1" si="243"/>
        <v>0</v>
      </c>
      <c r="L1195">
        <f t="shared" ca="1" si="244"/>
        <v>0</v>
      </c>
      <c r="M1195">
        <f t="shared" ca="1" si="245"/>
        <v>1</v>
      </c>
      <c r="N1195">
        <f t="shared" ca="1" si="246"/>
        <v>0</v>
      </c>
    </row>
    <row r="1196" spans="1:14" x14ac:dyDescent="0.35">
      <c r="A1196" t="s">
        <v>1213</v>
      </c>
      <c r="B1196" t="str">
        <f t="shared" si="234"/>
        <v>Test</v>
      </c>
      <c r="C1196">
        <f t="shared" ca="1" si="235"/>
        <v>32</v>
      </c>
      <c r="D1196" t="str">
        <f t="shared" ca="1" si="236"/>
        <v>Female</v>
      </c>
      <c r="E1196" t="str">
        <f t="shared" ca="1" si="237"/>
        <v>T-shirts</v>
      </c>
      <c r="F1196">
        <f t="shared" ca="1" si="238"/>
        <v>5902</v>
      </c>
      <c r="G1196">
        <f t="shared" ca="1" si="239"/>
        <v>20</v>
      </c>
      <c r="H1196">
        <f t="shared" ca="1" si="240"/>
        <v>4721.6000000000004</v>
      </c>
      <c r="I1196">
        <f t="shared" ca="1" si="241"/>
        <v>1</v>
      </c>
      <c r="J1196">
        <f t="shared" ca="1" si="242"/>
        <v>1</v>
      </c>
      <c r="K1196">
        <f t="shared" ca="1" si="243"/>
        <v>1</v>
      </c>
      <c r="L1196">
        <f t="shared" ca="1" si="244"/>
        <v>4721.6000000000004</v>
      </c>
      <c r="M1196">
        <f t="shared" ca="1" si="245"/>
        <v>2</v>
      </c>
      <c r="N1196">
        <f t="shared" ca="1" si="246"/>
        <v>0</v>
      </c>
    </row>
    <row r="1197" spans="1:14" x14ac:dyDescent="0.35">
      <c r="A1197" t="s">
        <v>1214</v>
      </c>
      <c r="B1197" t="str">
        <f t="shared" si="234"/>
        <v>Test</v>
      </c>
      <c r="C1197">
        <f t="shared" ca="1" si="235"/>
        <v>27</v>
      </c>
      <c r="D1197" t="str">
        <f t="shared" ca="1" si="236"/>
        <v>Male</v>
      </c>
      <c r="E1197" t="str">
        <f t="shared" ca="1" si="237"/>
        <v>Ethnic Wear</v>
      </c>
      <c r="F1197">
        <f t="shared" ca="1" si="238"/>
        <v>5028</v>
      </c>
      <c r="G1197">
        <f t="shared" ca="1" si="239"/>
        <v>20</v>
      </c>
      <c r="H1197">
        <f t="shared" ca="1" si="240"/>
        <v>4022.4</v>
      </c>
      <c r="I1197">
        <f t="shared" ca="1" si="241"/>
        <v>1</v>
      </c>
      <c r="J1197">
        <f t="shared" ca="1" si="242"/>
        <v>0</v>
      </c>
      <c r="K1197">
        <f t="shared" ca="1" si="243"/>
        <v>0</v>
      </c>
      <c r="L1197">
        <f t="shared" ca="1" si="244"/>
        <v>0</v>
      </c>
      <c r="M1197">
        <f t="shared" ca="1" si="245"/>
        <v>3</v>
      </c>
      <c r="N1197">
        <f t="shared" ca="1" si="246"/>
        <v>0</v>
      </c>
    </row>
    <row r="1198" spans="1:14" x14ac:dyDescent="0.35">
      <c r="A1198" t="s">
        <v>1215</v>
      </c>
      <c r="B1198" t="str">
        <f t="shared" si="234"/>
        <v>Test</v>
      </c>
      <c r="C1198">
        <f t="shared" ca="1" si="235"/>
        <v>45</v>
      </c>
      <c r="D1198" t="str">
        <f t="shared" ca="1" si="236"/>
        <v>Female</v>
      </c>
      <c r="E1198" t="str">
        <f t="shared" ca="1" si="237"/>
        <v>Dresses</v>
      </c>
      <c r="F1198">
        <f t="shared" ca="1" si="238"/>
        <v>4578</v>
      </c>
      <c r="G1198">
        <f t="shared" ca="1" si="239"/>
        <v>20</v>
      </c>
      <c r="H1198">
        <f t="shared" ca="1" si="240"/>
        <v>3662.4</v>
      </c>
      <c r="I1198">
        <f t="shared" ca="1" si="241"/>
        <v>1</v>
      </c>
      <c r="J1198">
        <f t="shared" ca="1" si="242"/>
        <v>0</v>
      </c>
      <c r="K1198">
        <f t="shared" ca="1" si="243"/>
        <v>0</v>
      </c>
      <c r="L1198">
        <f t="shared" ca="1" si="244"/>
        <v>0</v>
      </c>
      <c r="M1198">
        <f t="shared" ca="1" si="245"/>
        <v>5</v>
      </c>
      <c r="N1198">
        <f t="shared" ca="1" si="246"/>
        <v>0</v>
      </c>
    </row>
    <row r="1199" spans="1:14" x14ac:dyDescent="0.35">
      <c r="A1199" t="s">
        <v>1216</v>
      </c>
      <c r="B1199" t="str">
        <f t="shared" si="234"/>
        <v>Test</v>
      </c>
      <c r="C1199">
        <f t="shared" ca="1" si="235"/>
        <v>19</v>
      </c>
      <c r="D1199" t="str">
        <f t="shared" ca="1" si="236"/>
        <v>Male</v>
      </c>
      <c r="E1199" t="str">
        <f t="shared" ca="1" si="237"/>
        <v>Shoes</v>
      </c>
      <c r="F1199">
        <f t="shared" ca="1" si="238"/>
        <v>7304</v>
      </c>
      <c r="G1199">
        <f t="shared" ca="1" si="239"/>
        <v>25</v>
      </c>
      <c r="H1199">
        <f t="shared" ca="1" si="240"/>
        <v>5478</v>
      </c>
      <c r="I1199">
        <f t="shared" ca="1" si="241"/>
        <v>1</v>
      </c>
      <c r="J1199">
        <f t="shared" ca="1" si="242"/>
        <v>1</v>
      </c>
      <c r="K1199">
        <f t="shared" ca="1" si="243"/>
        <v>0</v>
      </c>
      <c r="L1199">
        <f t="shared" ca="1" si="244"/>
        <v>0</v>
      </c>
      <c r="M1199">
        <f t="shared" ca="1" si="245"/>
        <v>2</v>
      </c>
      <c r="N1199">
        <f t="shared" ca="1" si="246"/>
        <v>0</v>
      </c>
    </row>
    <row r="1200" spans="1:14" x14ac:dyDescent="0.35">
      <c r="A1200" t="s">
        <v>1217</v>
      </c>
      <c r="B1200" t="str">
        <f t="shared" si="234"/>
        <v>Test</v>
      </c>
      <c r="C1200">
        <f t="shared" ca="1" si="235"/>
        <v>41</v>
      </c>
      <c r="D1200" t="str">
        <f t="shared" ca="1" si="236"/>
        <v>Female</v>
      </c>
      <c r="E1200" t="str">
        <f t="shared" ca="1" si="237"/>
        <v>Jeans</v>
      </c>
      <c r="F1200">
        <f t="shared" ca="1" si="238"/>
        <v>4990</v>
      </c>
      <c r="G1200">
        <f t="shared" ca="1" si="239"/>
        <v>25</v>
      </c>
      <c r="H1200">
        <f t="shared" ca="1" si="240"/>
        <v>3742.5</v>
      </c>
      <c r="I1200">
        <f t="shared" ca="1" si="241"/>
        <v>1</v>
      </c>
      <c r="J1200">
        <f t="shared" ca="1" si="242"/>
        <v>1</v>
      </c>
      <c r="K1200">
        <f t="shared" ca="1" si="243"/>
        <v>0</v>
      </c>
      <c r="L1200">
        <f t="shared" ca="1" si="244"/>
        <v>0</v>
      </c>
      <c r="M1200">
        <f t="shared" ca="1" si="245"/>
        <v>1</v>
      </c>
      <c r="N1200">
        <f t="shared" ca="1" si="246"/>
        <v>0</v>
      </c>
    </row>
    <row r="1201" spans="1:14" x14ac:dyDescent="0.35">
      <c r="A1201" t="s">
        <v>1218</v>
      </c>
      <c r="B1201" t="str">
        <f t="shared" si="234"/>
        <v>Test</v>
      </c>
      <c r="C1201">
        <f t="shared" ca="1" si="235"/>
        <v>42</v>
      </c>
      <c r="D1201" t="str">
        <f t="shared" ca="1" si="236"/>
        <v>Male</v>
      </c>
      <c r="E1201" t="str">
        <f t="shared" ca="1" si="237"/>
        <v>Ethnic Wear</v>
      </c>
      <c r="F1201">
        <f t="shared" ca="1" si="238"/>
        <v>3526</v>
      </c>
      <c r="G1201">
        <f t="shared" ca="1" si="239"/>
        <v>20</v>
      </c>
      <c r="H1201">
        <f t="shared" ca="1" si="240"/>
        <v>2820.8</v>
      </c>
      <c r="I1201">
        <f t="shared" ca="1" si="241"/>
        <v>1</v>
      </c>
      <c r="J1201">
        <f t="shared" ca="1" si="242"/>
        <v>0</v>
      </c>
      <c r="K1201">
        <f t="shared" ca="1" si="243"/>
        <v>0</v>
      </c>
      <c r="L1201">
        <f t="shared" ca="1" si="244"/>
        <v>0</v>
      </c>
      <c r="M1201">
        <f t="shared" ca="1" si="245"/>
        <v>5</v>
      </c>
      <c r="N1201">
        <f t="shared" ca="1" si="246"/>
        <v>0</v>
      </c>
    </row>
    <row r="1202" spans="1:14" x14ac:dyDescent="0.35">
      <c r="A1202" t="s">
        <v>1219</v>
      </c>
      <c r="B1202" t="str">
        <f t="shared" si="234"/>
        <v>Test</v>
      </c>
      <c r="C1202">
        <f t="shared" ca="1" si="235"/>
        <v>41</v>
      </c>
      <c r="D1202" t="str">
        <f t="shared" ca="1" si="236"/>
        <v>Female</v>
      </c>
      <c r="E1202" t="str">
        <f t="shared" ca="1" si="237"/>
        <v>Accessories</v>
      </c>
      <c r="F1202">
        <f t="shared" ca="1" si="238"/>
        <v>6942</v>
      </c>
      <c r="G1202">
        <f t="shared" ca="1" si="239"/>
        <v>20</v>
      </c>
      <c r="H1202">
        <f t="shared" ca="1" si="240"/>
        <v>5553.6</v>
      </c>
      <c r="I1202">
        <f t="shared" ca="1" si="241"/>
        <v>1</v>
      </c>
      <c r="J1202">
        <f t="shared" ca="1" si="242"/>
        <v>0</v>
      </c>
      <c r="K1202">
        <f t="shared" ca="1" si="243"/>
        <v>0</v>
      </c>
      <c r="L1202">
        <f t="shared" ca="1" si="244"/>
        <v>0</v>
      </c>
      <c r="M1202">
        <f t="shared" ca="1" si="245"/>
        <v>7</v>
      </c>
      <c r="N1202">
        <f t="shared" ca="1" si="246"/>
        <v>0</v>
      </c>
    </row>
    <row r="1203" spans="1:14" x14ac:dyDescent="0.35">
      <c r="A1203" t="s">
        <v>1220</v>
      </c>
      <c r="B1203" t="str">
        <f t="shared" si="234"/>
        <v>Test</v>
      </c>
      <c r="C1203">
        <f t="shared" ca="1" si="235"/>
        <v>37</v>
      </c>
      <c r="D1203" t="str">
        <f t="shared" ca="1" si="236"/>
        <v>Female</v>
      </c>
      <c r="E1203" t="str">
        <f t="shared" ca="1" si="237"/>
        <v>Shoes</v>
      </c>
      <c r="F1203">
        <f t="shared" ca="1" si="238"/>
        <v>1164</v>
      </c>
      <c r="G1203">
        <f t="shared" ca="1" si="239"/>
        <v>20</v>
      </c>
      <c r="H1203">
        <f t="shared" ca="1" si="240"/>
        <v>931.2</v>
      </c>
      <c r="I1203">
        <f t="shared" ca="1" si="241"/>
        <v>0</v>
      </c>
      <c r="J1203">
        <f t="shared" ca="1" si="242"/>
        <v>0</v>
      </c>
      <c r="K1203">
        <f t="shared" ca="1" si="243"/>
        <v>0</v>
      </c>
      <c r="L1203">
        <f t="shared" ca="1" si="244"/>
        <v>0</v>
      </c>
      <c r="M1203">
        <f t="shared" ca="1" si="245"/>
        <v>1</v>
      </c>
      <c r="N1203">
        <f t="shared" ca="1" si="246"/>
        <v>0</v>
      </c>
    </row>
    <row r="1204" spans="1:14" x14ac:dyDescent="0.35">
      <c r="A1204" t="s">
        <v>1221</v>
      </c>
      <c r="B1204" t="str">
        <f t="shared" si="234"/>
        <v>Test</v>
      </c>
      <c r="C1204">
        <f t="shared" ca="1" si="235"/>
        <v>25</v>
      </c>
      <c r="D1204" t="str">
        <f t="shared" ca="1" si="236"/>
        <v>Female</v>
      </c>
      <c r="E1204" t="str">
        <f t="shared" ca="1" si="237"/>
        <v>Sportswear</v>
      </c>
      <c r="F1204">
        <f t="shared" ca="1" si="238"/>
        <v>3011</v>
      </c>
      <c r="G1204">
        <f t="shared" ca="1" si="239"/>
        <v>25</v>
      </c>
      <c r="H1204">
        <f t="shared" ca="1" si="240"/>
        <v>2258.25</v>
      </c>
      <c r="I1204">
        <f t="shared" ca="1" si="241"/>
        <v>1</v>
      </c>
      <c r="J1204">
        <f t="shared" ca="1" si="242"/>
        <v>1</v>
      </c>
      <c r="K1204">
        <f t="shared" ca="1" si="243"/>
        <v>0</v>
      </c>
      <c r="L1204">
        <f t="shared" ca="1" si="244"/>
        <v>0</v>
      </c>
      <c r="M1204">
        <f t="shared" ca="1" si="245"/>
        <v>7</v>
      </c>
      <c r="N1204">
        <f t="shared" ca="1" si="246"/>
        <v>0</v>
      </c>
    </row>
    <row r="1205" spans="1:14" x14ac:dyDescent="0.35">
      <c r="A1205" t="s">
        <v>1222</v>
      </c>
      <c r="B1205" t="str">
        <f t="shared" si="234"/>
        <v>Test</v>
      </c>
      <c r="C1205">
        <f t="shared" ca="1" si="235"/>
        <v>22</v>
      </c>
      <c r="D1205" t="str">
        <f t="shared" ca="1" si="236"/>
        <v>Female</v>
      </c>
      <c r="E1205" t="str">
        <f t="shared" ca="1" si="237"/>
        <v>Accessories</v>
      </c>
      <c r="F1205">
        <f t="shared" ca="1" si="238"/>
        <v>2620</v>
      </c>
      <c r="G1205">
        <f t="shared" ca="1" si="239"/>
        <v>20</v>
      </c>
      <c r="H1205">
        <f t="shared" ca="1" si="240"/>
        <v>2096</v>
      </c>
      <c r="I1205">
        <f t="shared" ca="1" si="241"/>
        <v>1</v>
      </c>
      <c r="J1205">
        <f t="shared" ca="1" si="242"/>
        <v>0</v>
      </c>
      <c r="K1205">
        <f t="shared" ca="1" si="243"/>
        <v>0</v>
      </c>
      <c r="L1205">
        <f t="shared" ca="1" si="244"/>
        <v>0</v>
      </c>
      <c r="M1205">
        <f t="shared" ca="1" si="245"/>
        <v>4</v>
      </c>
      <c r="N1205">
        <f t="shared" ca="1" si="246"/>
        <v>0</v>
      </c>
    </row>
    <row r="1206" spans="1:14" x14ac:dyDescent="0.35">
      <c r="A1206" t="s">
        <v>1223</v>
      </c>
      <c r="B1206" t="str">
        <f t="shared" si="234"/>
        <v>Test</v>
      </c>
      <c r="C1206">
        <f t="shared" ca="1" si="235"/>
        <v>41</v>
      </c>
      <c r="D1206" t="str">
        <f t="shared" ca="1" si="236"/>
        <v>Female</v>
      </c>
      <c r="E1206" t="str">
        <f t="shared" ca="1" si="237"/>
        <v>Sportswear</v>
      </c>
      <c r="F1206">
        <f t="shared" ca="1" si="238"/>
        <v>4045</v>
      </c>
      <c r="G1206">
        <f t="shared" ca="1" si="239"/>
        <v>20</v>
      </c>
      <c r="H1206">
        <f t="shared" ca="1" si="240"/>
        <v>3236</v>
      </c>
      <c r="I1206">
        <f t="shared" ca="1" si="241"/>
        <v>0</v>
      </c>
      <c r="J1206">
        <f t="shared" ca="1" si="242"/>
        <v>0</v>
      </c>
      <c r="K1206">
        <f t="shared" ca="1" si="243"/>
        <v>0</v>
      </c>
      <c r="L1206">
        <f t="shared" ca="1" si="244"/>
        <v>0</v>
      </c>
      <c r="M1206">
        <f t="shared" ca="1" si="245"/>
        <v>1</v>
      </c>
      <c r="N1206">
        <f t="shared" ca="1" si="246"/>
        <v>0</v>
      </c>
    </row>
    <row r="1207" spans="1:14" x14ac:dyDescent="0.35">
      <c r="A1207" t="s">
        <v>1224</v>
      </c>
      <c r="B1207" t="str">
        <f t="shared" si="234"/>
        <v>Test</v>
      </c>
      <c r="C1207">
        <f t="shared" ca="1" si="235"/>
        <v>36</v>
      </c>
      <c r="D1207" t="str">
        <f t="shared" ca="1" si="236"/>
        <v>Male</v>
      </c>
      <c r="E1207" t="str">
        <f t="shared" ca="1" si="237"/>
        <v>T-shirts</v>
      </c>
      <c r="F1207">
        <f t="shared" ca="1" si="238"/>
        <v>562</v>
      </c>
      <c r="G1207">
        <f t="shared" ca="1" si="239"/>
        <v>20</v>
      </c>
      <c r="H1207">
        <f t="shared" ca="1" si="240"/>
        <v>449.6</v>
      </c>
      <c r="I1207">
        <f t="shared" ca="1" si="241"/>
        <v>1</v>
      </c>
      <c r="J1207">
        <f t="shared" ca="1" si="242"/>
        <v>1</v>
      </c>
      <c r="K1207">
        <f t="shared" ca="1" si="243"/>
        <v>0</v>
      </c>
      <c r="L1207">
        <f t="shared" ca="1" si="244"/>
        <v>0</v>
      </c>
      <c r="M1207">
        <f t="shared" ca="1" si="245"/>
        <v>1</v>
      </c>
      <c r="N1207">
        <f t="shared" ca="1" si="246"/>
        <v>0</v>
      </c>
    </row>
    <row r="1208" spans="1:14" x14ac:dyDescent="0.35">
      <c r="A1208" t="s">
        <v>1225</v>
      </c>
      <c r="B1208" t="str">
        <f t="shared" si="234"/>
        <v>Test</v>
      </c>
      <c r="C1208">
        <f t="shared" ca="1" si="235"/>
        <v>39</v>
      </c>
      <c r="D1208" t="str">
        <f t="shared" ca="1" si="236"/>
        <v>Female</v>
      </c>
      <c r="E1208" t="str">
        <f t="shared" ca="1" si="237"/>
        <v>Sportswear</v>
      </c>
      <c r="F1208">
        <f t="shared" ca="1" si="238"/>
        <v>3188</v>
      </c>
      <c r="G1208">
        <f t="shared" ca="1" si="239"/>
        <v>15</v>
      </c>
      <c r="H1208">
        <f t="shared" ca="1" si="240"/>
        <v>2709.7999999999997</v>
      </c>
      <c r="I1208">
        <f t="shared" ca="1" si="241"/>
        <v>1</v>
      </c>
      <c r="J1208">
        <f t="shared" ca="1" si="242"/>
        <v>0</v>
      </c>
      <c r="K1208">
        <f t="shared" ca="1" si="243"/>
        <v>0</v>
      </c>
      <c r="L1208">
        <f t="shared" ca="1" si="244"/>
        <v>0</v>
      </c>
      <c r="M1208">
        <f t="shared" ca="1" si="245"/>
        <v>1</v>
      </c>
      <c r="N1208">
        <f t="shared" ca="1" si="246"/>
        <v>0</v>
      </c>
    </row>
    <row r="1209" spans="1:14" x14ac:dyDescent="0.35">
      <c r="A1209" t="s">
        <v>1226</v>
      </c>
      <c r="B1209" t="str">
        <f t="shared" si="234"/>
        <v>Test</v>
      </c>
      <c r="C1209">
        <f t="shared" ca="1" si="235"/>
        <v>20</v>
      </c>
      <c r="D1209" t="str">
        <f t="shared" ca="1" si="236"/>
        <v>Male</v>
      </c>
      <c r="E1209" t="str">
        <f t="shared" ca="1" si="237"/>
        <v>Shoes</v>
      </c>
      <c r="F1209">
        <f t="shared" ca="1" si="238"/>
        <v>600</v>
      </c>
      <c r="G1209">
        <f t="shared" ca="1" si="239"/>
        <v>15</v>
      </c>
      <c r="H1209">
        <f t="shared" ca="1" si="240"/>
        <v>510</v>
      </c>
      <c r="I1209">
        <f t="shared" ca="1" si="241"/>
        <v>1</v>
      </c>
      <c r="J1209">
        <f t="shared" ca="1" si="242"/>
        <v>0</v>
      </c>
      <c r="K1209">
        <f t="shared" ca="1" si="243"/>
        <v>0</v>
      </c>
      <c r="L1209">
        <f t="shared" ca="1" si="244"/>
        <v>0</v>
      </c>
      <c r="M1209">
        <f t="shared" ca="1" si="245"/>
        <v>5</v>
      </c>
      <c r="N1209">
        <f t="shared" ca="1" si="246"/>
        <v>0</v>
      </c>
    </row>
    <row r="1210" spans="1:14" x14ac:dyDescent="0.35">
      <c r="A1210" t="s">
        <v>1227</v>
      </c>
      <c r="B1210" t="str">
        <f t="shared" si="234"/>
        <v>Test</v>
      </c>
      <c r="C1210">
        <f t="shared" ca="1" si="235"/>
        <v>27</v>
      </c>
      <c r="D1210" t="str">
        <f t="shared" ca="1" si="236"/>
        <v>Male</v>
      </c>
      <c r="E1210" t="str">
        <f t="shared" ca="1" si="237"/>
        <v>T-shirts</v>
      </c>
      <c r="F1210">
        <f t="shared" ca="1" si="238"/>
        <v>1636</v>
      </c>
      <c r="G1210">
        <f t="shared" ca="1" si="239"/>
        <v>20</v>
      </c>
      <c r="H1210">
        <f t="shared" ca="1" si="240"/>
        <v>1308.8000000000002</v>
      </c>
      <c r="I1210">
        <f t="shared" ca="1" si="241"/>
        <v>1</v>
      </c>
      <c r="J1210">
        <f t="shared" ca="1" si="242"/>
        <v>0</v>
      </c>
      <c r="K1210">
        <f t="shared" ca="1" si="243"/>
        <v>0</v>
      </c>
      <c r="L1210">
        <f t="shared" ca="1" si="244"/>
        <v>0</v>
      </c>
      <c r="M1210">
        <f t="shared" ca="1" si="245"/>
        <v>2</v>
      </c>
      <c r="N1210">
        <f t="shared" ca="1" si="246"/>
        <v>0</v>
      </c>
    </row>
    <row r="1211" spans="1:14" x14ac:dyDescent="0.35">
      <c r="A1211" t="s">
        <v>1228</v>
      </c>
      <c r="B1211" t="str">
        <f t="shared" si="234"/>
        <v>Test</v>
      </c>
      <c r="C1211">
        <f t="shared" ca="1" si="235"/>
        <v>21</v>
      </c>
      <c r="D1211" t="str">
        <f t="shared" ca="1" si="236"/>
        <v>Female</v>
      </c>
      <c r="E1211" t="str">
        <f t="shared" ca="1" si="237"/>
        <v>Accessories</v>
      </c>
      <c r="F1211">
        <f t="shared" ca="1" si="238"/>
        <v>7050</v>
      </c>
      <c r="G1211">
        <f t="shared" ca="1" si="239"/>
        <v>15</v>
      </c>
      <c r="H1211">
        <f t="shared" ca="1" si="240"/>
        <v>5992.5</v>
      </c>
      <c r="I1211">
        <f t="shared" ca="1" si="241"/>
        <v>1</v>
      </c>
      <c r="J1211">
        <f t="shared" ca="1" si="242"/>
        <v>1</v>
      </c>
      <c r="K1211">
        <f t="shared" ca="1" si="243"/>
        <v>0</v>
      </c>
      <c r="L1211">
        <f t="shared" ca="1" si="244"/>
        <v>0</v>
      </c>
      <c r="M1211">
        <f t="shared" ca="1" si="245"/>
        <v>4</v>
      </c>
      <c r="N1211">
        <f t="shared" ca="1" si="246"/>
        <v>0</v>
      </c>
    </row>
    <row r="1212" spans="1:14" x14ac:dyDescent="0.35">
      <c r="A1212" t="s">
        <v>1229</v>
      </c>
      <c r="B1212" t="str">
        <f t="shared" si="234"/>
        <v>Test</v>
      </c>
      <c r="C1212">
        <f t="shared" ca="1" si="235"/>
        <v>19</v>
      </c>
      <c r="D1212" t="str">
        <f t="shared" ca="1" si="236"/>
        <v>Female</v>
      </c>
      <c r="E1212" t="str">
        <f t="shared" ca="1" si="237"/>
        <v>Jeans</v>
      </c>
      <c r="F1212">
        <f t="shared" ca="1" si="238"/>
        <v>5508</v>
      </c>
      <c r="G1212">
        <f t="shared" ca="1" si="239"/>
        <v>15</v>
      </c>
      <c r="H1212">
        <f t="shared" ca="1" si="240"/>
        <v>4681.8</v>
      </c>
      <c r="I1212">
        <f t="shared" ca="1" si="241"/>
        <v>1</v>
      </c>
      <c r="J1212">
        <f t="shared" ca="1" si="242"/>
        <v>1</v>
      </c>
      <c r="K1212">
        <f t="shared" ca="1" si="243"/>
        <v>0</v>
      </c>
      <c r="L1212">
        <f t="shared" ca="1" si="244"/>
        <v>0</v>
      </c>
      <c r="M1212">
        <f t="shared" ca="1" si="245"/>
        <v>5</v>
      </c>
      <c r="N1212">
        <f t="shared" ca="1" si="246"/>
        <v>0</v>
      </c>
    </row>
    <row r="1213" spans="1:14" x14ac:dyDescent="0.35">
      <c r="A1213" t="s">
        <v>1230</v>
      </c>
      <c r="B1213" t="str">
        <f t="shared" si="234"/>
        <v>Test</v>
      </c>
      <c r="C1213">
        <f t="shared" ca="1" si="235"/>
        <v>27</v>
      </c>
      <c r="D1213" t="str">
        <f t="shared" ca="1" si="236"/>
        <v>Female</v>
      </c>
      <c r="E1213" t="str">
        <f t="shared" ca="1" si="237"/>
        <v>Tops</v>
      </c>
      <c r="F1213">
        <f t="shared" ca="1" si="238"/>
        <v>3491</v>
      </c>
      <c r="G1213">
        <f t="shared" ca="1" si="239"/>
        <v>25</v>
      </c>
      <c r="H1213">
        <f t="shared" ca="1" si="240"/>
        <v>2618.25</v>
      </c>
      <c r="I1213">
        <f t="shared" ca="1" si="241"/>
        <v>0</v>
      </c>
      <c r="J1213">
        <f t="shared" ca="1" si="242"/>
        <v>0</v>
      </c>
      <c r="K1213">
        <f t="shared" ca="1" si="243"/>
        <v>0</v>
      </c>
      <c r="L1213">
        <f t="shared" ca="1" si="244"/>
        <v>0</v>
      </c>
      <c r="M1213">
        <f t="shared" ca="1" si="245"/>
        <v>3</v>
      </c>
      <c r="N1213">
        <f t="shared" ca="1" si="246"/>
        <v>0</v>
      </c>
    </row>
    <row r="1214" spans="1:14" x14ac:dyDescent="0.35">
      <c r="A1214" t="s">
        <v>1231</v>
      </c>
      <c r="B1214" t="str">
        <f t="shared" si="234"/>
        <v>Test</v>
      </c>
      <c r="C1214">
        <f t="shared" ca="1" si="235"/>
        <v>39</v>
      </c>
      <c r="D1214" t="str">
        <f t="shared" ca="1" si="236"/>
        <v>Other</v>
      </c>
      <c r="E1214" t="str">
        <f t="shared" ca="1" si="237"/>
        <v>Jeans</v>
      </c>
      <c r="F1214">
        <f t="shared" ca="1" si="238"/>
        <v>6760</v>
      </c>
      <c r="G1214">
        <f t="shared" ca="1" si="239"/>
        <v>25</v>
      </c>
      <c r="H1214">
        <f t="shared" ca="1" si="240"/>
        <v>5070</v>
      </c>
      <c r="I1214">
        <f t="shared" ca="1" si="241"/>
        <v>1</v>
      </c>
      <c r="J1214">
        <f t="shared" ca="1" si="242"/>
        <v>0</v>
      </c>
      <c r="K1214">
        <f t="shared" ca="1" si="243"/>
        <v>0</v>
      </c>
      <c r="L1214">
        <f t="shared" ca="1" si="244"/>
        <v>0</v>
      </c>
      <c r="M1214">
        <f t="shared" ca="1" si="245"/>
        <v>4</v>
      </c>
      <c r="N1214">
        <f t="shared" ca="1" si="246"/>
        <v>0</v>
      </c>
    </row>
    <row r="1215" spans="1:14" x14ac:dyDescent="0.35">
      <c r="A1215" t="s">
        <v>1232</v>
      </c>
      <c r="B1215" t="str">
        <f t="shared" si="234"/>
        <v>Test</v>
      </c>
      <c r="C1215">
        <f t="shared" ca="1" si="235"/>
        <v>40</v>
      </c>
      <c r="D1215" t="str">
        <f t="shared" ca="1" si="236"/>
        <v>Female</v>
      </c>
      <c r="E1215" t="str">
        <f t="shared" ca="1" si="237"/>
        <v>Tops</v>
      </c>
      <c r="F1215">
        <f t="shared" ca="1" si="238"/>
        <v>4623</v>
      </c>
      <c r="G1215">
        <f t="shared" ca="1" si="239"/>
        <v>15</v>
      </c>
      <c r="H1215">
        <f t="shared" ca="1" si="240"/>
        <v>3929.5499999999997</v>
      </c>
      <c r="I1215">
        <f t="shared" ca="1" si="241"/>
        <v>1</v>
      </c>
      <c r="J1215">
        <f t="shared" ca="1" si="242"/>
        <v>1</v>
      </c>
      <c r="K1215">
        <f t="shared" ca="1" si="243"/>
        <v>1</v>
      </c>
      <c r="L1215">
        <f t="shared" ca="1" si="244"/>
        <v>3929.5499999999997</v>
      </c>
      <c r="M1215">
        <f t="shared" ca="1" si="245"/>
        <v>2</v>
      </c>
      <c r="N1215">
        <f t="shared" ca="1" si="246"/>
        <v>1</v>
      </c>
    </row>
    <row r="1216" spans="1:14" x14ac:dyDescent="0.35">
      <c r="A1216" t="s">
        <v>1233</v>
      </c>
      <c r="B1216" t="str">
        <f t="shared" si="234"/>
        <v>Test</v>
      </c>
      <c r="C1216">
        <f t="shared" ca="1" si="235"/>
        <v>40</v>
      </c>
      <c r="D1216" t="str">
        <f t="shared" ca="1" si="236"/>
        <v>Other</v>
      </c>
      <c r="E1216" t="str">
        <f t="shared" ca="1" si="237"/>
        <v>Tops</v>
      </c>
      <c r="F1216">
        <f t="shared" ca="1" si="238"/>
        <v>2857</v>
      </c>
      <c r="G1216">
        <f t="shared" ca="1" si="239"/>
        <v>20</v>
      </c>
      <c r="H1216">
        <f t="shared" ca="1" si="240"/>
        <v>2285.6</v>
      </c>
      <c r="I1216">
        <f t="shared" ca="1" si="241"/>
        <v>1</v>
      </c>
      <c r="J1216">
        <f t="shared" ca="1" si="242"/>
        <v>1</v>
      </c>
      <c r="K1216">
        <f t="shared" ca="1" si="243"/>
        <v>0</v>
      </c>
      <c r="L1216">
        <f t="shared" ca="1" si="244"/>
        <v>0</v>
      </c>
      <c r="M1216">
        <f t="shared" ca="1" si="245"/>
        <v>4</v>
      </c>
      <c r="N1216">
        <f t="shared" ca="1" si="246"/>
        <v>0</v>
      </c>
    </row>
    <row r="1217" spans="1:14" x14ac:dyDescent="0.35">
      <c r="A1217" t="s">
        <v>1234</v>
      </c>
      <c r="B1217" t="str">
        <f t="shared" si="234"/>
        <v>Test</v>
      </c>
      <c r="C1217">
        <f t="shared" ca="1" si="235"/>
        <v>25</v>
      </c>
      <c r="D1217" t="str">
        <f t="shared" ca="1" si="236"/>
        <v>Female</v>
      </c>
      <c r="E1217" t="str">
        <f t="shared" ca="1" si="237"/>
        <v>T-shirts</v>
      </c>
      <c r="F1217">
        <f t="shared" ca="1" si="238"/>
        <v>2784</v>
      </c>
      <c r="G1217">
        <f t="shared" ca="1" si="239"/>
        <v>25</v>
      </c>
      <c r="H1217">
        <f t="shared" ca="1" si="240"/>
        <v>2088</v>
      </c>
      <c r="I1217">
        <f t="shared" ca="1" si="241"/>
        <v>1</v>
      </c>
      <c r="J1217">
        <f t="shared" ca="1" si="242"/>
        <v>0</v>
      </c>
      <c r="K1217">
        <f t="shared" ca="1" si="243"/>
        <v>0</v>
      </c>
      <c r="L1217">
        <f t="shared" ca="1" si="244"/>
        <v>0</v>
      </c>
      <c r="M1217">
        <f t="shared" ca="1" si="245"/>
        <v>4</v>
      </c>
      <c r="N1217">
        <f t="shared" ca="1" si="246"/>
        <v>0</v>
      </c>
    </row>
    <row r="1218" spans="1:14" x14ac:dyDescent="0.35">
      <c r="A1218" t="s">
        <v>1235</v>
      </c>
      <c r="B1218" t="str">
        <f t="shared" si="234"/>
        <v>Test</v>
      </c>
      <c r="C1218">
        <f t="shared" ca="1" si="235"/>
        <v>34</v>
      </c>
      <c r="D1218" t="str">
        <f t="shared" ca="1" si="236"/>
        <v>Male</v>
      </c>
      <c r="E1218" t="str">
        <f t="shared" ca="1" si="237"/>
        <v>Ethnic Wear</v>
      </c>
      <c r="F1218">
        <f t="shared" ca="1" si="238"/>
        <v>4111</v>
      </c>
      <c r="G1218">
        <f t="shared" ca="1" si="239"/>
        <v>15</v>
      </c>
      <c r="H1218">
        <f t="shared" ca="1" si="240"/>
        <v>3494.35</v>
      </c>
      <c r="I1218">
        <f t="shared" ca="1" si="241"/>
        <v>1</v>
      </c>
      <c r="J1218">
        <f t="shared" ca="1" si="242"/>
        <v>1</v>
      </c>
      <c r="K1218">
        <f t="shared" ca="1" si="243"/>
        <v>0</v>
      </c>
      <c r="L1218">
        <f t="shared" ca="1" si="244"/>
        <v>0</v>
      </c>
      <c r="M1218">
        <f t="shared" ca="1" si="245"/>
        <v>1</v>
      </c>
      <c r="N1218">
        <f t="shared" ca="1" si="246"/>
        <v>0</v>
      </c>
    </row>
    <row r="1219" spans="1:14" x14ac:dyDescent="0.35">
      <c r="A1219" t="s">
        <v>1236</v>
      </c>
      <c r="B1219" t="str">
        <f t="shared" si="234"/>
        <v>Test</v>
      </c>
      <c r="C1219">
        <f t="shared" ca="1" si="235"/>
        <v>29</v>
      </c>
      <c r="D1219" t="str">
        <f t="shared" ca="1" si="236"/>
        <v>Female</v>
      </c>
      <c r="E1219" t="str">
        <f t="shared" ca="1" si="237"/>
        <v>Accessories</v>
      </c>
      <c r="F1219">
        <f t="shared" ca="1" si="238"/>
        <v>2452</v>
      </c>
      <c r="G1219">
        <f t="shared" ca="1" si="239"/>
        <v>15</v>
      </c>
      <c r="H1219">
        <f t="shared" ca="1" si="240"/>
        <v>2084.1999999999998</v>
      </c>
      <c r="I1219">
        <f t="shared" ca="1" si="241"/>
        <v>1</v>
      </c>
      <c r="J1219">
        <f t="shared" ca="1" si="242"/>
        <v>0</v>
      </c>
      <c r="K1219">
        <f t="shared" ca="1" si="243"/>
        <v>0</v>
      </c>
      <c r="L1219">
        <f t="shared" ca="1" si="244"/>
        <v>0</v>
      </c>
      <c r="M1219">
        <f t="shared" ca="1" si="245"/>
        <v>5</v>
      </c>
      <c r="N1219">
        <f t="shared" ca="1" si="246"/>
        <v>0</v>
      </c>
    </row>
    <row r="1220" spans="1:14" x14ac:dyDescent="0.35">
      <c r="A1220" t="s">
        <v>1237</v>
      </c>
      <c r="B1220" t="str">
        <f t="shared" si="234"/>
        <v>Test</v>
      </c>
      <c r="C1220">
        <f t="shared" ca="1" si="235"/>
        <v>36</v>
      </c>
      <c r="D1220" t="str">
        <f t="shared" ca="1" si="236"/>
        <v>Male</v>
      </c>
      <c r="E1220" t="str">
        <f t="shared" ca="1" si="237"/>
        <v>Shoes</v>
      </c>
      <c r="F1220">
        <f t="shared" ca="1" si="238"/>
        <v>706</v>
      </c>
      <c r="G1220">
        <f t="shared" ca="1" si="239"/>
        <v>25</v>
      </c>
      <c r="H1220">
        <f t="shared" ca="1" si="240"/>
        <v>529.5</v>
      </c>
      <c r="I1220">
        <f t="shared" ca="1" si="241"/>
        <v>1</v>
      </c>
      <c r="J1220">
        <f t="shared" ca="1" si="242"/>
        <v>0</v>
      </c>
      <c r="K1220">
        <f t="shared" ca="1" si="243"/>
        <v>0</v>
      </c>
      <c r="L1220">
        <f t="shared" ca="1" si="244"/>
        <v>0</v>
      </c>
      <c r="M1220">
        <f t="shared" ca="1" si="245"/>
        <v>4</v>
      </c>
      <c r="N1220">
        <f t="shared" ca="1" si="246"/>
        <v>0</v>
      </c>
    </row>
    <row r="1221" spans="1:14" x14ac:dyDescent="0.35">
      <c r="A1221" t="s">
        <v>1238</v>
      </c>
      <c r="B1221" t="str">
        <f t="shared" ref="B1221:B1284" si="247">IF(ROW()&lt;=1001,"Control","Test")</f>
        <v>Test</v>
      </c>
      <c r="C1221">
        <f t="shared" ref="C1221:C1284" ca="1" si="248">RANDBETWEEN(18,45)</f>
        <v>44</v>
      </c>
      <c r="D1221" t="str">
        <f t="shared" ref="D1221:D1284" ca="1" si="249">CHOOSE(RANDBETWEEN(1,20),"Female","Female","Female","Female","Female","Female","Female","Female","Female","Female","Male","Male","Male","Male","Male","Male","Male","Male","Other","Other")</f>
        <v>Other</v>
      </c>
      <c r="E1221" t="str">
        <f t="shared" ref="E1221:E1284" ca="1" si="250">CHOOSE(RANDBETWEEN(1,8),"T-shirts","Dresses","Jeans","Shoes","Ethnic Wear","Tops","Sportswear","Accessories")</f>
        <v>Ethnic Wear</v>
      </c>
      <c r="F1221">
        <f t="shared" ref="F1221:F1284" ca="1" si="251">RANDBETWEEN(300,8000)</f>
        <v>5546</v>
      </c>
      <c r="G1221">
        <f t="shared" ref="G1221:G1284" ca="1" si="252">IF(B1221="Control",10,CHOOSE(RANDBETWEEN(1,3),15,20,25))</f>
        <v>25</v>
      </c>
      <c r="H1221">
        <f t="shared" ref="H1221:H1284" ca="1" si="253">F1221*(1-G1221/100)</f>
        <v>4159.5</v>
      </c>
      <c r="I1221">
        <f t="shared" ref="I1221:I1284" ca="1" si="254">IF(RAND()&lt;0.85,1,0)</f>
        <v>1</v>
      </c>
      <c r="J1221">
        <f t="shared" ref="J1221:J1284" ca="1" si="255">IF(I1221=1,IF(RAND()&lt;0.55,1,0),0)</f>
        <v>1</v>
      </c>
      <c r="K1221">
        <f t="shared" ref="K1221:K1284" ca="1" si="256">IF(J1221=1,IF(B1221="Test",IF(RAND()&lt;0.4,1,0),IF(RAND()&lt;0.34,1,0)),0)</f>
        <v>0</v>
      </c>
      <c r="L1221">
        <f t="shared" ref="L1221:L1284" ca="1" si="257">IF(K1221=1,H1221,0)</f>
        <v>0</v>
      </c>
      <c r="M1221">
        <f t="shared" ref="M1221:M1284" ca="1" si="258">RANDBETWEEN(1,7)</f>
        <v>5</v>
      </c>
      <c r="N1221">
        <f t="shared" ref="N1221:N1284" ca="1" si="259">IF(K1221=1,IF(RAND()&lt;0.15,1,0),0)</f>
        <v>0</v>
      </c>
    </row>
    <row r="1222" spans="1:14" x14ac:dyDescent="0.35">
      <c r="A1222" t="s">
        <v>1239</v>
      </c>
      <c r="B1222" t="str">
        <f t="shared" si="247"/>
        <v>Test</v>
      </c>
      <c r="C1222">
        <f t="shared" ca="1" si="248"/>
        <v>36</v>
      </c>
      <c r="D1222" t="str">
        <f t="shared" ca="1" si="249"/>
        <v>Male</v>
      </c>
      <c r="E1222" t="str">
        <f t="shared" ca="1" si="250"/>
        <v>Sportswear</v>
      </c>
      <c r="F1222">
        <f t="shared" ca="1" si="251"/>
        <v>1691</v>
      </c>
      <c r="G1222">
        <f t="shared" ca="1" si="252"/>
        <v>25</v>
      </c>
      <c r="H1222">
        <f t="shared" ca="1" si="253"/>
        <v>1268.25</v>
      </c>
      <c r="I1222">
        <f t="shared" ca="1" si="254"/>
        <v>1</v>
      </c>
      <c r="J1222">
        <f t="shared" ca="1" si="255"/>
        <v>0</v>
      </c>
      <c r="K1222">
        <f t="shared" ca="1" si="256"/>
        <v>0</v>
      </c>
      <c r="L1222">
        <f t="shared" ca="1" si="257"/>
        <v>0</v>
      </c>
      <c r="M1222">
        <f t="shared" ca="1" si="258"/>
        <v>6</v>
      </c>
      <c r="N1222">
        <f t="shared" ca="1" si="259"/>
        <v>0</v>
      </c>
    </row>
    <row r="1223" spans="1:14" x14ac:dyDescent="0.35">
      <c r="A1223" t="s">
        <v>1240</v>
      </c>
      <c r="B1223" t="str">
        <f t="shared" si="247"/>
        <v>Test</v>
      </c>
      <c r="C1223">
        <f t="shared" ca="1" si="248"/>
        <v>40</v>
      </c>
      <c r="D1223" t="str">
        <f t="shared" ca="1" si="249"/>
        <v>Male</v>
      </c>
      <c r="E1223" t="str">
        <f t="shared" ca="1" si="250"/>
        <v>Ethnic Wear</v>
      </c>
      <c r="F1223">
        <f t="shared" ca="1" si="251"/>
        <v>1859</v>
      </c>
      <c r="G1223">
        <f t="shared" ca="1" si="252"/>
        <v>25</v>
      </c>
      <c r="H1223">
        <f t="shared" ca="1" si="253"/>
        <v>1394.25</v>
      </c>
      <c r="I1223">
        <f t="shared" ca="1" si="254"/>
        <v>1</v>
      </c>
      <c r="J1223">
        <f t="shared" ca="1" si="255"/>
        <v>1</v>
      </c>
      <c r="K1223">
        <f t="shared" ca="1" si="256"/>
        <v>1</v>
      </c>
      <c r="L1223">
        <f t="shared" ca="1" si="257"/>
        <v>1394.25</v>
      </c>
      <c r="M1223">
        <f t="shared" ca="1" si="258"/>
        <v>5</v>
      </c>
      <c r="N1223">
        <f t="shared" ca="1" si="259"/>
        <v>0</v>
      </c>
    </row>
    <row r="1224" spans="1:14" x14ac:dyDescent="0.35">
      <c r="A1224" t="s">
        <v>1241</v>
      </c>
      <c r="B1224" t="str">
        <f t="shared" si="247"/>
        <v>Test</v>
      </c>
      <c r="C1224">
        <f t="shared" ca="1" si="248"/>
        <v>45</v>
      </c>
      <c r="D1224" t="str">
        <f t="shared" ca="1" si="249"/>
        <v>Female</v>
      </c>
      <c r="E1224" t="str">
        <f t="shared" ca="1" si="250"/>
        <v>Accessories</v>
      </c>
      <c r="F1224">
        <f t="shared" ca="1" si="251"/>
        <v>3291</v>
      </c>
      <c r="G1224">
        <f t="shared" ca="1" si="252"/>
        <v>15</v>
      </c>
      <c r="H1224">
        <f t="shared" ca="1" si="253"/>
        <v>2797.35</v>
      </c>
      <c r="I1224">
        <f t="shared" ca="1" si="254"/>
        <v>1</v>
      </c>
      <c r="J1224">
        <f t="shared" ca="1" si="255"/>
        <v>0</v>
      </c>
      <c r="K1224">
        <f t="shared" ca="1" si="256"/>
        <v>0</v>
      </c>
      <c r="L1224">
        <f t="shared" ca="1" si="257"/>
        <v>0</v>
      </c>
      <c r="M1224">
        <f t="shared" ca="1" si="258"/>
        <v>1</v>
      </c>
      <c r="N1224">
        <f t="shared" ca="1" si="259"/>
        <v>0</v>
      </c>
    </row>
    <row r="1225" spans="1:14" x14ac:dyDescent="0.35">
      <c r="A1225" t="s">
        <v>1242</v>
      </c>
      <c r="B1225" t="str">
        <f t="shared" si="247"/>
        <v>Test</v>
      </c>
      <c r="C1225">
        <f t="shared" ca="1" si="248"/>
        <v>19</v>
      </c>
      <c r="D1225" t="str">
        <f t="shared" ca="1" si="249"/>
        <v>Female</v>
      </c>
      <c r="E1225" t="str">
        <f t="shared" ca="1" si="250"/>
        <v>Tops</v>
      </c>
      <c r="F1225">
        <f t="shared" ca="1" si="251"/>
        <v>706</v>
      </c>
      <c r="G1225">
        <f t="shared" ca="1" si="252"/>
        <v>20</v>
      </c>
      <c r="H1225">
        <f t="shared" ca="1" si="253"/>
        <v>564.80000000000007</v>
      </c>
      <c r="I1225">
        <f t="shared" ca="1" si="254"/>
        <v>0</v>
      </c>
      <c r="J1225">
        <f t="shared" ca="1" si="255"/>
        <v>0</v>
      </c>
      <c r="K1225">
        <f t="shared" ca="1" si="256"/>
        <v>0</v>
      </c>
      <c r="L1225">
        <f t="shared" ca="1" si="257"/>
        <v>0</v>
      </c>
      <c r="M1225">
        <f t="shared" ca="1" si="258"/>
        <v>6</v>
      </c>
      <c r="N1225">
        <f t="shared" ca="1" si="259"/>
        <v>0</v>
      </c>
    </row>
    <row r="1226" spans="1:14" x14ac:dyDescent="0.35">
      <c r="A1226" t="s">
        <v>1243</v>
      </c>
      <c r="B1226" t="str">
        <f t="shared" si="247"/>
        <v>Test</v>
      </c>
      <c r="C1226">
        <f t="shared" ca="1" si="248"/>
        <v>45</v>
      </c>
      <c r="D1226" t="str">
        <f t="shared" ca="1" si="249"/>
        <v>Male</v>
      </c>
      <c r="E1226" t="str">
        <f t="shared" ca="1" si="250"/>
        <v>Accessories</v>
      </c>
      <c r="F1226">
        <f t="shared" ca="1" si="251"/>
        <v>1175</v>
      </c>
      <c r="G1226">
        <f t="shared" ca="1" si="252"/>
        <v>20</v>
      </c>
      <c r="H1226">
        <f t="shared" ca="1" si="253"/>
        <v>940</v>
      </c>
      <c r="I1226">
        <f t="shared" ca="1" si="254"/>
        <v>1</v>
      </c>
      <c r="J1226">
        <f t="shared" ca="1" si="255"/>
        <v>1</v>
      </c>
      <c r="K1226">
        <f t="shared" ca="1" si="256"/>
        <v>0</v>
      </c>
      <c r="L1226">
        <f t="shared" ca="1" si="257"/>
        <v>0</v>
      </c>
      <c r="M1226">
        <f t="shared" ca="1" si="258"/>
        <v>5</v>
      </c>
      <c r="N1226">
        <f t="shared" ca="1" si="259"/>
        <v>0</v>
      </c>
    </row>
    <row r="1227" spans="1:14" x14ac:dyDescent="0.35">
      <c r="A1227" t="s">
        <v>1244</v>
      </c>
      <c r="B1227" t="str">
        <f t="shared" si="247"/>
        <v>Test</v>
      </c>
      <c r="C1227">
        <f t="shared" ca="1" si="248"/>
        <v>31</v>
      </c>
      <c r="D1227" t="str">
        <f t="shared" ca="1" si="249"/>
        <v>Male</v>
      </c>
      <c r="E1227" t="str">
        <f t="shared" ca="1" si="250"/>
        <v>Dresses</v>
      </c>
      <c r="F1227">
        <f t="shared" ca="1" si="251"/>
        <v>5489</v>
      </c>
      <c r="G1227">
        <f t="shared" ca="1" si="252"/>
        <v>15</v>
      </c>
      <c r="H1227">
        <f t="shared" ca="1" si="253"/>
        <v>4665.6499999999996</v>
      </c>
      <c r="I1227">
        <f t="shared" ca="1" si="254"/>
        <v>1</v>
      </c>
      <c r="J1227">
        <f t="shared" ca="1" si="255"/>
        <v>1</v>
      </c>
      <c r="K1227">
        <f t="shared" ca="1" si="256"/>
        <v>0</v>
      </c>
      <c r="L1227">
        <f t="shared" ca="1" si="257"/>
        <v>0</v>
      </c>
      <c r="M1227">
        <f t="shared" ca="1" si="258"/>
        <v>1</v>
      </c>
      <c r="N1227">
        <f t="shared" ca="1" si="259"/>
        <v>0</v>
      </c>
    </row>
    <row r="1228" spans="1:14" x14ac:dyDescent="0.35">
      <c r="A1228" t="s">
        <v>1245</v>
      </c>
      <c r="B1228" t="str">
        <f t="shared" si="247"/>
        <v>Test</v>
      </c>
      <c r="C1228">
        <f t="shared" ca="1" si="248"/>
        <v>29</v>
      </c>
      <c r="D1228" t="str">
        <f t="shared" ca="1" si="249"/>
        <v>Male</v>
      </c>
      <c r="E1228" t="str">
        <f t="shared" ca="1" si="250"/>
        <v>Ethnic Wear</v>
      </c>
      <c r="F1228">
        <f t="shared" ca="1" si="251"/>
        <v>3686</v>
      </c>
      <c r="G1228">
        <f t="shared" ca="1" si="252"/>
        <v>25</v>
      </c>
      <c r="H1228">
        <f t="shared" ca="1" si="253"/>
        <v>2764.5</v>
      </c>
      <c r="I1228">
        <f t="shared" ca="1" si="254"/>
        <v>1</v>
      </c>
      <c r="J1228">
        <f t="shared" ca="1" si="255"/>
        <v>0</v>
      </c>
      <c r="K1228">
        <f t="shared" ca="1" si="256"/>
        <v>0</v>
      </c>
      <c r="L1228">
        <f t="shared" ca="1" si="257"/>
        <v>0</v>
      </c>
      <c r="M1228">
        <f t="shared" ca="1" si="258"/>
        <v>5</v>
      </c>
      <c r="N1228">
        <f t="shared" ca="1" si="259"/>
        <v>0</v>
      </c>
    </row>
    <row r="1229" spans="1:14" x14ac:dyDescent="0.35">
      <c r="A1229" t="s">
        <v>1246</v>
      </c>
      <c r="B1229" t="str">
        <f t="shared" si="247"/>
        <v>Test</v>
      </c>
      <c r="C1229">
        <f t="shared" ca="1" si="248"/>
        <v>44</v>
      </c>
      <c r="D1229" t="str">
        <f t="shared" ca="1" si="249"/>
        <v>Female</v>
      </c>
      <c r="E1229" t="str">
        <f t="shared" ca="1" si="250"/>
        <v>T-shirts</v>
      </c>
      <c r="F1229">
        <f t="shared" ca="1" si="251"/>
        <v>1774</v>
      </c>
      <c r="G1229">
        <f t="shared" ca="1" si="252"/>
        <v>15</v>
      </c>
      <c r="H1229">
        <f t="shared" ca="1" si="253"/>
        <v>1507.8999999999999</v>
      </c>
      <c r="I1229">
        <f t="shared" ca="1" si="254"/>
        <v>1</v>
      </c>
      <c r="J1229">
        <f t="shared" ca="1" si="255"/>
        <v>1</v>
      </c>
      <c r="K1229">
        <f t="shared" ca="1" si="256"/>
        <v>0</v>
      </c>
      <c r="L1229">
        <f t="shared" ca="1" si="257"/>
        <v>0</v>
      </c>
      <c r="M1229">
        <f t="shared" ca="1" si="258"/>
        <v>3</v>
      </c>
      <c r="N1229">
        <f t="shared" ca="1" si="259"/>
        <v>0</v>
      </c>
    </row>
    <row r="1230" spans="1:14" x14ac:dyDescent="0.35">
      <c r="A1230" t="s">
        <v>1247</v>
      </c>
      <c r="B1230" t="str">
        <f t="shared" si="247"/>
        <v>Test</v>
      </c>
      <c r="C1230">
        <f t="shared" ca="1" si="248"/>
        <v>37</v>
      </c>
      <c r="D1230" t="str">
        <f t="shared" ca="1" si="249"/>
        <v>Female</v>
      </c>
      <c r="E1230" t="str">
        <f t="shared" ca="1" si="250"/>
        <v>Ethnic Wear</v>
      </c>
      <c r="F1230">
        <f t="shared" ca="1" si="251"/>
        <v>2235</v>
      </c>
      <c r="G1230">
        <f t="shared" ca="1" si="252"/>
        <v>15</v>
      </c>
      <c r="H1230">
        <f t="shared" ca="1" si="253"/>
        <v>1899.75</v>
      </c>
      <c r="I1230">
        <f t="shared" ca="1" si="254"/>
        <v>1</v>
      </c>
      <c r="J1230">
        <f t="shared" ca="1" si="255"/>
        <v>0</v>
      </c>
      <c r="K1230">
        <f t="shared" ca="1" si="256"/>
        <v>0</v>
      </c>
      <c r="L1230">
        <f t="shared" ca="1" si="257"/>
        <v>0</v>
      </c>
      <c r="M1230">
        <f t="shared" ca="1" si="258"/>
        <v>7</v>
      </c>
      <c r="N1230">
        <f t="shared" ca="1" si="259"/>
        <v>0</v>
      </c>
    </row>
    <row r="1231" spans="1:14" x14ac:dyDescent="0.35">
      <c r="A1231" t="s">
        <v>1248</v>
      </c>
      <c r="B1231" t="str">
        <f t="shared" si="247"/>
        <v>Test</v>
      </c>
      <c r="C1231">
        <f t="shared" ca="1" si="248"/>
        <v>45</v>
      </c>
      <c r="D1231" t="str">
        <f t="shared" ca="1" si="249"/>
        <v>Female</v>
      </c>
      <c r="E1231" t="str">
        <f t="shared" ca="1" si="250"/>
        <v>Shoes</v>
      </c>
      <c r="F1231">
        <f t="shared" ca="1" si="251"/>
        <v>1426</v>
      </c>
      <c r="G1231">
        <f t="shared" ca="1" si="252"/>
        <v>20</v>
      </c>
      <c r="H1231">
        <f t="shared" ca="1" si="253"/>
        <v>1140.8</v>
      </c>
      <c r="I1231">
        <f t="shared" ca="1" si="254"/>
        <v>1</v>
      </c>
      <c r="J1231">
        <f t="shared" ca="1" si="255"/>
        <v>0</v>
      </c>
      <c r="K1231">
        <f t="shared" ca="1" si="256"/>
        <v>0</v>
      </c>
      <c r="L1231">
        <f t="shared" ca="1" si="257"/>
        <v>0</v>
      </c>
      <c r="M1231">
        <f t="shared" ca="1" si="258"/>
        <v>5</v>
      </c>
      <c r="N1231">
        <f t="shared" ca="1" si="259"/>
        <v>0</v>
      </c>
    </row>
    <row r="1232" spans="1:14" x14ac:dyDescent="0.35">
      <c r="A1232" t="s">
        <v>1249</v>
      </c>
      <c r="B1232" t="str">
        <f t="shared" si="247"/>
        <v>Test</v>
      </c>
      <c r="C1232">
        <f t="shared" ca="1" si="248"/>
        <v>44</v>
      </c>
      <c r="D1232" t="str">
        <f t="shared" ca="1" si="249"/>
        <v>Other</v>
      </c>
      <c r="E1232" t="str">
        <f t="shared" ca="1" si="250"/>
        <v>Tops</v>
      </c>
      <c r="F1232">
        <f t="shared" ca="1" si="251"/>
        <v>3434</v>
      </c>
      <c r="G1232">
        <f t="shared" ca="1" si="252"/>
        <v>20</v>
      </c>
      <c r="H1232">
        <f t="shared" ca="1" si="253"/>
        <v>2747.2000000000003</v>
      </c>
      <c r="I1232">
        <f t="shared" ca="1" si="254"/>
        <v>1</v>
      </c>
      <c r="J1232">
        <f t="shared" ca="1" si="255"/>
        <v>0</v>
      </c>
      <c r="K1232">
        <f t="shared" ca="1" si="256"/>
        <v>0</v>
      </c>
      <c r="L1232">
        <f t="shared" ca="1" si="257"/>
        <v>0</v>
      </c>
      <c r="M1232">
        <f t="shared" ca="1" si="258"/>
        <v>1</v>
      </c>
      <c r="N1232">
        <f t="shared" ca="1" si="259"/>
        <v>0</v>
      </c>
    </row>
    <row r="1233" spans="1:14" x14ac:dyDescent="0.35">
      <c r="A1233" t="s">
        <v>1250</v>
      </c>
      <c r="B1233" t="str">
        <f t="shared" si="247"/>
        <v>Test</v>
      </c>
      <c r="C1233">
        <f t="shared" ca="1" si="248"/>
        <v>34</v>
      </c>
      <c r="D1233" t="str">
        <f t="shared" ca="1" si="249"/>
        <v>Male</v>
      </c>
      <c r="E1233" t="str">
        <f t="shared" ca="1" si="250"/>
        <v>Ethnic Wear</v>
      </c>
      <c r="F1233">
        <f t="shared" ca="1" si="251"/>
        <v>4999</v>
      </c>
      <c r="G1233">
        <f t="shared" ca="1" si="252"/>
        <v>15</v>
      </c>
      <c r="H1233">
        <f t="shared" ca="1" si="253"/>
        <v>4249.1499999999996</v>
      </c>
      <c r="I1233">
        <f t="shared" ca="1" si="254"/>
        <v>1</v>
      </c>
      <c r="J1233">
        <f t="shared" ca="1" si="255"/>
        <v>0</v>
      </c>
      <c r="K1233">
        <f t="shared" ca="1" si="256"/>
        <v>0</v>
      </c>
      <c r="L1233">
        <f t="shared" ca="1" si="257"/>
        <v>0</v>
      </c>
      <c r="M1233">
        <f t="shared" ca="1" si="258"/>
        <v>3</v>
      </c>
      <c r="N1233">
        <f t="shared" ca="1" si="259"/>
        <v>0</v>
      </c>
    </row>
    <row r="1234" spans="1:14" x14ac:dyDescent="0.35">
      <c r="A1234" t="s">
        <v>1251</v>
      </c>
      <c r="B1234" t="str">
        <f t="shared" si="247"/>
        <v>Test</v>
      </c>
      <c r="C1234">
        <f t="shared" ca="1" si="248"/>
        <v>22</v>
      </c>
      <c r="D1234" t="str">
        <f t="shared" ca="1" si="249"/>
        <v>Female</v>
      </c>
      <c r="E1234" t="str">
        <f t="shared" ca="1" si="250"/>
        <v>Accessories</v>
      </c>
      <c r="F1234">
        <f t="shared" ca="1" si="251"/>
        <v>1561</v>
      </c>
      <c r="G1234">
        <f t="shared" ca="1" si="252"/>
        <v>20</v>
      </c>
      <c r="H1234">
        <f t="shared" ca="1" si="253"/>
        <v>1248.8000000000002</v>
      </c>
      <c r="I1234">
        <f t="shared" ca="1" si="254"/>
        <v>1</v>
      </c>
      <c r="J1234">
        <f t="shared" ca="1" si="255"/>
        <v>0</v>
      </c>
      <c r="K1234">
        <f t="shared" ca="1" si="256"/>
        <v>0</v>
      </c>
      <c r="L1234">
        <f t="shared" ca="1" si="257"/>
        <v>0</v>
      </c>
      <c r="M1234">
        <f t="shared" ca="1" si="258"/>
        <v>1</v>
      </c>
      <c r="N1234">
        <f t="shared" ca="1" si="259"/>
        <v>0</v>
      </c>
    </row>
    <row r="1235" spans="1:14" x14ac:dyDescent="0.35">
      <c r="A1235" t="s">
        <v>1252</v>
      </c>
      <c r="B1235" t="str">
        <f t="shared" si="247"/>
        <v>Test</v>
      </c>
      <c r="C1235">
        <f t="shared" ca="1" si="248"/>
        <v>38</v>
      </c>
      <c r="D1235" t="str">
        <f t="shared" ca="1" si="249"/>
        <v>Male</v>
      </c>
      <c r="E1235" t="str">
        <f t="shared" ca="1" si="250"/>
        <v>T-shirts</v>
      </c>
      <c r="F1235">
        <f t="shared" ca="1" si="251"/>
        <v>4632</v>
      </c>
      <c r="G1235">
        <f t="shared" ca="1" si="252"/>
        <v>15</v>
      </c>
      <c r="H1235">
        <f t="shared" ca="1" si="253"/>
        <v>3937.2</v>
      </c>
      <c r="I1235">
        <f t="shared" ca="1" si="254"/>
        <v>1</v>
      </c>
      <c r="J1235">
        <f t="shared" ca="1" si="255"/>
        <v>1</v>
      </c>
      <c r="K1235">
        <f t="shared" ca="1" si="256"/>
        <v>1</v>
      </c>
      <c r="L1235">
        <f t="shared" ca="1" si="257"/>
        <v>3937.2</v>
      </c>
      <c r="M1235">
        <f t="shared" ca="1" si="258"/>
        <v>3</v>
      </c>
      <c r="N1235">
        <f t="shared" ca="1" si="259"/>
        <v>0</v>
      </c>
    </row>
    <row r="1236" spans="1:14" x14ac:dyDescent="0.35">
      <c r="A1236" t="s">
        <v>1253</v>
      </c>
      <c r="B1236" t="str">
        <f t="shared" si="247"/>
        <v>Test</v>
      </c>
      <c r="C1236">
        <f t="shared" ca="1" si="248"/>
        <v>36</v>
      </c>
      <c r="D1236" t="str">
        <f t="shared" ca="1" si="249"/>
        <v>Male</v>
      </c>
      <c r="E1236" t="str">
        <f t="shared" ca="1" si="250"/>
        <v>Tops</v>
      </c>
      <c r="F1236">
        <f t="shared" ca="1" si="251"/>
        <v>7229</v>
      </c>
      <c r="G1236">
        <f t="shared" ca="1" si="252"/>
        <v>20</v>
      </c>
      <c r="H1236">
        <f t="shared" ca="1" si="253"/>
        <v>5783.2000000000007</v>
      </c>
      <c r="I1236">
        <f t="shared" ca="1" si="254"/>
        <v>1</v>
      </c>
      <c r="J1236">
        <f t="shared" ca="1" si="255"/>
        <v>1</v>
      </c>
      <c r="K1236">
        <f t="shared" ca="1" si="256"/>
        <v>0</v>
      </c>
      <c r="L1236">
        <f t="shared" ca="1" si="257"/>
        <v>0</v>
      </c>
      <c r="M1236">
        <f t="shared" ca="1" si="258"/>
        <v>5</v>
      </c>
      <c r="N1236">
        <f t="shared" ca="1" si="259"/>
        <v>0</v>
      </c>
    </row>
    <row r="1237" spans="1:14" x14ac:dyDescent="0.35">
      <c r="A1237" t="s">
        <v>1254</v>
      </c>
      <c r="B1237" t="str">
        <f t="shared" si="247"/>
        <v>Test</v>
      </c>
      <c r="C1237">
        <f t="shared" ca="1" si="248"/>
        <v>36</v>
      </c>
      <c r="D1237" t="str">
        <f t="shared" ca="1" si="249"/>
        <v>Female</v>
      </c>
      <c r="E1237" t="str">
        <f t="shared" ca="1" si="250"/>
        <v>Sportswear</v>
      </c>
      <c r="F1237">
        <f t="shared" ca="1" si="251"/>
        <v>6811</v>
      </c>
      <c r="G1237">
        <f t="shared" ca="1" si="252"/>
        <v>15</v>
      </c>
      <c r="H1237">
        <f t="shared" ca="1" si="253"/>
        <v>5789.3499999999995</v>
      </c>
      <c r="I1237">
        <f t="shared" ca="1" si="254"/>
        <v>1</v>
      </c>
      <c r="J1237">
        <f t="shared" ca="1" si="255"/>
        <v>0</v>
      </c>
      <c r="K1237">
        <f t="shared" ca="1" si="256"/>
        <v>0</v>
      </c>
      <c r="L1237">
        <f t="shared" ca="1" si="257"/>
        <v>0</v>
      </c>
      <c r="M1237">
        <f t="shared" ca="1" si="258"/>
        <v>1</v>
      </c>
      <c r="N1237">
        <f t="shared" ca="1" si="259"/>
        <v>0</v>
      </c>
    </row>
    <row r="1238" spans="1:14" x14ac:dyDescent="0.35">
      <c r="A1238" t="s">
        <v>1255</v>
      </c>
      <c r="B1238" t="str">
        <f t="shared" si="247"/>
        <v>Test</v>
      </c>
      <c r="C1238">
        <f t="shared" ca="1" si="248"/>
        <v>27</v>
      </c>
      <c r="D1238" t="str">
        <f t="shared" ca="1" si="249"/>
        <v>Male</v>
      </c>
      <c r="E1238" t="str">
        <f t="shared" ca="1" si="250"/>
        <v>Tops</v>
      </c>
      <c r="F1238">
        <f t="shared" ca="1" si="251"/>
        <v>2005</v>
      </c>
      <c r="G1238">
        <f t="shared" ca="1" si="252"/>
        <v>15</v>
      </c>
      <c r="H1238">
        <f t="shared" ca="1" si="253"/>
        <v>1704.25</v>
      </c>
      <c r="I1238">
        <f t="shared" ca="1" si="254"/>
        <v>1</v>
      </c>
      <c r="J1238">
        <f t="shared" ca="1" si="255"/>
        <v>1</v>
      </c>
      <c r="K1238">
        <f t="shared" ca="1" si="256"/>
        <v>1</v>
      </c>
      <c r="L1238">
        <f t="shared" ca="1" si="257"/>
        <v>1704.25</v>
      </c>
      <c r="M1238">
        <f t="shared" ca="1" si="258"/>
        <v>2</v>
      </c>
      <c r="N1238">
        <f t="shared" ca="1" si="259"/>
        <v>0</v>
      </c>
    </row>
    <row r="1239" spans="1:14" x14ac:dyDescent="0.35">
      <c r="A1239" t="s">
        <v>1256</v>
      </c>
      <c r="B1239" t="str">
        <f t="shared" si="247"/>
        <v>Test</v>
      </c>
      <c r="C1239">
        <f t="shared" ca="1" si="248"/>
        <v>32</v>
      </c>
      <c r="D1239" t="str">
        <f t="shared" ca="1" si="249"/>
        <v>Male</v>
      </c>
      <c r="E1239" t="str">
        <f t="shared" ca="1" si="250"/>
        <v>Jeans</v>
      </c>
      <c r="F1239">
        <f t="shared" ca="1" si="251"/>
        <v>5135</v>
      </c>
      <c r="G1239">
        <f t="shared" ca="1" si="252"/>
        <v>15</v>
      </c>
      <c r="H1239">
        <f t="shared" ca="1" si="253"/>
        <v>4364.75</v>
      </c>
      <c r="I1239">
        <f t="shared" ca="1" si="254"/>
        <v>1</v>
      </c>
      <c r="J1239">
        <f t="shared" ca="1" si="255"/>
        <v>0</v>
      </c>
      <c r="K1239">
        <f t="shared" ca="1" si="256"/>
        <v>0</v>
      </c>
      <c r="L1239">
        <f t="shared" ca="1" si="257"/>
        <v>0</v>
      </c>
      <c r="M1239">
        <f t="shared" ca="1" si="258"/>
        <v>5</v>
      </c>
      <c r="N1239">
        <f t="shared" ca="1" si="259"/>
        <v>0</v>
      </c>
    </row>
    <row r="1240" spans="1:14" x14ac:dyDescent="0.35">
      <c r="A1240" t="s">
        <v>1257</v>
      </c>
      <c r="B1240" t="str">
        <f t="shared" si="247"/>
        <v>Test</v>
      </c>
      <c r="C1240">
        <f t="shared" ca="1" si="248"/>
        <v>30</v>
      </c>
      <c r="D1240" t="str">
        <f t="shared" ca="1" si="249"/>
        <v>Male</v>
      </c>
      <c r="E1240" t="str">
        <f t="shared" ca="1" si="250"/>
        <v>Accessories</v>
      </c>
      <c r="F1240">
        <f t="shared" ca="1" si="251"/>
        <v>4065</v>
      </c>
      <c r="G1240">
        <f t="shared" ca="1" si="252"/>
        <v>15</v>
      </c>
      <c r="H1240">
        <f t="shared" ca="1" si="253"/>
        <v>3455.25</v>
      </c>
      <c r="I1240">
        <f t="shared" ca="1" si="254"/>
        <v>1</v>
      </c>
      <c r="J1240">
        <f t="shared" ca="1" si="255"/>
        <v>0</v>
      </c>
      <c r="K1240">
        <f t="shared" ca="1" si="256"/>
        <v>0</v>
      </c>
      <c r="L1240">
        <f t="shared" ca="1" si="257"/>
        <v>0</v>
      </c>
      <c r="M1240">
        <f t="shared" ca="1" si="258"/>
        <v>2</v>
      </c>
      <c r="N1240">
        <f t="shared" ca="1" si="259"/>
        <v>0</v>
      </c>
    </row>
    <row r="1241" spans="1:14" x14ac:dyDescent="0.35">
      <c r="A1241" t="s">
        <v>1258</v>
      </c>
      <c r="B1241" t="str">
        <f t="shared" si="247"/>
        <v>Test</v>
      </c>
      <c r="C1241">
        <f t="shared" ca="1" si="248"/>
        <v>20</v>
      </c>
      <c r="D1241" t="str">
        <f t="shared" ca="1" si="249"/>
        <v>Female</v>
      </c>
      <c r="E1241" t="str">
        <f t="shared" ca="1" si="250"/>
        <v>Accessories</v>
      </c>
      <c r="F1241">
        <f t="shared" ca="1" si="251"/>
        <v>2608</v>
      </c>
      <c r="G1241">
        <f t="shared" ca="1" si="252"/>
        <v>25</v>
      </c>
      <c r="H1241">
        <f t="shared" ca="1" si="253"/>
        <v>1956</v>
      </c>
      <c r="I1241">
        <f t="shared" ca="1" si="254"/>
        <v>1</v>
      </c>
      <c r="J1241">
        <f t="shared" ca="1" si="255"/>
        <v>1</v>
      </c>
      <c r="K1241">
        <f t="shared" ca="1" si="256"/>
        <v>0</v>
      </c>
      <c r="L1241">
        <f t="shared" ca="1" si="257"/>
        <v>0</v>
      </c>
      <c r="M1241">
        <f t="shared" ca="1" si="258"/>
        <v>2</v>
      </c>
      <c r="N1241">
        <f t="shared" ca="1" si="259"/>
        <v>0</v>
      </c>
    </row>
    <row r="1242" spans="1:14" x14ac:dyDescent="0.35">
      <c r="A1242" t="s">
        <v>1259</v>
      </c>
      <c r="B1242" t="str">
        <f t="shared" si="247"/>
        <v>Test</v>
      </c>
      <c r="C1242">
        <f t="shared" ca="1" si="248"/>
        <v>24</v>
      </c>
      <c r="D1242" t="str">
        <f t="shared" ca="1" si="249"/>
        <v>Female</v>
      </c>
      <c r="E1242" t="str">
        <f t="shared" ca="1" si="250"/>
        <v>T-shirts</v>
      </c>
      <c r="F1242">
        <f t="shared" ca="1" si="251"/>
        <v>6581</v>
      </c>
      <c r="G1242">
        <f t="shared" ca="1" si="252"/>
        <v>25</v>
      </c>
      <c r="H1242">
        <f t="shared" ca="1" si="253"/>
        <v>4935.75</v>
      </c>
      <c r="I1242">
        <f t="shared" ca="1" si="254"/>
        <v>1</v>
      </c>
      <c r="J1242">
        <f t="shared" ca="1" si="255"/>
        <v>0</v>
      </c>
      <c r="K1242">
        <f t="shared" ca="1" si="256"/>
        <v>0</v>
      </c>
      <c r="L1242">
        <f t="shared" ca="1" si="257"/>
        <v>0</v>
      </c>
      <c r="M1242">
        <f t="shared" ca="1" si="258"/>
        <v>4</v>
      </c>
      <c r="N1242">
        <f t="shared" ca="1" si="259"/>
        <v>0</v>
      </c>
    </row>
    <row r="1243" spans="1:14" x14ac:dyDescent="0.35">
      <c r="A1243" t="s">
        <v>1260</v>
      </c>
      <c r="B1243" t="str">
        <f t="shared" si="247"/>
        <v>Test</v>
      </c>
      <c r="C1243">
        <f t="shared" ca="1" si="248"/>
        <v>20</v>
      </c>
      <c r="D1243" t="str">
        <f t="shared" ca="1" si="249"/>
        <v>Female</v>
      </c>
      <c r="E1243" t="str">
        <f t="shared" ca="1" si="250"/>
        <v>Sportswear</v>
      </c>
      <c r="F1243">
        <f t="shared" ca="1" si="251"/>
        <v>3318</v>
      </c>
      <c r="G1243">
        <f t="shared" ca="1" si="252"/>
        <v>20</v>
      </c>
      <c r="H1243">
        <f t="shared" ca="1" si="253"/>
        <v>2654.4</v>
      </c>
      <c r="I1243">
        <f t="shared" ca="1" si="254"/>
        <v>0</v>
      </c>
      <c r="J1243">
        <f t="shared" ca="1" si="255"/>
        <v>0</v>
      </c>
      <c r="K1243">
        <f t="shared" ca="1" si="256"/>
        <v>0</v>
      </c>
      <c r="L1243">
        <f t="shared" ca="1" si="257"/>
        <v>0</v>
      </c>
      <c r="M1243">
        <f t="shared" ca="1" si="258"/>
        <v>5</v>
      </c>
      <c r="N1243">
        <f t="shared" ca="1" si="259"/>
        <v>0</v>
      </c>
    </row>
    <row r="1244" spans="1:14" x14ac:dyDescent="0.35">
      <c r="A1244" t="s">
        <v>1261</v>
      </c>
      <c r="B1244" t="str">
        <f t="shared" si="247"/>
        <v>Test</v>
      </c>
      <c r="C1244">
        <f t="shared" ca="1" si="248"/>
        <v>39</v>
      </c>
      <c r="D1244" t="str">
        <f t="shared" ca="1" si="249"/>
        <v>Male</v>
      </c>
      <c r="E1244" t="str">
        <f t="shared" ca="1" si="250"/>
        <v>Sportswear</v>
      </c>
      <c r="F1244">
        <f t="shared" ca="1" si="251"/>
        <v>6061</v>
      </c>
      <c r="G1244">
        <f t="shared" ca="1" si="252"/>
        <v>15</v>
      </c>
      <c r="H1244">
        <f t="shared" ca="1" si="253"/>
        <v>5151.8499999999995</v>
      </c>
      <c r="I1244">
        <f t="shared" ca="1" si="254"/>
        <v>1</v>
      </c>
      <c r="J1244">
        <f t="shared" ca="1" si="255"/>
        <v>1</v>
      </c>
      <c r="K1244">
        <f t="shared" ca="1" si="256"/>
        <v>1</v>
      </c>
      <c r="L1244">
        <f t="shared" ca="1" si="257"/>
        <v>5151.8499999999995</v>
      </c>
      <c r="M1244">
        <f t="shared" ca="1" si="258"/>
        <v>6</v>
      </c>
      <c r="N1244">
        <f t="shared" ca="1" si="259"/>
        <v>1</v>
      </c>
    </row>
    <row r="1245" spans="1:14" x14ac:dyDescent="0.35">
      <c r="A1245" t="s">
        <v>1262</v>
      </c>
      <c r="B1245" t="str">
        <f t="shared" si="247"/>
        <v>Test</v>
      </c>
      <c r="C1245">
        <f t="shared" ca="1" si="248"/>
        <v>34</v>
      </c>
      <c r="D1245" t="str">
        <f t="shared" ca="1" si="249"/>
        <v>Male</v>
      </c>
      <c r="E1245" t="str">
        <f t="shared" ca="1" si="250"/>
        <v>Dresses</v>
      </c>
      <c r="F1245">
        <f t="shared" ca="1" si="251"/>
        <v>6845</v>
      </c>
      <c r="G1245">
        <f t="shared" ca="1" si="252"/>
        <v>15</v>
      </c>
      <c r="H1245">
        <f t="shared" ca="1" si="253"/>
        <v>5818.25</v>
      </c>
      <c r="I1245">
        <f t="shared" ca="1" si="254"/>
        <v>0</v>
      </c>
      <c r="J1245">
        <f t="shared" ca="1" si="255"/>
        <v>0</v>
      </c>
      <c r="K1245">
        <f t="shared" ca="1" si="256"/>
        <v>0</v>
      </c>
      <c r="L1245">
        <f t="shared" ca="1" si="257"/>
        <v>0</v>
      </c>
      <c r="M1245">
        <f t="shared" ca="1" si="258"/>
        <v>6</v>
      </c>
      <c r="N1245">
        <f t="shared" ca="1" si="259"/>
        <v>0</v>
      </c>
    </row>
    <row r="1246" spans="1:14" x14ac:dyDescent="0.35">
      <c r="A1246" t="s">
        <v>1263</v>
      </c>
      <c r="B1246" t="str">
        <f t="shared" si="247"/>
        <v>Test</v>
      </c>
      <c r="C1246">
        <f t="shared" ca="1" si="248"/>
        <v>39</v>
      </c>
      <c r="D1246" t="str">
        <f t="shared" ca="1" si="249"/>
        <v>Male</v>
      </c>
      <c r="E1246" t="str">
        <f t="shared" ca="1" si="250"/>
        <v>Jeans</v>
      </c>
      <c r="F1246">
        <f t="shared" ca="1" si="251"/>
        <v>4399</v>
      </c>
      <c r="G1246">
        <f t="shared" ca="1" si="252"/>
        <v>20</v>
      </c>
      <c r="H1246">
        <f t="shared" ca="1" si="253"/>
        <v>3519.2000000000003</v>
      </c>
      <c r="I1246">
        <f t="shared" ca="1" si="254"/>
        <v>1</v>
      </c>
      <c r="J1246">
        <f t="shared" ca="1" si="255"/>
        <v>0</v>
      </c>
      <c r="K1246">
        <f t="shared" ca="1" si="256"/>
        <v>0</v>
      </c>
      <c r="L1246">
        <f t="shared" ca="1" si="257"/>
        <v>0</v>
      </c>
      <c r="M1246">
        <f t="shared" ca="1" si="258"/>
        <v>1</v>
      </c>
      <c r="N1246">
        <f t="shared" ca="1" si="259"/>
        <v>0</v>
      </c>
    </row>
    <row r="1247" spans="1:14" x14ac:dyDescent="0.35">
      <c r="A1247" t="s">
        <v>1264</v>
      </c>
      <c r="B1247" t="str">
        <f t="shared" si="247"/>
        <v>Test</v>
      </c>
      <c r="C1247">
        <f t="shared" ca="1" si="248"/>
        <v>41</v>
      </c>
      <c r="D1247" t="str">
        <f t="shared" ca="1" si="249"/>
        <v>Other</v>
      </c>
      <c r="E1247" t="str">
        <f t="shared" ca="1" si="250"/>
        <v>Jeans</v>
      </c>
      <c r="F1247">
        <f t="shared" ca="1" si="251"/>
        <v>564</v>
      </c>
      <c r="G1247">
        <f t="shared" ca="1" si="252"/>
        <v>15</v>
      </c>
      <c r="H1247">
        <f t="shared" ca="1" si="253"/>
        <v>479.4</v>
      </c>
      <c r="I1247">
        <f t="shared" ca="1" si="254"/>
        <v>1</v>
      </c>
      <c r="J1247">
        <f t="shared" ca="1" si="255"/>
        <v>1</v>
      </c>
      <c r="K1247">
        <f t="shared" ca="1" si="256"/>
        <v>0</v>
      </c>
      <c r="L1247">
        <f t="shared" ca="1" si="257"/>
        <v>0</v>
      </c>
      <c r="M1247">
        <f t="shared" ca="1" si="258"/>
        <v>4</v>
      </c>
      <c r="N1247">
        <f t="shared" ca="1" si="259"/>
        <v>0</v>
      </c>
    </row>
    <row r="1248" spans="1:14" x14ac:dyDescent="0.35">
      <c r="A1248" t="s">
        <v>1265</v>
      </c>
      <c r="B1248" t="str">
        <f t="shared" si="247"/>
        <v>Test</v>
      </c>
      <c r="C1248">
        <f t="shared" ca="1" si="248"/>
        <v>33</v>
      </c>
      <c r="D1248" t="str">
        <f t="shared" ca="1" si="249"/>
        <v>Female</v>
      </c>
      <c r="E1248" t="str">
        <f t="shared" ca="1" si="250"/>
        <v>Ethnic Wear</v>
      </c>
      <c r="F1248">
        <f t="shared" ca="1" si="251"/>
        <v>5662</v>
      </c>
      <c r="G1248">
        <f t="shared" ca="1" si="252"/>
        <v>25</v>
      </c>
      <c r="H1248">
        <f t="shared" ca="1" si="253"/>
        <v>4246.5</v>
      </c>
      <c r="I1248">
        <f t="shared" ca="1" si="254"/>
        <v>1</v>
      </c>
      <c r="J1248">
        <f t="shared" ca="1" si="255"/>
        <v>1</v>
      </c>
      <c r="K1248">
        <f t="shared" ca="1" si="256"/>
        <v>0</v>
      </c>
      <c r="L1248">
        <f t="shared" ca="1" si="257"/>
        <v>0</v>
      </c>
      <c r="M1248">
        <f t="shared" ca="1" si="258"/>
        <v>7</v>
      </c>
      <c r="N1248">
        <f t="shared" ca="1" si="259"/>
        <v>0</v>
      </c>
    </row>
    <row r="1249" spans="1:14" x14ac:dyDescent="0.35">
      <c r="A1249" t="s">
        <v>1266</v>
      </c>
      <c r="B1249" t="str">
        <f t="shared" si="247"/>
        <v>Test</v>
      </c>
      <c r="C1249">
        <f t="shared" ca="1" si="248"/>
        <v>32</v>
      </c>
      <c r="D1249" t="str">
        <f t="shared" ca="1" si="249"/>
        <v>Male</v>
      </c>
      <c r="E1249" t="str">
        <f t="shared" ca="1" si="250"/>
        <v>Jeans</v>
      </c>
      <c r="F1249">
        <f t="shared" ca="1" si="251"/>
        <v>3256</v>
      </c>
      <c r="G1249">
        <f t="shared" ca="1" si="252"/>
        <v>15</v>
      </c>
      <c r="H1249">
        <f t="shared" ca="1" si="253"/>
        <v>2767.6</v>
      </c>
      <c r="I1249">
        <f t="shared" ca="1" si="254"/>
        <v>0</v>
      </c>
      <c r="J1249">
        <f t="shared" ca="1" si="255"/>
        <v>0</v>
      </c>
      <c r="K1249">
        <f t="shared" ca="1" si="256"/>
        <v>0</v>
      </c>
      <c r="L1249">
        <f t="shared" ca="1" si="257"/>
        <v>0</v>
      </c>
      <c r="M1249">
        <f t="shared" ca="1" si="258"/>
        <v>2</v>
      </c>
      <c r="N1249">
        <f t="shared" ca="1" si="259"/>
        <v>0</v>
      </c>
    </row>
    <row r="1250" spans="1:14" x14ac:dyDescent="0.35">
      <c r="A1250" t="s">
        <v>1267</v>
      </c>
      <c r="B1250" t="str">
        <f t="shared" si="247"/>
        <v>Test</v>
      </c>
      <c r="C1250">
        <f t="shared" ca="1" si="248"/>
        <v>41</v>
      </c>
      <c r="D1250" t="str">
        <f t="shared" ca="1" si="249"/>
        <v>Other</v>
      </c>
      <c r="E1250" t="str">
        <f t="shared" ca="1" si="250"/>
        <v>Ethnic Wear</v>
      </c>
      <c r="F1250">
        <f t="shared" ca="1" si="251"/>
        <v>4172</v>
      </c>
      <c r="G1250">
        <f t="shared" ca="1" si="252"/>
        <v>20</v>
      </c>
      <c r="H1250">
        <f t="shared" ca="1" si="253"/>
        <v>3337.6000000000004</v>
      </c>
      <c r="I1250">
        <f t="shared" ca="1" si="254"/>
        <v>1</v>
      </c>
      <c r="J1250">
        <f t="shared" ca="1" si="255"/>
        <v>0</v>
      </c>
      <c r="K1250">
        <f t="shared" ca="1" si="256"/>
        <v>0</v>
      </c>
      <c r="L1250">
        <f t="shared" ca="1" si="257"/>
        <v>0</v>
      </c>
      <c r="M1250">
        <f t="shared" ca="1" si="258"/>
        <v>6</v>
      </c>
      <c r="N1250">
        <f t="shared" ca="1" si="259"/>
        <v>0</v>
      </c>
    </row>
    <row r="1251" spans="1:14" x14ac:dyDescent="0.35">
      <c r="A1251" t="s">
        <v>1268</v>
      </c>
      <c r="B1251" t="str">
        <f t="shared" si="247"/>
        <v>Test</v>
      </c>
      <c r="C1251">
        <f t="shared" ca="1" si="248"/>
        <v>24</v>
      </c>
      <c r="D1251" t="str">
        <f t="shared" ca="1" si="249"/>
        <v>Other</v>
      </c>
      <c r="E1251" t="str">
        <f t="shared" ca="1" si="250"/>
        <v>Accessories</v>
      </c>
      <c r="F1251">
        <f t="shared" ca="1" si="251"/>
        <v>538</v>
      </c>
      <c r="G1251">
        <f t="shared" ca="1" si="252"/>
        <v>25</v>
      </c>
      <c r="H1251">
        <f t="shared" ca="1" si="253"/>
        <v>403.5</v>
      </c>
      <c r="I1251">
        <f t="shared" ca="1" si="254"/>
        <v>1</v>
      </c>
      <c r="J1251">
        <f t="shared" ca="1" si="255"/>
        <v>1</v>
      </c>
      <c r="K1251">
        <f t="shared" ca="1" si="256"/>
        <v>0</v>
      </c>
      <c r="L1251">
        <f t="shared" ca="1" si="257"/>
        <v>0</v>
      </c>
      <c r="M1251">
        <f t="shared" ca="1" si="258"/>
        <v>3</v>
      </c>
      <c r="N1251">
        <f t="shared" ca="1" si="259"/>
        <v>0</v>
      </c>
    </row>
    <row r="1252" spans="1:14" x14ac:dyDescent="0.35">
      <c r="A1252" t="s">
        <v>1269</v>
      </c>
      <c r="B1252" t="str">
        <f t="shared" si="247"/>
        <v>Test</v>
      </c>
      <c r="C1252">
        <f t="shared" ca="1" si="248"/>
        <v>39</v>
      </c>
      <c r="D1252" t="str">
        <f t="shared" ca="1" si="249"/>
        <v>Other</v>
      </c>
      <c r="E1252" t="str">
        <f t="shared" ca="1" si="250"/>
        <v>Shoes</v>
      </c>
      <c r="F1252">
        <f t="shared" ca="1" si="251"/>
        <v>6093</v>
      </c>
      <c r="G1252">
        <f t="shared" ca="1" si="252"/>
        <v>20</v>
      </c>
      <c r="H1252">
        <f t="shared" ca="1" si="253"/>
        <v>4874.4000000000005</v>
      </c>
      <c r="I1252">
        <f t="shared" ca="1" si="254"/>
        <v>1</v>
      </c>
      <c r="J1252">
        <f t="shared" ca="1" si="255"/>
        <v>1</v>
      </c>
      <c r="K1252">
        <f t="shared" ca="1" si="256"/>
        <v>0</v>
      </c>
      <c r="L1252">
        <f t="shared" ca="1" si="257"/>
        <v>0</v>
      </c>
      <c r="M1252">
        <f t="shared" ca="1" si="258"/>
        <v>5</v>
      </c>
      <c r="N1252">
        <f t="shared" ca="1" si="259"/>
        <v>0</v>
      </c>
    </row>
    <row r="1253" spans="1:14" x14ac:dyDescent="0.35">
      <c r="A1253" t="s">
        <v>1270</v>
      </c>
      <c r="B1253" t="str">
        <f t="shared" si="247"/>
        <v>Test</v>
      </c>
      <c r="C1253">
        <f t="shared" ca="1" si="248"/>
        <v>31</v>
      </c>
      <c r="D1253" t="str">
        <f t="shared" ca="1" si="249"/>
        <v>Female</v>
      </c>
      <c r="E1253" t="str">
        <f t="shared" ca="1" si="250"/>
        <v>Dresses</v>
      </c>
      <c r="F1253">
        <f t="shared" ca="1" si="251"/>
        <v>3098</v>
      </c>
      <c r="G1253">
        <f t="shared" ca="1" si="252"/>
        <v>15</v>
      </c>
      <c r="H1253">
        <f t="shared" ca="1" si="253"/>
        <v>2633.2999999999997</v>
      </c>
      <c r="I1253">
        <f t="shared" ca="1" si="254"/>
        <v>1</v>
      </c>
      <c r="J1253">
        <f t="shared" ca="1" si="255"/>
        <v>1</v>
      </c>
      <c r="K1253">
        <f t="shared" ca="1" si="256"/>
        <v>1</v>
      </c>
      <c r="L1253">
        <f t="shared" ca="1" si="257"/>
        <v>2633.2999999999997</v>
      </c>
      <c r="M1253">
        <f t="shared" ca="1" si="258"/>
        <v>7</v>
      </c>
      <c r="N1253">
        <f t="shared" ca="1" si="259"/>
        <v>0</v>
      </c>
    </row>
    <row r="1254" spans="1:14" x14ac:dyDescent="0.35">
      <c r="A1254" t="s">
        <v>1271</v>
      </c>
      <c r="B1254" t="str">
        <f t="shared" si="247"/>
        <v>Test</v>
      </c>
      <c r="C1254">
        <f t="shared" ca="1" si="248"/>
        <v>28</v>
      </c>
      <c r="D1254" t="str">
        <f t="shared" ca="1" si="249"/>
        <v>Male</v>
      </c>
      <c r="E1254" t="str">
        <f t="shared" ca="1" si="250"/>
        <v>Ethnic Wear</v>
      </c>
      <c r="F1254">
        <f t="shared" ca="1" si="251"/>
        <v>7308</v>
      </c>
      <c r="G1254">
        <f t="shared" ca="1" si="252"/>
        <v>20</v>
      </c>
      <c r="H1254">
        <f t="shared" ca="1" si="253"/>
        <v>5846.4000000000005</v>
      </c>
      <c r="I1254">
        <f t="shared" ca="1" si="254"/>
        <v>1</v>
      </c>
      <c r="J1254">
        <f t="shared" ca="1" si="255"/>
        <v>0</v>
      </c>
      <c r="K1254">
        <f t="shared" ca="1" si="256"/>
        <v>0</v>
      </c>
      <c r="L1254">
        <f t="shared" ca="1" si="257"/>
        <v>0</v>
      </c>
      <c r="M1254">
        <f t="shared" ca="1" si="258"/>
        <v>2</v>
      </c>
      <c r="N1254">
        <f t="shared" ca="1" si="259"/>
        <v>0</v>
      </c>
    </row>
    <row r="1255" spans="1:14" x14ac:dyDescent="0.35">
      <c r="A1255" t="s">
        <v>1272</v>
      </c>
      <c r="B1255" t="str">
        <f t="shared" si="247"/>
        <v>Test</v>
      </c>
      <c r="C1255">
        <f t="shared" ca="1" si="248"/>
        <v>20</v>
      </c>
      <c r="D1255" t="str">
        <f t="shared" ca="1" si="249"/>
        <v>Female</v>
      </c>
      <c r="E1255" t="str">
        <f t="shared" ca="1" si="250"/>
        <v>Ethnic Wear</v>
      </c>
      <c r="F1255">
        <f t="shared" ca="1" si="251"/>
        <v>2359</v>
      </c>
      <c r="G1255">
        <f t="shared" ca="1" si="252"/>
        <v>15</v>
      </c>
      <c r="H1255">
        <f t="shared" ca="1" si="253"/>
        <v>2005.1499999999999</v>
      </c>
      <c r="I1255">
        <f t="shared" ca="1" si="254"/>
        <v>0</v>
      </c>
      <c r="J1255">
        <f t="shared" ca="1" si="255"/>
        <v>0</v>
      </c>
      <c r="K1255">
        <f t="shared" ca="1" si="256"/>
        <v>0</v>
      </c>
      <c r="L1255">
        <f t="shared" ca="1" si="257"/>
        <v>0</v>
      </c>
      <c r="M1255">
        <f t="shared" ca="1" si="258"/>
        <v>4</v>
      </c>
      <c r="N1255">
        <f t="shared" ca="1" si="259"/>
        <v>0</v>
      </c>
    </row>
    <row r="1256" spans="1:14" x14ac:dyDescent="0.35">
      <c r="A1256" t="s">
        <v>1273</v>
      </c>
      <c r="B1256" t="str">
        <f t="shared" si="247"/>
        <v>Test</v>
      </c>
      <c r="C1256">
        <f t="shared" ca="1" si="248"/>
        <v>23</v>
      </c>
      <c r="D1256" t="str">
        <f t="shared" ca="1" si="249"/>
        <v>Female</v>
      </c>
      <c r="E1256" t="str">
        <f t="shared" ca="1" si="250"/>
        <v>T-shirts</v>
      </c>
      <c r="F1256">
        <f t="shared" ca="1" si="251"/>
        <v>5147</v>
      </c>
      <c r="G1256">
        <f t="shared" ca="1" si="252"/>
        <v>15</v>
      </c>
      <c r="H1256">
        <f t="shared" ca="1" si="253"/>
        <v>4374.95</v>
      </c>
      <c r="I1256">
        <f t="shared" ca="1" si="254"/>
        <v>1</v>
      </c>
      <c r="J1256">
        <f t="shared" ca="1" si="255"/>
        <v>0</v>
      </c>
      <c r="K1256">
        <f t="shared" ca="1" si="256"/>
        <v>0</v>
      </c>
      <c r="L1256">
        <f t="shared" ca="1" si="257"/>
        <v>0</v>
      </c>
      <c r="M1256">
        <f t="shared" ca="1" si="258"/>
        <v>1</v>
      </c>
      <c r="N1256">
        <f t="shared" ca="1" si="259"/>
        <v>0</v>
      </c>
    </row>
    <row r="1257" spans="1:14" x14ac:dyDescent="0.35">
      <c r="A1257" t="s">
        <v>1274</v>
      </c>
      <c r="B1257" t="str">
        <f t="shared" si="247"/>
        <v>Test</v>
      </c>
      <c r="C1257">
        <f t="shared" ca="1" si="248"/>
        <v>31</v>
      </c>
      <c r="D1257" t="str">
        <f t="shared" ca="1" si="249"/>
        <v>Female</v>
      </c>
      <c r="E1257" t="str">
        <f t="shared" ca="1" si="250"/>
        <v>Tops</v>
      </c>
      <c r="F1257">
        <f t="shared" ca="1" si="251"/>
        <v>7253</v>
      </c>
      <c r="G1257">
        <f t="shared" ca="1" si="252"/>
        <v>20</v>
      </c>
      <c r="H1257">
        <f t="shared" ca="1" si="253"/>
        <v>5802.4000000000005</v>
      </c>
      <c r="I1257">
        <f t="shared" ca="1" si="254"/>
        <v>1</v>
      </c>
      <c r="J1257">
        <f t="shared" ca="1" si="255"/>
        <v>0</v>
      </c>
      <c r="K1257">
        <f t="shared" ca="1" si="256"/>
        <v>0</v>
      </c>
      <c r="L1257">
        <f t="shared" ca="1" si="257"/>
        <v>0</v>
      </c>
      <c r="M1257">
        <f t="shared" ca="1" si="258"/>
        <v>4</v>
      </c>
      <c r="N1257">
        <f t="shared" ca="1" si="259"/>
        <v>0</v>
      </c>
    </row>
    <row r="1258" spans="1:14" x14ac:dyDescent="0.35">
      <c r="A1258" t="s">
        <v>1275</v>
      </c>
      <c r="B1258" t="str">
        <f t="shared" si="247"/>
        <v>Test</v>
      </c>
      <c r="C1258">
        <f t="shared" ca="1" si="248"/>
        <v>41</v>
      </c>
      <c r="D1258" t="str">
        <f t="shared" ca="1" si="249"/>
        <v>Male</v>
      </c>
      <c r="E1258" t="str">
        <f t="shared" ca="1" si="250"/>
        <v>Ethnic Wear</v>
      </c>
      <c r="F1258">
        <f t="shared" ca="1" si="251"/>
        <v>2655</v>
      </c>
      <c r="G1258">
        <f t="shared" ca="1" si="252"/>
        <v>15</v>
      </c>
      <c r="H1258">
        <f t="shared" ca="1" si="253"/>
        <v>2256.75</v>
      </c>
      <c r="I1258">
        <f t="shared" ca="1" si="254"/>
        <v>1</v>
      </c>
      <c r="J1258">
        <f t="shared" ca="1" si="255"/>
        <v>1</v>
      </c>
      <c r="K1258">
        <f t="shared" ca="1" si="256"/>
        <v>0</v>
      </c>
      <c r="L1258">
        <f t="shared" ca="1" si="257"/>
        <v>0</v>
      </c>
      <c r="M1258">
        <f t="shared" ca="1" si="258"/>
        <v>4</v>
      </c>
      <c r="N1258">
        <f t="shared" ca="1" si="259"/>
        <v>0</v>
      </c>
    </row>
    <row r="1259" spans="1:14" x14ac:dyDescent="0.35">
      <c r="A1259" t="s">
        <v>1276</v>
      </c>
      <c r="B1259" t="str">
        <f t="shared" si="247"/>
        <v>Test</v>
      </c>
      <c r="C1259">
        <f t="shared" ca="1" si="248"/>
        <v>44</v>
      </c>
      <c r="D1259" t="str">
        <f t="shared" ca="1" si="249"/>
        <v>Female</v>
      </c>
      <c r="E1259" t="str">
        <f t="shared" ca="1" si="250"/>
        <v>Tops</v>
      </c>
      <c r="F1259">
        <f t="shared" ca="1" si="251"/>
        <v>4481</v>
      </c>
      <c r="G1259">
        <f t="shared" ca="1" si="252"/>
        <v>15</v>
      </c>
      <c r="H1259">
        <f t="shared" ca="1" si="253"/>
        <v>3808.85</v>
      </c>
      <c r="I1259">
        <f t="shared" ca="1" si="254"/>
        <v>1</v>
      </c>
      <c r="J1259">
        <f t="shared" ca="1" si="255"/>
        <v>1</v>
      </c>
      <c r="K1259">
        <f t="shared" ca="1" si="256"/>
        <v>0</v>
      </c>
      <c r="L1259">
        <f t="shared" ca="1" si="257"/>
        <v>0</v>
      </c>
      <c r="M1259">
        <f t="shared" ca="1" si="258"/>
        <v>7</v>
      </c>
      <c r="N1259">
        <f t="shared" ca="1" si="259"/>
        <v>0</v>
      </c>
    </row>
    <row r="1260" spans="1:14" x14ac:dyDescent="0.35">
      <c r="A1260" t="s">
        <v>1277</v>
      </c>
      <c r="B1260" t="str">
        <f t="shared" si="247"/>
        <v>Test</v>
      </c>
      <c r="C1260">
        <f t="shared" ca="1" si="248"/>
        <v>31</v>
      </c>
      <c r="D1260" t="str">
        <f t="shared" ca="1" si="249"/>
        <v>Female</v>
      </c>
      <c r="E1260" t="str">
        <f t="shared" ca="1" si="250"/>
        <v>Tops</v>
      </c>
      <c r="F1260">
        <f t="shared" ca="1" si="251"/>
        <v>3464</v>
      </c>
      <c r="G1260">
        <f t="shared" ca="1" si="252"/>
        <v>25</v>
      </c>
      <c r="H1260">
        <f t="shared" ca="1" si="253"/>
        <v>2598</v>
      </c>
      <c r="I1260">
        <f t="shared" ca="1" si="254"/>
        <v>1</v>
      </c>
      <c r="J1260">
        <f t="shared" ca="1" si="255"/>
        <v>1</v>
      </c>
      <c r="K1260">
        <f t="shared" ca="1" si="256"/>
        <v>1</v>
      </c>
      <c r="L1260">
        <f t="shared" ca="1" si="257"/>
        <v>2598</v>
      </c>
      <c r="M1260">
        <f t="shared" ca="1" si="258"/>
        <v>7</v>
      </c>
      <c r="N1260">
        <f t="shared" ca="1" si="259"/>
        <v>0</v>
      </c>
    </row>
    <row r="1261" spans="1:14" x14ac:dyDescent="0.35">
      <c r="A1261" t="s">
        <v>1278</v>
      </c>
      <c r="B1261" t="str">
        <f t="shared" si="247"/>
        <v>Test</v>
      </c>
      <c r="C1261">
        <f t="shared" ca="1" si="248"/>
        <v>38</v>
      </c>
      <c r="D1261" t="str">
        <f t="shared" ca="1" si="249"/>
        <v>Male</v>
      </c>
      <c r="E1261" t="str">
        <f t="shared" ca="1" si="250"/>
        <v>Jeans</v>
      </c>
      <c r="F1261">
        <f t="shared" ca="1" si="251"/>
        <v>4730</v>
      </c>
      <c r="G1261">
        <f t="shared" ca="1" si="252"/>
        <v>20</v>
      </c>
      <c r="H1261">
        <f t="shared" ca="1" si="253"/>
        <v>3784</v>
      </c>
      <c r="I1261">
        <f t="shared" ca="1" si="254"/>
        <v>1</v>
      </c>
      <c r="J1261">
        <f t="shared" ca="1" si="255"/>
        <v>1</v>
      </c>
      <c r="K1261">
        <f t="shared" ca="1" si="256"/>
        <v>0</v>
      </c>
      <c r="L1261">
        <f t="shared" ca="1" si="257"/>
        <v>0</v>
      </c>
      <c r="M1261">
        <f t="shared" ca="1" si="258"/>
        <v>4</v>
      </c>
      <c r="N1261">
        <f t="shared" ca="1" si="259"/>
        <v>0</v>
      </c>
    </row>
    <row r="1262" spans="1:14" x14ac:dyDescent="0.35">
      <c r="A1262" t="s">
        <v>1279</v>
      </c>
      <c r="B1262" t="str">
        <f t="shared" si="247"/>
        <v>Test</v>
      </c>
      <c r="C1262">
        <f t="shared" ca="1" si="248"/>
        <v>23</v>
      </c>
      <c r="D1262" t="str">
        <f t="shared" ca="1" si="249"/>
        <v>Female</v>
      </c>
      <c r="E1262" t="str">
        <f t="shared" ca="1" si="250"/>
        <v>T-shirts</v>
      </c>
      <c r="F1262">
        <f t="shared" ca="1" si="251"/>
        <v>3685</v>
      </c>
      <c r="G1262">
        <f t="shared" ca="1" si="252"/>
        <v>25</v>
      </c>
      <c r="H1262">
        <f t="shared" ca="1" si="253"/>
        <v>2763.75</v>
      </c>
      <c r="I1262">
        <f t="shared" ca="1" si="254"/>
        <v>1</v>
      </c>
      <c r="J1262">
        <f t="shared" ca="1" si="255"/>
        <v>0</v>
      </c>
      <c r="K1262">
        <f t="shared" ca="1" si="256"/>
        <v>0</v>
      </c>
      <c r="L1262">
        <f t="shared" ca="1" si="257"/>
        <v>0</v>
      </c>
      <c r="M1262">
        <f t="shared" ca="1" si="258"/>
        <v>1</v>
      </c>
      <c r="N1262">
        <f t="shared" ca="1" si="259"/>
        <v>0</v>
      </c>
    </row>
    <row r="1263" spans="1:14" x14ac:dyDescent="0.35">
      <c r="A1263" t="s">
        <v>1280</v>
      </c>
      <c r="B1263" t="str">
        <f t="shared" si="247"/>
        <v>Test</v>
      </c>
      <c r="C1263">
        <f t="shared" ca="1" si="248"/>
        <v>27</v>
      </c>
      <c r="D1263" t="str">
        <f t="shared" ca="1" si="249"/>
        <v>Female</v>
      </c>
      <c r="E1263" t="str">
        <f t="shared" ca="1" si="250"/>
        <v>Shoes</v>
      </c>
      <c r="F1263">
        <f t="shared" ca="1" si="251"/>
        <v>2450</v>
      </c>
      <c r="G1263">
        <f t="shared" ca="1" si="252"/>
        <v>15</v>
      </c>
      <c r="H1263">
        <f t="shared" ca="1" si="253"/>
        <v>2082.5</v>
      </c>
      <c r="I1263">
        <f t="shared" ca="1" si="254"/>
        <v>1</v>
      </c>
      <c r="J1263">
        <f t="shared" ca="1" si="255"/>
        <v>1</v>
      </c>
      <c r="K1263">
        <f t="shared" ca="1" si="256"/>
        <v>0</v>
      </c>
      <c r="L1263">
        <f t="shared" ca="1" si="257"/>
        <v>0</v>
      </c>
      <c r="M1263">
        <f t="shared" ca="1" si="258"/>
        <v>1</v>
      </c>
      <c r="N1263">
        <f t="shared" ca="1" si="259"/>
        <v>0</v>
      </c>
    </row>
    <row r="1264" spans="1:14" x14ac:dyDescent="0.35">
      <c r="A1264" t="s">
        <v>1281</v>
      </c>
      <c r="B1264" t="str">
        <f t="shared" si="247"/>
        <v>Test</v>
      </c>
      <c r="C1264">
        <f t="shared" ca="1" si="248"/>
        <v>36</v>
      </c>
      <c r="D1264" t="str">
        <f t="shared" ca="1" si="249"/>
        <v>Female</v>
      </c>
      <c r="E1264" t="str">
        <f t="shared" ca="1" si="250"/>
        <v>Sportswear</v>
      </c>
      <c r="F1264">
        <f t="shared" ca="1" si="251"/>
        <v>6338</v>
      </c>
      <c r="G1264">
        <f t="shared" ca="1" si="252"/>
        <v>15</v>
      </c>
      <c r="H1264">
        <f t="shared" ca="1" si="253"/>
        <v>5387.3</v>
      </c>
      <c r="I1264">
        <f t="shared" ca="1" si="254"/>
        <v>0</v>
      </c>
      <c r="J1264">
        <f t="shared" ca="1" si="255"/>
        <v>0</v>
      </c>
      <c r="K1264">
        <f t="shared" ca="1" si="256"/>
        <v>0</v>
      </c>
      <c r="L1264">
        <f t="shared" ca="1" si="257"/>
        <v>0</v>
      </c>
      <c r="M1264">
        <f t="shared" ca="1" si="258"/>
        <v>6</v>
      </c>
      <c r="N1264">
        <f t="shared" ca="1" si="259"/>
        <v>0</v>
      </c>
    </row>
    <row r="1265" spans="1:14" x14ac:dyDescent="0.35">
      <c r="A1265" t="s">
        <v>1282</v>
      </c>
      <c r="B1265" t="str">
        <f t="shared" si="247"/>
        <v>Test</v>
      </c>
      <c r="C1265">
        <f t="shared" ca="1" si="248"/>
        <v>32</v>
      </c>
      <c r="D1265" t="str">
        <f t="shared" ca="1" si="249"/>
        <v>Female</v>
      </c>
      <c r="E1265" t="str">
        <f t="shared" ca="1" si="250"/>
        <v>Jeans</v>
      </c>
      <c r="F1265">
        <f t="shared" ca="1" si="251"/>
        <v>1439</v>
      </c>
      <c r="G1265">
        <f t="shared" ca="1" si="252"/>
        <v>20</v>
      </c>
      <c r="H1265">
        <f t="shared" ca="1" si="253"/>
        <v>1151.2</v>
      </c>
      <c r="I1265">
        <f t="shared" ca="1" si="254"/>
        <v>1</v>
      </c>
      <c r="J1265">
        <f t="shared" ca="1" si="255"/>
        <v>1</v>
      </c>
      <c r="K1265">
        <f t="shared" ca="1" si="256"/>
        <v>0</v>
      </c>
      <c r="L1265">
        <f t="shared" ca="1" si="257"/>
        <v>0</v>
      </c>
      <c r="M1265">
        <f t="shared" ca="1" si="258"/>
        <v>5</v>
      </c>
      <c r="N1265">
        <f t="shared" ca="1" si="259"/>
        <v>0</v>
      </c>
    </row>
    <row r="1266" spans="1:14" x14ac:dyDescent="0.35">
      <c r="A1266" t="s">
        <v>1283</v>
      </c>
      <c r="B1266" t="str">
        <f t="shared" si="247"/>
        <v>Test</v>
      </c>
      <c r="C1266">
        <f t="shared" ca="1" si="248"/>
        <v>23</v>
      </c>
      <c r="D1266" t="str">
        <f t="shared" ca="1" si="249"/>
        <v>Male</v>
      </c>
      <c r="E1266" t="str">
        <f t="shared" ca="1" si="250"/>
        <v>Ethnic Wear</v>
      </c>
      <c r="F1266">
        <f t="shared" ca="1" si="251"/>
        <v>7737</v>
      </c>
      <c r="G1266">
        <f t="shared" ca="1" si="252"/>
        <v>25</v>
      </c>
      <c r="H1266">
        <f t="shared" ca="1" si="253"/>
        <v>5802.75</v>
      </c>
      <c r="I1266">
        <f t="shared" ca="1" si="254"/>
        <v>1</v>
      </c>
      <c r="J1266">
        <f t="shared" ca="1" si="255"/>
        <v>1</v>
      </c>
      <c r="K1266">
        <f t="shared" ca="1" si="256"/>
        <v>0</v>
      </c>
      <c r="L1266">
        <f t="shared" ca="1" si="257"/>
        <v>0</v>
      </c>
      <c r="M1266">
        <f t="shared" ca="1" si="258"/>
        <v>2</v>
      </c>
      <c r="N1266">
        <f t="shared" ca="1" si="259"/>
        <v>0</v>
      </c>
    </row>
    <row r="1267" spans="1:14" x14ac:dyDescent="0.35">
      <c r="A1267" t="s">
        <v>1284</v>
      </c>
      <c r="B1267" t="str">
        <f t="shared" si="247"/>
        <v>Test</v>
      </c>
      <c r="C1267">
        <f t="shared" ca="1" si="248"/>
        <v>39</v>
      </c>
      <c r="D1267" t="str">
        <f t="shared" ca="1" si="249"/>
        <v>Male</v>
      </c>
      <c r="E1267" t="str">
        <f t="shared" ca="1" si="250"/>
        <v>Sportswear</v>
      </c>
      <c r="F1267">
        <f t="shared" ca="1" si="251"/>
        <v>2343</v>
      </c>
      <c r="G1267">
        <f t="shared" ca="1" si="252"/>
        <v>25</v>
      </c>
      <c r="H1267">
        <f t="shared" ca="1" si="253"/>
        <v>1757.25</v>
      </c>
      <c r="I1267">
        <f t="shared" ca="1" si="254"/>
        <v>1</v>
      </c>
      <c r="J1267">
        <f t="shared" ca="1" si="255"/>
        <v>1</v>
      </c>
      <c r="K1267">
        <f t="shared" ca="1" si="256"/>
        <v>0</v>
      </c>
      <c r="L1267">
        <f t="shared" ca="1" si="257"/>
        <v>0</v>
      </c>
      <c r="M1267">
        <f t="shared" ca="1" si="258"/>
        <v>5</v>
      </c>
      <c r="N1267">
        <f t="shared" ca="1" si="259"/>
        <v>0</v>
      </c>
    </row>
    <row r="1268" spans="1:14" x14ac:dyDescent="0.35">
      <c r="A1268" t="s">
        <v>1285</v>
      </c>
      <c r="B1268" t="str">
        <f t="shared" si="247"/>
        <v>Test</v>
      </c>
      <c r="C1268">
        <f t="shared" ca="1" si="248"/>
        <v>24</v>
      </c>
      <c r="D1268" t="str">
        <f t="shared" ca="1" si="249"/>
        <v>Male</v>
      </c>
      <c r="E1268" t="str">
        <f t="shared" ca="1" si="250"/>
        <v>Shoes</v>
      </c>
      <c r="F1268">
        <f t="shared" ca="1" si="251"/>
        <v>5071</v>
      </c>
      <c r="G1268">
        <f t="shared" ca="1" si="252"/>
        <v>25</v>
      </c>
      <c r="H1268">
        <f t="shared" ca="1" si="253"/>
        <v>3803.25</v>
      </c>
      <c r="I1268">
        <f t="shared" ca="1" si="254"/>
        <v>1</v>
      </c>
      <c r="J1268">
        <f t="shared" ca="1" si="255"/>
        <v>0</v>
      </c>
      <c r="K1268">
        <f t="shared" ca="1" si="256"/>
        <v>0</v>
      </c>
      <c r="L1268">
        <f t="shared" ca="1" si="257"/>
        <v>0</v>
      </c>
      <c r="M1268">
        <f t="shared" ca="1" si="258"/>
        <v>6</v>
      </c>
      <c r="N1268">
        <f t="shared" ca="1" si="259"/>
        <v>0</v>
      </c>
    </row>
    <row r="1269" spans="1:14" x14ac:dyDescent="0.35">
      <c r="A1269" t="s">
        <v>1286</v>
      </c>
      <c r="B1269" t="str">
        <f t="shared" si="247"/>
        <v>Test</v>
      </c>
      <c r="C1269">
        <f t="shared" ca="1" si="248"/>
        <v>27</v>
      </c>
      <c r="D1269" t="str">
        <f t="shared" ca="1" si="249"/>
        <v>Female</v>
      </c>
      <c r="E1269" t="str">
        <f t="shared" ca="1" si="250"/>
        <v>Accessories</v>
      </c>
      <c r="F1269">
        <f t="shared" ca="1" si="251"/>
        <v>6784</v>
      </c>
      <c r="G1269">
        <f t="shared" ca="1" si="252"/>
        <v>15</v>
      </c>
      <c r="H1269">
        <f t="shared" ca="1" si="253"/>
        <v>5766.4</v>
      </c>
      <c r="I1269">
        <f t="shared" ca="1" si="254"/>
        <v>1</v>
      </c>
      <c r="J1269">
        <f t="shared" ca="1" si="255"/>
        <v>1</v>
      </c>
      <c r="K1269">
        <f t="shared" ca="1" si="256"/>
        <v>1</v>
      </c>
      <c r="L1269">
        <f t="shared" ca="1" si="257"/>
        <v>5766.4</v>
      </c>
      <c r="M1269">
        <f t="shared" ca="1" si="258"/>
        <v>6</v>
      </c>
      <c r="N1269">
        <f t="shared" ca="1" si="259"/>
        <v>0</v>
      </c>
    </row>
    <row r="1270" spans="1:14" x14ac:dyDescent="0.35">
      <c r="A1270" t="s">
        <v>1287</v>
      </c>
      <c r="B1270" t="str">
        <f t="shared" si="247"/>
        <v>Test</v>
      </c>
      <c r="C1270">
        <f t="shared" ca="1" si="248"/>
        <v>23</v>
      </c>
      <c r="D1270" t="str">
        <f t="shared" ca="1" si="249"/>
        <v>Male</v>
      </c>
      <c r="E1270" t="str">
        <f t="shared" ca="1" si="250"/>
        <v>Shoes</v>
      </c>
      <c r="F1270">
        <f t="shared" ca="1" si="251"/>
        <v>2924</v>
      </c>
      <c r="G1270">
        <f t="shared" ca="1" si="252"/>
        <v>20</v>
      </c>
      <c r="H1270">
        <f t="shared" ca="1" si="253"/>
        <v>2339.2000000000003</v>
      </c>
      <c r="I1270">
        <f t="shared" ca="1" si="254"/>
        <v>1</v>
      </c>
      <c r="J1270">
        <f t="shared" ca="1" si="255"/>
        <v>0</v>
      </c>
      <c r="K1270">
        <f t="shared" ca="1" si="256"/>
        <v>0</v>
      </c>
      <c r="L1270">
        <f t="shared" ca="1" si="257"/>
        <v>0</v>
      </c>
      <c r="M1270">
        <f t="shared" ca="1" si="258"/>
        <v>4</v>
      </c>
      <c r="N1270">
        <f t="shared" ca="1" si="259"/>
        <v>0</v>
      </c>
    </row>
    <row r="1271" spans="1:14" x14ac:dyDescent="0.35">
      <c r="A1271" t="s">
        <v>1288</v>
      </c>
      <c r="B1271" t="str">
        <f t="shared" si="247"/>
        <v>Test</v>
      </c>
      <c r="C1271">
        <f t="shared" ca="1" si="248"/>
        <v>38</v>
      </c>
      <c r="D1271" t="str">
        <f t="shared" ca="1" si="249"/>
        <v>Female</v>
      </c>
      <c r="E1271" t="str">
        <f t="shared" ca="1" si="250"/>
        <v>Accessories</v>
      </c>
      <c r="F1271">
        <f t="shared" ca="1" si="251"/>
        <v>5352</v>
      </c>
      <c r="G1271">
        <f t="shared" ca="1" si="252"/>
        <v>15</v>
      </c>
      <c r="H1271">
        <f t="shared" ca="1" si="253"/>
        <v>4549.2</v>
      </c>
      <c r="I1271">
        <f t="shared" ca="1" si="254"/>
        <v>1</v>
      </c>
      <c r="J1271">
        <f t="shared" ca="1" si="255"/>
        <v>0</v>
      </c>
      <c r="K1271">
        <f t="shared" ca="1" si="256"/>
        <v>0</v>
      </c>
      <c r="L1271">
        <f t="shared" ca="1" si="257"/>
        <v>0</v>
      </c>
      <c r="M1271">
        <f t="shared" ca="1" si="258"/>
        <v>5</v>
      </c>
      <c r="N1271">
        <f t="shared" ca="1" si="259"/>
        <v>0</v>
      </c>
    </row>
    <row r="1272" spans="1:14" x14ac:dyDescent="0.35">
      <c r="A1272" t="s">
        <v>1289</v>
      </c>
      <c r="B1272" t="str">
        <f t="shared" si="247"/>
        <v>Test</v>
      </c>
      <c r="C1272">
        <f t="shared" ca="1" si="248"/>
        <v>37</v>
      </c>
      <c r="D1272" t="str">
        <f t="shared" ca="1" si="249"/>
        <v>Male</v>
      </c>
      <c r="E1272" t="str">
        <f t="shared" ca="1" si="250"/>
        <v>Sportswear</v>
      </c>
      <c r="F1272">
        <f t="shared" ca="1" si="251"/>
        <v>5060</v>
      </c>
      <c r="G1272">
        <f t="shared" ca="1" si="252"/>
        <v>15</v>
      </c>
      <c r="H1272">
        <f t="shared" ca="1" si="253"/>
        <v>4301</v>
      </c>
      <c r="I1272">
        <f t="shared" ca="1" si="254"/>
        <v>1</v>
      </c>
      <c r="J1272">
        <f t="shared" ca="1" si="255"/>
        <v>1</v>
      </c>
      <c r="K1272">
        <f t="shared" ca="1" si="256"/>
        <v>0</v>
      </c>
      <c r="L1272">
        <f t="shared" ca="1" si="257"/>
        <v>0</v>
      </c>
      <c r="M1272">
        <f t="shared" ca="1" si="258"/>
        <v>5</v>
      </c>
      <c r="N1272">
        <f t="shared" ca="1" si="259"/>
        <v>0</v>
      </c>
    </row>
    <row r="1273" spans="1:14" x14ac:dyDescent="0.35">
      <c r="A1273" t="s">
        <v>1290</v>
      </c>
      <c r="B1273" t="str">
        <f t="shared" si="247"/>
        <v>Test</v>
      </c>
      <c r="C1273">
        <f t="shared" ca="1" si="248"/>
        <v>31</v>
      </c>
      <c r="D1273" t="str">
        <f t="shared" ca="1" si="249"/>
        <v>Female</v>
      </c>
      <c r="E1273" t="str">
        <f t="shared" ca="1" si="250"/>
        <v>Ethnic Wear</v>
      </c>
      <c r="F1273">
        <f t="shared" ca="1" si="251"/>
        <v>5389</v>
      </c>
      <c r="G1273">
        <f t="shared" ca="1" si="252"/>
        <v>15</v>
      </c>
      <c r="H1273">
        <f t="shared" ca="1" si="253"/>
        <v>4580.6499999999996</v>
      </c>
      <c r="I1273">
        <f t="shared" ca="1" si="254"/>
        <v>0</v>
      </c>
      <c r="J1273">
        <f t="shared" ca="1" si="255"/>
        <v>0</v>
      </c>
      <c r="K1273">
        <f t="shared" ca="1" si="256"/>
        <v>0</v>
      </c>
      <c r="L1273">
        <f t="shared" ca="1" si="257"/>
        <v>0</v>
      </c>
      <c r="M1273">
        <f t="shared" ca="1" si="258"/>
        <v>3</v>
      </c>
      <c r="N1273">
        <f t="shared" ca="1" si="259"/>
        <v>0</v>
      </c>
    </row>
    <row r="1274" spans="1:14" x14ac:dyDescent="0.35">
      <c r="A1274" t="s">
        <v>1291</v>
      </c>
      <c r="B1274" t="str">
        <f t="shared" si="247"/>
        <v>Test</v>
      </c>
      <c r="C1274">
        <f t="shared" ca="1" si="248"/>
        <v>19</v>
      </c>
      <c r="D1274" t="str">
        <f t="shared" ca="1" si="249"/>
        <v>Male</v>
      </c>
      <c r="E1274" t="str">
        <f t="shared" ca="1" si="250"/>
        <v>Accessories</v>
      </c>
      <c r="F1274">
        <f t="shared" ca="1" si="251"/>
        <v>1404</v>
      </c>
      <c r="G1274">
        <f t="shared" ca="1" si="252"/>
        <v>25</v>
      </c>
      <c r="H1274">
        <f t="shared" ca="1" si="253"/>
        <v>1053</v>
      </c>
      <c r="I1274">
        <f t="shared" ca="1" si="254"/>
        <v>1</v>
      </c>
      <c r="J1274">
        <f t="shared" ca="1" si="255"/>
        <v>1</v>
      </c>
      <c r="K1274">
        <f t="shared" ca="1" si="256"/>
        <v>0</v>
      </c>
      <c r="L1274">
        <f t="shared" ca="1" si="257"/>
        <v>0</v>
      </c>
      <c r="M1274">
        <f t="shared" ca="1" si="258"/>
        <v>4</v>
      </c>
      <c r="N1274">
        <f t="shared" ca="1" si="259"/>
        <v>0</v>
      </c>
    </row>
    <row r="1275" spans="1:14" x14ac:dyDescent="0.35">
      <c r="A1275" t="s">
        <v>1292</v>
      </c>
      <c r="B1275" t="str">
        <f t="shared" si="247"/>
        <v>Test</v>
      </c>
      <c r="C1275">
        <f t="shared" ca="1" si="248"/>
        <v>32</v>
      </c>
      <c r="D1275" t="str">
        <f t="shared" ca="1" si="249"/>
        <v>Male</v>
      </c>
      <c r="E1275" t="str">
        <f t="shared" ca="1" si="250"/>
        <v>Accessories</v>
      </c>
      <c r="F1275">
        <f t="shared" ca="1" si="251"/>
        <v>7159</v>
      </c>
      <c r="G1275">
        <f t="shared" ca="1" si="252"/>
        <v>25</v>
      </c>
      <c r="H1275">
        <f t="shared" ca="1" si="253"/>
        <v>5369.25</v>
      </c>
      <c r="I1275">
        <f t="shared" ca="1" si="254"/>
        <v>1</v>
      </c>
      <c r="J1275">
        <f t="shared" ca="1" si="255"/>
        <v>1</v>
      </c>
      <c r="K1275">
        <f t="shared" ca="1" si="256"/>
        <v>1</v>
      </c>
      <c r="L1275">
        <f t="shared" ca="1" si="257"/>
        <v>5369.25</v>
      </c>
      <c r="M1275">
        <f t="shared" ca="1" si="258"/>
        <v>1</v>
      </c>
      <c r="N1275">
        <f t="shared" ca="1" si="259"/>
        <v>0</v>
      </c>
    </row>
    <row r="1276" spans="1:14" x14ac:dyDescent="0.35">
      <c r="A1276" t="s">
        <v>1293</v>
      </c>
      <c r="B1276" t="str">
        <f t="shared" si="247"/>
        <v>Test</v>
      </c>
      <c r="C1276">
        <f t="shared" ca="1" si="248"/>
        <v>21</v>
      </c>
      <c r="D1276" t="str">
        <f t="shared" ca="1" si="249"/>
        <v>Female</v>
      </c>
      <c r="E1276" t="str">
        <f t="shared" ca="1" si="250"/>
        <v>Sportswear</v>
      </c>
      <c r="F1276">
        <f t="shared" ca="1" si="251"/>
        <v>6094</v>
      </c>
      <c r="G1276">
        <f t="shared" ca="1" si="252"/>
        <v>20</v>
      </c>
      <c r="H1276">
        <f t="shared" ca="1" si="253"/>
        <v>4875.2</v>
      </c>
      <c r="I1276">
        <f t="shared" ca="1" si="254"/>
        <v>1</v>
      </c>
      <c r="J1276">
        <f t="shared" ca="1" si="255"/>
        <v>1</v>
      </c>
      <c r="K1276">
        <f t="shared" ca="1" si="256"/>
        <v>0</v>
      </c>
      <c r="L1276">
        <f t="shared" ca="1" si="257"/>
        <v>0</v>
      </c>
      <c r="M1276">
        <f t="shared" ca="1" si="258"/>
        <v>5</v>
      </c>
      <c r="N1276">
        <f t="shared" ca="1" si="259"/>
        <v>0</v>
      </c>
    </row>
    <row r="1277" spans="1:14" x14ac:dyDescent="0.35">
      <c r="A1277" t="s">
        <v>1294</v>
      </c>
      <c r="B1277" t="str">
        <f t="shared" si="247"/>
        <v>Test</v>
      </c>
      <c r="C1277">
        <f t="shared" ca="1" si="248"/>
        <v>24</v>
      </c>
      <c r="D1277" t="str">
        <f t="shared" ca="1" si="249"/>
        <v>Female</v>
      </c>
      <c r="E1277" t="str">
        <f t="shared" ca="1" si="250"/>
        <v>Dresses</v>
      </c>
      <c r="F1277">
        <f t="shared" ca="1" si="251"/>
        <v>7127</v>
      </c>
      <c r="G1277">
        <f t="shared" ca="1" si="252"/>
        <v>20</v>
      </c>
      <c r="H1277">
        <f t="shared" ca="1" si="253"/>
        <v>5701.6</v>
      </c>
      <c r="I1277">
        <f t="shared" ca="1" si="254"/>
        <v>1</v>
      </c>
      <c r="J1277">
        <f t="shared" ca="1" si="255"/>
        <v>0</v>
      </c>
      <c r="K1277">
        <f t="shared" ca="1" si="256"/>
        <v>0</v>
      </c>
      <c r="L1277">
        <f t="shared" ca="1" si="257"/>
        <v>0</v>
      </c>
      <c r="M1277">
        <f t="shared" ca="1" si="258"/>
        <v>6</v>
      </c>
      <c r="N1277">
        <f t="shared" ca="1" si="259"/>
        <v>0</v>
      </c>
    </row>
    <row r="1278" spans="1:14" x14ac:dyDescent="0.35">
      <c r="A1278" t="s">
        <v>1295</v>
      </c>
      <c r="B1278" t="str">
        <f t="shared" si="247"/>
        <v>Test</v>
      </c>
      <c r="C1278">
        <f t="shared" ca="1" si="248"/>
        <v>27</v>
      </c>
      <c r="D1278" t="str">
        <f t="shared" ca="1" si="249"/>
        <v>Male</v>
      </c>
      <c r="E1278" t="str">
        <f t="shared" ca="1" si="250"/>
        <v>T-shirts</v>
      </c>
      <c r="F1278">
        <f t="shared" ca="1" si="251"/>
        <v>578</v>
      </c>
      <c r="G1278">
        <f t="shared" ca="1" si="252"/>
        <v>20</v>
      </c>
      <c r="H1278">
        <f t="shared" ca="1" si="253"/>
        <v>462.40000000000003</v>
      </c>
      <c r="I1278">
        <f t="shared" ca="1" si="254"/>
        <v>1</v>
      </c>
      <c r="J1278">
        <f t="shared" ca="1" si="255"/>
        <v>0</v>
      </c>
      <c r="K1278">
        <f t="shared" ca="1" si="256"/>
        <v>0</v>
      </c>
      <c r="L1278">
        <f t="shared" ca="1" si="257"/>
        <v>0</v>
      </c>
      <c r="M1278">
        <f t="shared" ca="1" si="258"/>
        <v>1</v>
      </c>
      <c r="N1278">
        <f t="shared" ca="1" si="259"/>
        <v>0</v>
      </c>
    </row>
    <row r="1279" spans="1:14" x14ac:dyDescent="0.35">
      <c r="A1279" t="s">
        <v>1296</v>
      </c>
      <c r="B1279" t="str">
        <f t="shared" si="247"/>
        <v>Test</v>
      </c>
      <c r="C1279">
        <f t="shared" ca="1" si="248"/>
        <v>40</v>
      </c>
      <c r="D1279" t="str">
        <f t="shared" ca="1" si="249"/>
        <v>Male</v>
      </c>
      <c r="E1279" t="str">
        <f t="shared" ca="1" si="250"/>
        <v>Accessories</v>
      </c>
      <c r="F1279">
        <f t="shared" ca="1" si="251"/>
        <v>5902</v>
      </c>
      <c r="G1279">
        <f t="shared" ca="1" si="252"/>
        <v>15</v>
      </c>
      <c r="H1279">
        <f t="shared" ca="1" si="253"/>
        <v>5016.7</v>
      </c>
      <c r="I1279">
        <f t="shared" ca="1" si="254"/>
        <v>1</v>
      </c>
      <c r="J1279">
        <f t="shared" ca="1" si="255"/>
        <v>1</v>
      </c>
      <c r="K1279">
        <f t="shared" ca="1" si="256"/>
        <v>0</v>
      </c>
      <c r="L1279">
        <f t="shared" ca="1" si="257"/>
        <v>0</v>
      </c>
      <c r="M1279">
        <f t="shared" ca="1" si="258"/>
        <v>3</v>
      </c>
      <c r="N1279">
        <f t="shared" ca="1" si="259"/>
        <v>0</v>
      </c>
    </row>
    <row r="1280" spans="1:14" x14ac:dyDescent="0.35">
      <c r="A1280" t="s">
        <v>1297</v>
      </c>
      <c r="B1280" t="str">
        <f t="shared" si="247"/>
        <v>Test</v>
      </c>
      <c r="C1280">
        <f t="shared" ca="1" si="248"/>
        <v>26</v>
      </c>
      <c r="D1280" t="str">
        <f t="shared" ca="1" si="249"/>
        <v>Female</v>
      </c>
      <c r="E1280" t="str">
        <f t="shared" ca="1" si="250"/>
        <v>Accessories</v>
      </c>
      <c r="F1280">
        <f t="shared" ca="1" si="251"/>
        <v>6152</v>
      </c>
      <c r="G1280">
        <f t="shared" ca="1" si="252"/>
        <v>15</v>
      </c>
      <c r="H1280">
        <f t="shared" ca="1" si="253"/>
        <v>5229.2</v>
      </c>
      <c r="I1280">
        <f t="shared" ca="1" si="254"/>
        <v>1</v>
      </c>
      <c r="J1280">
        <f t="shared" ca="1" si="255"/>
        <v>1</v>
      </c>
      <c r="K1280">
        <f t="shared" ca="1" si="256"/>
        <v>1</v>
      </c>
      <c r="L1280">
        <f t="shared" ca="1" si="257"/>
        <v>5229.2</v>
      </c>
      <c r="M1280">
        <f t="shared" ca="1" si="258"/>
        <v>7</v>
      </c>
      <c r="N1280">
        <f t="shared" ca="1" si="259"/>
        <v>0</v>
      </c>
    </row>
    <row r="1281" spans="1:14" x14ac:dyDescent="0.35">
      <c r="A1281" t="s">
        <v>1298</v>
      </c>
      <c r="B1281" t="str">
        <f t="shared" si="247"/>
        <v>Test</v>
      </c>
      <c r="C1281">
        <f t="shared" ca="1" si="248"/>
        <v>42</v>
      </c>
      <c r="D1281" t="str">
        <f t="shared" ca="1" si="249"/>
        <v>Female</v>
      </c>
      <c r="E1281" t="str">
        <f t="shared" ca="1" si="250"/>
        <v>Accessories</v>
      </c>
      <c r="F1281">
        <f t="shared" ca="1" si="251"/>
        <v>7258</v>
      </c>
      <c r="G1281">
        <f t="shared" ca="1" si="252"/>
        <v>15</v>
      </c>
      <c r="H1281">
        <f t="shared" ca="1" si="253"/>
        <v>6169.3</v>
      </c>
      <c r="I1281">
        <f t="shared" ca="1" si="254"/>
        <v>1</v>
      </c>
      <c r="J1281">
        <f t="shared" ca="1" si="255"/>
        <v>0</v>
      </c>
      <c r="K1281">
        <f t="shared" ca="1" si="256"/>
        <v>0</v>
      </c>
      <c r="L1281">
        <f t="shared" ca="1" si="257"/>
        <v>0</v>
      </c>
      <c r="M1281">
        <f t="shared" ca="1" si="258"/>
        <v>2</v>
      </c>
      <c r="N1281">
        <f t="shared" ca="1" si="259"/>
        <v>0</v>
      </c>
    </row>
    <row r="1282" spans="1:14" x14ac:dyDescent="0.35">
      <c r="A1282" t="s">
        <v>1299</v>
      </c>
      <c r="B1282" t="str">
        <f t="shared" si="247"/>
        <v>Test</v>
      </c>
      <c r="C1282">
        <f t="shared" ca="1" si="248"/>
        <v>42</v>
      </c>
      <c r="D1282" t="str">
        <f t="shared" ca="1" si="249"/>
        <v>Female</v>
      </c>
      <c r="E1282" t="str">
        <f t="shared" ca="1" si="250"/>
        <v>Sportswear</v>
      </c>
      <c r="F1282">
        <f t="shared" ca="1" si="251"/>
        <v>3200</v>
      </c>
      <c r="G1282">
        <f t="shared" ca="1" si="252"/>
        <v>20</v>
      </c>
      <c r="H1282">
        <f t="shared" ca="1" si="253"/>
        <v>2560</v>
      </c>
      <c r="I1282">
        <f t="shared" ca="1" si="254"/>
        <v>0</v>
      </c>
      <c r="J1282">
        <f t="shared" ca="1" si="255"/>
        <v>0</v>
      </c>
      <c r="K1282">
        <f t="shared" ca="1" si="256"/>
        <v>0</v>
      </c>
      <c r="L1282">
        <f t="shared" ca="1" si="257"/>
        <v>0</v>
      </c>
      <c r="M1282">
        <f t="shared" ca="1" si="258"/>
        <v>7</v>
      </c>
      <c r="N1282">
        <f t="shared" ca="1" si="259"/>
        <v>0</v>
      </c>
    </row>
    <row r="1283" spans="1:14" x14ac:dyDescent="0.35">
      <c r="A1283" t="s">
        <v>1300</v>
      </c>
      <c r="B1283" t="str">
        <f t="shared" si="247"/>
        <v>Test</v>
      </c>
      <c r="C1283">
        <f t="shared" ca="1" si="248"/>
        <v>37</v>
      </c>
      <c r="D1283" t="str">
        <f t="shared" ca="1" si="249"/>
        <v>Female</v>
      </c>
      <c r="E1283" t="str">
        <f t="shared" ca="1" si="250"/>
        <v>T-shirts</v>
      </c>
      <c r="F1283">
        <f t="shared" ca="1" si="251"/>
        <v>5172</v>
      </c>
      <c r="G1283">
        <f t="shared" ca="1" si="252"/>
        <v>15</v>
      </c>
      <c r="H1283">
        <f t="shared" ca="1" si="253"/>
        <v>4396.2</v>
      </c>
      <c r="I1283">
        <f t="shared" ca="1" si="254"/>
        <v>1</v>
      </c>
      <c r="J1283">
        <f t="shared" ca="1" si="255"/>
        <v>1</v>
      </c>
      <c r="K1283">
        <f t="shared" ca="1" si="256"/>
        <v>0</v>
      </c>
      <c r="L1283">
        <f t="shared" ca="1" si="257"/>
        <v>0</v>
      </c>
      <c r="M1283">
        <f t="shared" ca="1" si="258"/>
        <v>1</v>
      </c>
      <c r="N1283">
        <f t="shared" ca="1" si="259"/>
        <v>0</v>
      </c>
    </row>
    <row r="1284" spans="1:14" x14ac:dyDescent="0.35">
      <c r="A1284" t="s">
        <v>1301</v>
      </c>
      <c r="B1284" t="str">
        <f t="shared" si="247"/>
        <v>Test</v>
      </c>
      <c r="C1284">
        <f t="shared" ca="1" si="248"/>
        <v>45</v>
      </c>
      <c r="D1284" t="str">
        <f t="shared" ca="1" si="249"/>
        <v>Male</v>
      </c>
      <c r="E1284" t="str">
        <f t="shared" ca="1" si="250"/>
        <v>Dresses</v>
      </c>
      <c r="F1284">
        <f t="shared" ca="1" si="251"/>
        <v>1865</v>
      </c>
      <c r="G1284">
        <f t="shared" ca="1" si="252"/>
        <v>25</v>
      </c>
      <c r="H1284">
        <f t="shared" ca="1" si="253"/>
        <v>1398.75</v>
      </c>
      <c r="I1284">
        <f t="shared" ca="1" si="254"/>
        <v>1</v>
      </c>
      <c r="J1284">
        <f t="shared" ca="1" si="255"/>
        <v>1</v>
      </c>
      <c r="K1284">
        <f t="shared" ca="1" si="256"/>
        <v>0</v>
      </c>
      <c r="L1284">
        <f t="shared" ca="1" si="257"/>
        <v>0</v>
      </c>
      <c r="M1284">
        <f t="shared" ca="1" si="258"/>
        <v>1</v>
      </c>
      <c r="N1284">
        <f t="shared" ca="1" si="259"/>
        <v>0</v>
      </c>
    </row>
    <row r="1285" spans="1:14" x14ac:dyDescent="0.35">
      <c r="A1285" t="s">
        <v>1302</v>
      </c>
      <c r="B1285" t="str">
        <f t="shared" ref="B1285:B1348" si="260">IF(ROW()&lt;=1001,"Control","Test")</f>
        <v>Test</v>
      </c>
      <c r="C1285">
        <f t="shared" ref="C1285:C1348" ca="1" si="261">RANDBETWEEN(18,45)</f>
        <v>24</v>
      </c>
      <c r="D1285" t="str">
        <f t="shared" ref="D1285:D1348" ca="1" si="262">CHOOSE(RANDBETWEEN(1,20),"Female","Female","Female","Female","Female","Female","Female","Female","Female","Female","Male","Male","Male","Male","Male","Male","Male","Male","Other","Other")</f>
        <v>Male</v>
      </c>
      <c r="E1285" t="str">
        <f t="shared" ref="E1285:E1348" ca="1" si="263">CHOOSE(RANDBETWEEN(1,8),"T-shirts","Dresses","Jeans","Shoes","Ethnic Wear","Tops","Sportswear","Accessories")</f>
        <v>Dresses</v>
      </c>
      <c r="F1285">
        <f t="shared" ref="F1285:F1348" ca="1" si="264">RANDBETWEEN(300,8000)</f>
        <v>7296</v>
      </c>
      <c r="G1285">
        <f t="shared" ref="G1285:G1348" ca="1" si="265">IF(B1285="Control",10,CHOOSE(RANDBETWEEN(1,3),15,20,25))</f>
        <v>25</v>
      </c>
      <c r="H1285">
        <f t="shared" ref="H1285:H1348" ca="1" si="266">F1285*(1-G1285/100)</f>
        <v>5472</v>
      </c>
      <c r="I1285">
        <f t="shared" ref="I1285:I1348" ca="1" si="267">IF(RAND()&lt;0.85,1,0)</f>
        <v>0</v>
      </c>
      <c r="J1285">
        <f t="shared" ref="J1285:J1348" ca="1" si="268">IF(I1285=1,IF(RAND()&lt;0.55,1,0),0)</f>
        <v>0</v>
      </c>
      <c r="K1285">
        <f t="shared" ref="K1285:K1348" ca="1" si="269">IF(J1285=1,IF(B1285="Test",IF(RAND()&lt;0.4,1,0),IF(RAND()&lt;0.34,1,0)),0)</f>
        <v>0</v>
      </c>
      <c r="L1285">
        <f t="shared" ref="L1285:L1348" ca="1" si="270">IF(K1285=1,H1285,0)</f>
        <v>0</v>
      </c>
      <c r="M1285">
        <f t="shared" ref="M1285:M1348" ca="1" si="271">RANDBETWEEN(1,7)</f>
        <v>2</v>
      </c>
      <c r="N1285">
        <f t="shared" ref="N1285:N1348" ca="1" si="272">IF(K1285=1,IF(RAND()&lt;0.15,1,0),0)</f>
        <v>0</v>
      </c>
    </row>
    <row r="1286" spans="1:14" x14ac:dyDescent="0.35">
      <c r="A1286" t="s">
        <v>1303</v>
      </c>
      <c r="B1286" t="str">
        <f t="shared" si="260"/>
        <v>Test</v>
      </c>
      <c r="C1286">
        <f t="shared" ca="1" si="261"/>
        <v>40</v>
      </c>
      <c r="D1286" t="str">
        <f t="shared" ca="1" si="262"/>
        <v>Female</v>
      </c>
      <c r="E1286" t="str">
        <f t="shared" ca="1" si="263"/>
        <v>Dresses</v>
      </c>
      <c r="F1286">
        <f t="shared" ca="1" si="264"/>
        <v>6818</v>
      </c>
      <c r="G1286">
        <f t="shared" ca="1" si="265"/>
        <v>15</v>
      </c>
      <c r="H1286">
        <f t="shared" ca="1" si="266"/>
        <v>5795.3</v>
      </c>
      <c r="I1286">
        <f t="shared" ca="1" si="267"/>
        <v>1</v>
      </c>
      <c r="J1286">
        <f t="shared" ca="1" si="268"/>
        <v>1</v>
      </c>
      <c r="K1286">
        <f t="shared" ca="1" si="269"/>
        <v>1</v>
      </c>
      <c r="L1286">
        <f t="shared" ca="1" si="270"/>
        <v>5795.3</v>
      </c>
      <c r="M1286">
        <f t="shared" ca="1" si="271"/>
        <v>3</v>
      </c>
      <c r="N1286">
        <f t="shared" ca="1" si="272"/>
        <v>0</v>
      </c>
    </row>
    <row r="1287" spans="1:14" x14ac:dyDescent="0.35">
      <c r="A1287" t="s">
        <v>1304</v>
      </c>
      <c r="B1287" t="str">
        <f t="shared" si="260"/>
        <v>Test</v>
      </c>
      <c r="C1287">
        <f t="shared" ca="1" si="261"/>
        <v>45</v>
      </c>
      <c r="D1287" t="str">
        <f t="shared" ca="1" si="262"/>
        <v>Male</v>
      </c>
      <c r="E1287" t="str">
        <f t="shared" ca="1" si="263"/>
        <v>T-shirts</v>
      </c>
      <c r="F1287">
        <f t="shared" ca="1" si="264"/>
        <v>2303</v>
      </c>
      <c r="G1287">
        <f t="shared" ca="1" si="265"/>
        <v>25</v>
      </c>
      <c r="H1287">
        <f t="shared" ca="1" si="266"/>
        <v>1727.25</v>
      </c>
      <c r="I1287">
        <f t="shared" ca="1" si="267"/>
        <v>1</v>
      </c>
      <c r="J1287">
        <f t="shared" ca="1" si="268"/>
        <v>0</v>
      </c>
      <c r="K1287">
        <f t="shared" ca="1" si="269"/>
        <v>0</v>
      </c>
      <c r="L1287">
        <f t="shared" ca="1" si="270"/>
        <v>0</v>
      </c>
      <c r="M1287">
        <f t="shared" ca="1" si="271"/>
        <v>1</v>
      </c>
      <c r="N1287">
        <f t="shared" ca="1" si="272"/>
        <v>0</v>
      </c>
    </row>
    <row r="1288" spans="1:14" x14ac:dyDescent="0.35">
      <c r="A1288" t="s">
        <v>1305</v>
      </c>
      <c r="B1288" t="str">
        <f t="shared" si="260"/>
        <v>Test</v>
      </c>
      <c r="C1288">
        <f t="shared" ca="1" si="261"/>
        <v>40</v>
      </c>
      <c r="D1288" t="str">
        <f t="shared" ca="1" si="262"/>
        <v>Other</v>
      </c>
      <c r="E1288" t="str">
        <f t="shared" ca="1" si="263"/>
        <v>Tops</v>
      </c>
      <c r="F1288">
        <f t="shared" ca="1" si="264"/>
        <v>437</v>
      </c>
      <c r="G1288">
        <f t="shared" ca="1" si="265"/>
        <v>20</v>
      </c>
      <c r="H1288">
        <f t="shared" ca="1" si="266"/>
        <v>349.6</v>
      </c>
      <c r="I1288">
        <f t="shared" ca="1" si="267"/>
        <v>1</v>
      </c>
      <c r="J1288">
        <f t="shared" ca="1" si="268"/>
        <v>1</v>
      </c>
      <c r="K1288">
        <f t="shared" ca="1" si="269"/>
        <v>1</v>
      </c>
      <c r="L1288">
        <f t="shared" ca="1" si="270"/>
        <v>349.6</v>
      </c>
      <c r="M1288">
        <f t="shared" ca="1" si="271"/>
        <v>2</v>
      </c>
      <c r="N1288">
        <f t="shared" ca="1" si="272"/>
        <v>0</v>
      </c>
    </row>
    <row r="1289" spans="1:14" x14ac:dyDescent="0.35">
      <c r="A1289" t="s">
        <v>1306</v>
      </c>
      <c r="B1289" t="str">
        <f t="shared" si="260"/>
        <v>Test</v>
      </c>
      <c r="C1289">
        <f t="shared" ca="1" si="261"/>
        <v>40</v>
      </c>
      <c r="D1289" t="str">
        <f t="shared" ca="1" si="262"/>
        <v>Female</v>
      </c>
      <c r="E1289" t="str">
        <f t="shared" ca="1" si="263"/>
        <v>Ethnic Wear</v>
      </c>
      <c r="F1289">
        <f t="shared" ca="1" si="264"/>
        <v>7104</v>
      </c>
      <c r="G1289">
        <f t="shared" ca="1" si="265"/>
        <v>15</v>
      </c>
      <c r="H1289">
        <f t="shared" ca="1" si="266"/>
        <v>6038.4</v>
      </c>
      <c r="I1289">
        <f t="shared" ca="1" si="267"/>
        <v>1</v>
      </c>
      <c r="J1289">
        <f t="shared" ca="1" si="268"/>
        <v>1</v>
      </c>
      <c r="K1289">
        <f t="shared" ca="1" si="269"/>
        <v>1</v>
      </c>
      <c r="L1289">
        <f t="shared" ca="1" si="270"/>
        <v>6038.4</v>
      </c>
      <c r="M1289">
        <f t="shared" ca="1" si="271"/>
        <v>5</v>
      </c>
      <c r="N1289">
        <f t="shared" ca="1" si="272"/>
        <v>0</v>
      </c>
    </row>
    <row r="1290" spans="1:14" x14ac:dyDescent="0.35">
      <c r="A1290" t="s">
        <v>1307</v>
      </c>
      <c r="B1290" t="str">
        <f t="shared" si="260"/>
        <v>Test</v>
      </c>
      <c r="C1290">
        <f t="shared" ca="1" si="261"/>
        <v>42</v>
      </c>
      <c r="D1290" t="str">
        <f t="shared" ca="1" si="262"/>
        <v>Male</v>
      </c>
      <c r="E1290" t="str">
        <f t="shared" ca="1" si="263"/>
        <v>Jeans</v>
      </c>
      <c r="F1290">
        <f t="shared" ca="1" si="264"/>
        <v>6781</v>
      </c>
      <c r="G1290">
        <f t="shared" ca="1" si="265"/>
        <v>25</v>
      </c>
      <c r="H1290">
        <f t="shared" ca="1" si="266"/>
        <v>5085.75</v>
      </c>
      <c r="I1290">
        <f t="shared" ca="1" si="267"/>
        <v>1</v>
      </c>
      <c r="J1290">
        <f t="shared" ca="1" si="268"/>
        <v>1</v>
      </c>
      <c r="K1290">
        <f t="shared" ca="1" si="269"/>
        <v>1</v>
      </c>
      <c r="L1290">
        <f t="shared" ca="1" si="270"/>
        <v>5085.75</v>
      </c>
      <c r="M1290">
        <f t="shared" ca="1" si="271"/>
        <v>7</v>
      </c>
      <c r="N1290">
        <f t="shared" ca="1" si="272"/>
        <v>0</v>
      </c>
    </row>
    <row r="1291" spans="1:14" x14ac:dyDescent="0.35">
      <c r="A1291" t="s">
        <v>1308</v>
      </c>
      <c r="B1291" t="str">
        <f t="shared" si="260"/>
        <v>Test</v>
      </c>
      <c r="C1291">
        <f t="shared" ca="1" si="261"/>
        <v>28</v>
      </c>
      <c r="D1291" t="str">
        <f t="shared" ca="1" si="262"/>
        <v>Other</v>
      </c>
      <c r="E1291" t="str">
        <f t="shared" ca="1" si="263"/>
        <v>Tops</v>
      </c>
      <c r="F1291">
        <f t="shared" ca="1" si="264"/>
        <v>4423</v>
      </c>
      <c r="G1291">
        <f t="shared" ca="1" si="265"/>
        <v>25</v>
      </c>
      <c r="H1291">
        <f t="shared" ca="1" si="266"/>
        <v>3317.25</v>
      </c>
      <c r="I1291">
        <f t="shared" ca="1" si="267"/>
        <v>1</v>
      </c>
      <c r="J1291">
        <f t="shared" ca="1" si="268"/>
        <v>0</v>
      </c>
      <c r="K1291">
        <f t="shared" ca="1" si="269"/>
        <v>0</v>
      </c>
      <c r="L1291">
        <f t="shared" ca="1" si="270"/>
        <v>0</v>
      </c>
      <c r="M1291">
        <f t="shared" ca="1" si="271"/>
        <v>2</v>
      </c>
      <c r="N1291">
        <f t="shared" ca="1" si="272"/>
        <v>0</v>
      </c>
    </row>
    <row r="1292" spans="1:14" x14ac:dyDescent="0.35">
      <c r="A1292" t="s">
        <v>1309</v>
      </c>
      <c r="B1292" t="str">
        <f t="shared" si="260"/>
        <v>Test</v>
      </c>
      <c r="C1292">
        <f t="shared" ca="1" si="261"/>
        <v>32</v>
      </c>
      <c r="D1292" t="str">
        <f t="shared" ca="1" si="262"/>
        <v>Female</v>
      </c>
      <c r="E1292" t="str">
        <f t="shared" ca="1" si="263"/>
        <v>Accessories</v>
      </c>
      <c r="F1292">
        <f t="shared" ca="1" si="264"/>
        <v>907</v>
      </c>
      <c r="G1292">
        <f t="shared" ca="1" si="265"/>
        <v>25</v>
      </c>
      <c r="H1292">
        <f t="shared" ca="1" si="266"/>
        <v>680.25</v>
      </c>
      <c r="I1292">
        <f t="shared" ca="1" si="267"/>
        <v>1</v>
      </c>
      <c r="J1292">
        <f t="shared" ca="1" si="268"/>
        <v>1</v>
      </c>
      <c r="K1292">
        <f t="shared" ca="1" si="269"/>
        <v>1</v>
      </c>
      <c r="L1292">
        <f t="shared" ca="1" si="270"/>
        <v>680.25</v>
      </c>
      <c r="M1292">
        <f t="shared" ca="1" si="271"/>
        <v>4</v>
      </c>
      <c r="N1292">
        <f t="shared" ca="1" si="272"/>
        <v>0</v>
      </c>
    </row>
    <row r="1293" spans="1:14" x14ac:dyDescent="0.35">
      <c r="A1293" t="s">
        <v>1310</v>
      </c>
      <c r="B1293" t="str">
        <f t="shared" si="260"/>
        <v>Test</v>
      </c>
      <c r="C1293">
        <f t="shared" ca="1" si="261"/>
        <v>34</v>
      </c>
      <c r="D1293" t="str">
        <f t="shared" ca="1" si="262"/>
        <v>Male</v>
      </c>
      <c r="E1293" t="str">
        <f t="shared" ca="1" si="263"/>
        <v>Jeans</v>
      </c>
      <c r="F1293">
        <f t="shared" ca="1" si="264"/>
        <v>1051</v>
      </c>
      <c r="G1293">
        <f t="shared" ca="1" si="265"/>
        <v>25</v>
      </c>
      <c r="H1293">
        <f t="shared" ca="1" si="266"/>
        <v>788.25</v>
      </c>
      <c r="I1293">
        <f t="shared" ca="1" si="267"/>
        <v>1</v>
      </c>
      <c r="J1293">
        <f t="shared" ca="1" si="268"/>
        <v>1</v>
      </c>
      <c r="K1293">
        <f t="shared" ca="1" si="269"/>
        <v>0</v>
      </c>
      <c r="L1293">
        <f t="shared" ca="1" si="270"/>
        <v>0</v>
      </c>
      <c r="M1293">
        <f t="shared" ca="1" si="271"/>
        <v>5</v>
      </c>
      <c r="N1293">
        <f t="shared" ca="1" si="272"/>
        <v>0</v>
      </c>
    </row>
    <row r="1294" spans="1:14" x14ac:dyDescent="0.35">
      <c r="A1294" t="s">
        <v>1311</v>
      </c>
      <c r="B1294" t="str">
        <f t="shared" si="260"/>
        <v>Test</v>
      </c>
      <c r="C1294">
        <f t="shared" ca="1" si="261"/>
        <v>38</v>
      </c>
      <c r="D1294" t="str">
        <f t="shared" ca="1" si="262"/>
        <v>Male</v>
      </c>
      <c r="E1294" t="str">
        <f t="shared" ca="1" si="263"/>
        <v>Shoes</v>
      </c>
      <c r="F1294">
        <f t="shared" ca="1" si="264"/>
        <v>1762</v>
      </c>
      <c r="G1294">
        <f t="shared" ca="1" si="265"/>
        <v>25</v>
      </c>
      <c r="H1294">
        <f t="shared" ca="1" si="266"/>
        <v>1321.5</v>
      </c>
      <c r="I1294">
        <f t="shared" ca="1" si="267"/>
        <v>1</v>
      </c>
      <c r="J1294">
        <f t="shared" ca="1" si="268"/>
        <v>0</v>
      </c>
      <c r="K1294">
        <f t="shared" ca="1" si="269"/>
        <v>0</v>
      </c>
      <c r="L1294">
        <f t="shared" ca="1" si="270"/>
        <v>0</v>
      </c>
      <c r="M1294">
        <f t="shared" ca="1" si="271"/>
        <v>5</v>
      </c>
      <c r="N1294">
        <f t="shared" ca="1" si="272"/>
        <v>0</v>
      </c>
    </row>
    <row r="1295" spans="1:14" x14ac:dyDescent="0.35">
      <c r="A1295" t="s">
        <v>1312</v>
      </c>
      <c r="B1295" t="str">
        <f t="shared" si="260"/>
        <v>Test</v>
      </c>
      <c r="C1295">
        <f t="shared" ca="1" si="261"/>
        <v>28</v>
      </c>
      <c r="D1295" t="str">
        <f t="shared" ca="1" si="262"/>
        <v>Female</v>
      </c>
      <c r="E1295" t="str">
        <f t="shared" ca="1" si="263"/>
        <v>Dresses</v>
      </c>
      <c r="F1295">
        <f t="shared" ca="1" si="264"/>
        <v>1929</v>
      </c>
      <c r="G1295">
        <f t="shared" ca="1" si="265"/>
        <v>20</v>
      </c>
      <c r="H1295">
        <f t="shared" ca="1" si="266"/>
        <v>1543.2</v>
      </c>
      <c r="I1295">
        <f t="shared" ca="1" si="267"/>
        <v>1</v>
      </c>
      <c r="J1295">
        <f t="shared" ca="1" si="268"/>
        <v>0</v>
      </c>
      <c r="K1295">
        <f t="shared" ca="1" si="269"/>
        <v>0</v>
      </c>
      <c r="L1295">
        <f t="shared" ca="1" si="270"/>
        <v>0</v>
      </c>
      <c r="M1295">
        <f t="shared" ca="1" si="271"/>
        <v>7</v>
      </c>
      <c r="N1295">
        <f t="shared" ca="1" si="272"/>
        <v>0</v>
      </c>
    </row>
    <row r="1296" spans="1:14" x14ac:dyDescent="0.35">
      <c r="A1296" t="s">
        <v>1313</v>
      </c>
      <c r="B1296" t="str">
        <f t="shared" si="260"/>
        <v>Test</v>
      </c>
      <c r="C1296">
        <f t="shared" ca="1" si="261"/>
        <v>40</v>
      </c>
      <c r="D1296" t="str">
        <f t="shared" ca="1" si="262"/>
        <v>Female</v>
      </c>
      <c r="E1296" t="str">
        <f t="shared" ca="1" si="263"/>
        <v>Sportswear</v>
      </c>
      <c r="F1296">
        <f t="shared" ca="1" si="264"/>
        <v>6965</v>
      </c>
      <c r="G1296">
        <f t="shared" ca="1" si="265"/>
        <v>25</v>
      </c>
      <c r="H1296">
        <f t="shared" ca="1" si="266"/>
        <v>5223.75</v>
      </c>
      <c r="I1296">
        <f t="shared" ca="1" si="267"/>
        <v>1</v>
      </c>
      <c r="J1296">
        <f t="shared" ca="1" si="268"/>
        <v>0</v>
      </c>
      <c r="K1296">
        <f t="shared" ca="1" si="269"/>
        <v>0</v>
      </c>
      <c r="L1296">
        <f t="shared" ca="1" si="270"/>
        <v>0</v>
      </c>
      <c r="M1296">
        <f t="shared" ca="1" si="271"/>
        <v>5</v>
      </c>
      <c r="N1296">
        <f t="shared" ca="1" si="272"/>
        <v>0</v>
      </c>
    </row>
    <row r="1297" spans="1:14" x14ac:dyDescent="0.35">
      <c r="A1297" t="s">
        <v>1314</v>
      </c>
      <c r="B1297" t="str">
        <f t="shared" si="260"/>
        <v>Test</v>
      </c>
      <c r="C1297">
        <f t="shared" ca="1" si="261"/>
        <v>41</v>
      </c>
      <c r="D1297" t="str">
        <f t="shared" ca="1" si="262"/>
        <v>Male</v>
      </c>
      <c r="E1297" t="str">
        <f t="shared" ca="1" si="263"/>
        <v>Dresses</v>
      </c>
      <c r="F1297">
        <f t="shared" ca="1" si="264"/>
        <v>6589</v>
      </c>
      <c r="G1297">
        <f t="shared" ca="1" si="265"/>
        <v>25</v>
      </c>
      <c r="H1297">
        <f t="shared" ca="1" si="266"/>
        <v>4941.75</v>
      </c>
      <c r="I1297">
        <f t="shared" ca="1" si="267"/>
        <v>1</v>
      </c>
      <c r="J1297">
        <f t="shared" ca="1" si="268"/>
        <v>1</v>
      </c>
      <c r="K1297">
        <f t="shared" ca="1" si="269"/>
        <v>0</v>
      </c>
      <c r="L1297">
        <f t="shared" ca="1" si="270"/>
        <v>0</v>
      </c>
      <c r="M1297">
        <f t="shared" ca="1" si="271"/>
        <v>2</v>
      </c>
      <c r="N1297">
        <f t="shared" ca="1" si="272"/>
        <v>0</v>
      </c>
    </row>
    <row r="1298" spans="1:14" x14ac:dyDescent="0.35">
      <c r="A1298" t="s">
        <v>1315</v>
      </c>
      <c r="B1298" t="str">
        <f t="shared" si="260"/>
        <v>Test</v>
      </c>
      <c r="C1298">
        <f t="shared" ca="1" si="261"/>
        <v>25</v>
      </c>
      <c r="D1298" t="str">
        <f t="shared" ca="1" si="262"/>
        <v>Female</v>
      </c>
      <c r="E1298" t="str">
        <f t="shared" ca="1" si="263"/>
        <v>Dresses</v>
      </c>
      <c r="F1298">
        <f t="shared" ca="1" si="264"/>
        <v>6561</v>
      </c>
      <c r="G1298">
        <f t="shared" ca="1" si="265"/>
        <v>20</v>
      </c>
      <c r="H1298">
        <f t="shared" ca="1" si="266"/>
        <v>5248.8</v>
      </c>
      <c r="I1298">
        <f t="shared" ca="1" si="267"/>
        <v>0</v>
      </c>
      <c r="J1298">
        <f t="shared" ca="1" si="268"/>
        <v>0</v>
      </c>
      <c r="K1298">
        <f t="shared" ca="1" si="269"/>
        <v>0</v>
      </c>
      <c r="L1298">
        <f t="shared" ca="1" si="270"/>
        <v>0</v>
      </c>
      <c r="M1298">
        <f t="shared" ca="1" si="271"/>
        <v>7</v>
      </c>
      <c r="N1298">
        <f t="shared" ca="1" si="272"/>
        <v>0</v>
      </c>
    </row>
    <row r="1299" spans="1:14" x14ac:dyDescent="0.35">
      <c r="A1299" t="s">
        <v>1316</v>
      </c>
      <c r="B1299" t="str">
        <f t="shared" si="260"/>
        <v>Test</v>
      </c>
      <c r="C1299">
        <f t="shared" ca="1" si="261"/>
        <v>28</v>
      </c>
      <c r="D1299" t="str">
        <f t="shared" ca="1" si="262"/>
        <v>Other</v>
      </c>
      <c r="E1299" t="str">
        <f t="shared" ca="1" si="263"/>
        <v>Jeans</v>
      </c>
      <c r="F1299">
        <f t="shared" ca="1" si="264"/>
        <v>1660</v>
      </c>
      <c r="G1299">
        <f t="shared" ca="1" si="265"/>
        <v>15</v>
      </c>
      <c r="H1299">
        <f t="shared" ca="1" si="266"/>
        <v>1411</v>
      </c>
      <c r="I1299">
        <f t="shared" ca="1" si="267"/>
        <v>1</v>
      </c>
      <c r="J1299">
        <f t="shared" ca="1" si="268"/>
        <v>0</v>
      </c>
      <c r="K1299">
        <f t="shared" ca="1" si="269"/>
        <v>0</v>
      </c>
      <c r="L1299">
        <f t="shared" ca="1" si="270"/>
        <v>0</v>
      </c>
      <c r="M1299">
        <f t="shared" ca="1" si="271"/>
        <v>4</v>
      </c>
      <c r="N1299">
        <f t="shared" ca="1" si="272"/>
        <v>0</v>
      </c>
    </row>
    <row r="1300" spans="1:14" x14ac:dyDescent="0.35">
      <c r="A1300" t="s">
        <v>1317</v>
      </c>
      <c r="B1300" t="str">
        <f t="shared" si="260"/>
        <v>Test</v>
      </c>
      <c r="C1300">
        <f t="shared" ca="1" si="261"/>
        <v>37</v>
      </c>
      <c r="D1300" t="str">
        <f t="shared" ca="1" si="262"/>
        <v>Female</v>
      </c>
      <c r="E1300" t="str">
        <f t="shared" ca="1" si="263"/>
        <v>Sportswear</v>
      </c>
      <c r="F1300">
        <f t="shared" ca="1" si="264"/>
        <v>640</v>
      </c>
      <c r="G1300">
        <f t="shared" ca="1" si="265"/>
        <v>20</v>
      </c>
      <c r="H1300">
        <f t="shared" ca="1" si="266"/>
        <v>512</v>
      </c>
      <c r="I1300">
        <f t="shared" ca="1" si="267"/>
        <v>0</v>
      </c>
      <c r="J1300">
        <f t="shared" ca="1" si="268"/>
        <v>0</v>
      </c>
      <c r="K1300">
        <f t="shared" ca="1" si="269"/>
        <v>0</v>
      </c>
      <c r="L1300">
        <f t="shared" ca="1" si="270"/>
        <v>0</v>
      </c>
      <c r="M1300">
        <f t="shared" ca="1" si="271"/>
        <v>5</v>
      </c>
      <c r="N1300">
        <f t="shared" ca="1" si="272"/>
        <v>0</v>
      </c>
    </row>
    <row r="1301" spans="1:14" x14ac:dyDescent="0.35">
      <c r="A1301" t="s">
        <v>1318</v>
      </c>
      <c r="B1301" t="str">
        <f t="shared" si="260"/>
        <v>Test</v>
      </c>
      <c r="C1301">
        <f t="shared" ca="1" si="261"/>
        <v>38</v>
      </c>
      <c r="D1301" t="str">
        <f t="shared" ca="1" si="262"/>
        <v>Other</v>
      </c>
      <c r="E1301" t="str">
        <f t="shared" ca="1" si="263"/>
        <v>Tops</v>
      </c>
      <c r="F1301">
        <f t="shared" ca="1" si="264"/>
        <v>1411</v>
      </c>
      <c r="G1301">
        <f t="shared" ca="1" si="265"/>
        <v>25</v>
      </c>
      <c r="H1301">
        <f t="shared" ca="1" si="266"/>
        <v>1058.25</v>
      </c>
      <c r="I1301">
        <f t="shared" ca="1" si="267"/>
        <v>0</v>
      </c>
      <c r="J1301">
        <f t="shared" ca="1" si="268"/>
        <v>0</v>
      </c>
      <c r="K1301">
        <f t="shared" ca="1" si="269"/>
        <v>0</v>
      </c>
      <c r="L1301">
        <f t="shared" ca="1" si="270"/>
        <v>0</v>
      </c>
      <c r="M1301">
        <f t="shared" ca="1" si="271"/>
        <v>1</v>
      </c>
      <c r="N1301">
        <f t="shared" ca="1" si="272"/>
        <v>0</v>
      </c>
    </row>
    <row r="1302" spans="1:14" x14ac:dyDescent="0.35">
      <c r="A1302" t="s">
        <v>1319</v>
      </c>
      <c r="B1302" t="str">
        <f t="shared" si="260"/>
        <v>Test</v>
      </c>
      <c r="C1302">
        <f t="shared" ca="1" si="261"/>
        <v>34</v>
      </c>
      <c r="D1302" t="str">
        <f t="shared" ca="1" si="262"/>
        <v>Female</v>
      </c>
      <c r="E1302" t="str">
        <f t="shared" ca="1" si="263"/>
        <v>Dresses</v>
      </c>
      <c r="F1302">
        <f t="shared" ca="1" si="264"/>
        <v>2258</v>
      </c>
      <c r="G1302">
        <f t="shared" ca="1" si="265"/>
        <v>15</v>
      </c>
      <c r="H1302">
        <f t="shared" ca="1" si="266"/>
        <v>1919.3</v>
      </c>
      <c r="I1302">
        <f t="shared" ca="1" si="267"/>
        <v>1</v>
      </c>
      <c r="J1302">
        <f t="shared" ca="1" si="268"/>
        <v>0</v>
      </c>
      <c r="K1302">
        <f t="shared" ca="1" si="269"/>
        <v>0</v>
      </c>
      <c r="L1302">
        <f t="shared" ca="1" si="270"/>
        <v>0</v>
      </c>
      <c r="M1302">
        <f t="shared" ca="1" si="271"/>
        <v>6</v>
      </c>
      <c r="N1302">
        <f t="shared" ca="1" si="272"/>
        <v>0</v>
      </c>
    </row>
    <row r="1303" spans="1:14" x14ac:dyDescent="0.35">
      <c r="A1303" t="s">
        <v>1320</v>
      </c>
      <c r="B1303" t="str">
        <f t="shared" si="260"/>
        <v>Test</v>
      </c>
      <c r="C1303">
        <f t="shared" ca="1" si="261"/>
        <v>32</v>
      </c>
      <c r="D1303" t="str">
        <f t="shared" ca="1" si="262"/>
        <v>Male</v>
      </c>
      <c r="E1303" t="str">
        <f t="shared" ca="1" si="263"/>
        <v>Dresses</v>
      </c>
      <c r="F1303">
        <f t="shared" ca="1" si="264"/>
        <v>3559</v>
      </c>
      <c r="G1303">
        <f t="shared" ca="1" si="265"/>
        <v>15</v>
      </c>
      <c r="H1303">
        <f t="shared" ca="1" si="266"/>
        <v>3025.15</v>
      </c>
      <c r="I1303">
        <f t="shared" ca="1" si="267"/>
        <v>1</v>
      </c>
      <c r="J1303">
        <f t="shared" ca="1" si="268"/>
        <v>0</v>
      </c>
      <c r="K1303">
        <f t="shared" ca="1" si="269"/>
        <v>0</v>
      </c>
      <c r="L1303">
        <f t="shared" ca="1" si="270"/>
        <v>0</v>
      </c>
      <c r="M1303">
        <f t="shared" ca="1" si="271"/>
        <v>4</v>
      </c>
      <c r="N1303">
        <f t="shared" ca="1" si="272"/>
        <v>0</v>
      </c>
    </row>
    <row r="1304" spans="1:14" x14ac:dyDescent="0.35">
      <c r="A1304" t="s">
        <v>1321</v>
      </c>
      <c r="B1304" t="str">
        <f t="shared" si="260"/>
        <v>Test</v>
      </c>
      <c r="C1304">
        <f t="shared" ca="1" si="261"/>
        <v>30</v>
      </c>
      <c r="D1304" t="str">
        <f t="shared" ca="1" si="262"/>
        <v>Female</v>
      </c>
      <c r="E1304" t="str">
        <f t="shared" ca="1" si="263"/>
        <v>Shoes</v>
      </c>
      <c r="F1304">
        <f t="shared" ca="1" si="264"/>
        <v>1738</v>
      </c>
      <c r="G1304">
        <f t="shared" ca="1" si="265"/>
        <v>25</v>
      </c>
      <c r="H1304">
        <f t="shared" ca="1" si="266"/>
        <v>1303.5</v>
      </c>
      <c r="I1304">
        <f t="shared" ca="1" si="267"/>
        <v>1</v>
      </c>
      <c r="J1304">
        <f t="shared" ca="1" si="268"/>
        <v>1</v>
      </c>
      <c r="K1304">
        <f t="shared" ca="1" si="269"/>
        <v>0</v>
      </c>
      <c r="L1304">
        <f t="shared" ca="1" si="270"/>
        <v>0</v>
      </c>
      <c r="M1304">
        <f t="shared" ca="1" si="271"/>
        <v>3</v>
      </c>
      <c r="N1304">
        <f t="shared" ca="1" si="272"/>
        <v>0</v>
      </c>
    </row>
    <row r="1305" spans="1:14" x14ac:dyDescent="0.35">
      <c r="A1305" t="s">
        <v>1322</v>
      </c>
      <c r="B1305" t="str">
        <f t="shared" si="260"/>
        <v>Test</v>
      </c>
      <c r="C1305">
        <f t="shared" ca="1" si="261"/>
        <v>41</v>
      </c>
      <c r="D1305" t="str">
        <f t="shared" ca="1" si="262"/>
        <v>Male</v>
      </c>
      <c r="E1305" t="str">
        <f t="shared" ca="1" si="263"/>
        <v>Accessories</v>
      </c>
      <c r="F1305">
        <f t="shared" ca="1" si="264"/>
        <v>1644</v>
      </c>
      <c r="G1305">
        <f t="shared" ca="1" si="265"/>
        <v>20</v>
      </c>
      <c r="H1305">
        <f t="shared" ca="1" si="266"/>
        <v>1315.2</v>
      </c>
      <c r="I1305">
        <f t="shared" ca="1" si="267"/>
        <v>0</v>
      </c>
      <c r="J1305">
        <f t="shared" ca="1" si="268"/>
        <v>0</v>
      </c>
      <c r="K1305">
        <f t="shared" ca="1" si="269"/>
        <v>0</v>
      </c>
      <c r="L1305">
        <f t="shared" ca="1" si="270"/>
        <v>0</v>
      </c>
      <c r="M1305">
        <f t="shared" ca="1" si="271"/>
        <v>3</v>
      </c>
      <c r="N1305">
        <f t="shared" ca="1" si="272"/>
        <v>0</v>
      </c>
    </row>
    <row r="1306" spans="1:14" x14ac:dyDescent="0.35">
      <c r="A1306" t="s">
        <v>1323</v>
      </c>
      <c r="B1306" t="str">
        <f t="shared" si="260"/>
        <v>Test</v>
      </c>
      <c r="C1306">
        <f t="shared" ca="1" si="261"/>
        <v>38</v>
      </c>
      <c r="D1306" t="str">
        <f t="shared" ca="1" si="262"/>
        <v>Female</v>
      </c>
      <c r="E1306" t="str">
        <f t="shared" ca="1" si="263"/>
        <v>Ethnic Wear</v>
      </c>
      <c r="F1306">
        <f t="shared" ca="1" si="264"/>
        <v>6889</v>
      </c>
      <c r="G1306">
        <f t="shared" ca="1" si="265"/>
        <v>20</v>
      </c>
      <c r="H1306">
        <f t="shared" ca="1" si="266"/>
        <v>5511.2000000000007</v>
      </c>
      <c r="I1306">
        <f t="shared" ca="1" si="267"/>
        <v>1</v>
      </c>
      <c r="J1306">
        <f t="shared" ca="1" si="268"/>
        <v>0</v>
      </c>
      <c r="K1306">
        <f t="shared" ca="1" si="269"/>
        <v>0</v>
      </c>
      <c r="L1306">
        <f t="shared" ca="1" si="270"/>
        <v>0</v>
      </c>
      <c r="M1306">
        <f t="shared" ca="1" si="271"/>
        <v>7</v>
      </c>
      <c r="N1306">
        <f t="shared" ca="1" si="272"/>
        <v>0</v>
      </c>
    </row>
    <row r="1307" spans="1:14" x14ac:dyDescent="0.35">
      <c r="A1307" t="s">
        <v>1324</v>
      </c>
      <c r="B1307" t="str">
        <f t="shared" si="260"/>
        <v>Test</v>
      </c>
      <c r="C1307">
        <f t="shared" ca="1" si="261"/>
        <v>19</v>
      </c>
      <c r="D1307" t="str">
        <f t="shared" ca="1" si="262"/>
        <v>Male</v>
      </c>
      <c r="E1307" t="str">
        <f t="shared" ca="1" si="263"/>
        <v>Tops</v>
      </c>
      <c r="F1307">
        <f t="shared" ca="1" si="264"/>
        <v>1668</v>
      </c>
      <c r="G1307">
        <f t="shared" ca="1" si="265"/>
        <v>25</v>
      </c>
      <c r="H1307">
        <f t="shared" ca="1" si="266"/>
        <v>1251</v>
      </c>
      <c r="I1307">
        <f t="shared" ca="1" si="267"/>
        <v>1</v>
      </c>
      <c r="J1307">
        <f t="shared" ca="1" si="268"/>
        <v>1</v>
      </c>
      <c r="K1307">
        <f t="shared" ca="1" si="269"/>
        <v>1</v>
      </c>
      <c r="L1307">
        <f t="shared" ca="1" si="270"/>
        <v>1251</v>
      </c>
      <c r="M1307">
        <f t="shared" ca="1" si="271"/>
        <v>1</v>
      </c>
      <c r="N1307">
        <f t="shared" ca="1" si="272"/>
        <v>0</v>
      </c>
    </row>
    <row r="1308" spans="1:14" x14ac:dyDescent="0.35">
      <c r="A1308" t="s">
        <v>1325</v>
      </c>
      <c r="B1308" t="str">
        <f t="shared" si="260"/>
        <v>Test</v>
      </c>
      <c r="C1308">
        <f t="shared" ca="1" si="261"/>
        <v>24</v>
      </c>
      <c r="D1308" t="str">
        <f t="shared" ca="1" si="262"/>
        <v>Female</v>
      </c>
      <c r="E1308" t="str">
        <f t="shared" ca="1" si="263"/>
        <v>Tops</v>
      </c>
      <c r="F1308">
        <f t="shared" ca="1" si="264"/>
        <v>1182</v>
      </c>
      <c r="G1308">
        <f t="shared" ca="1" si="265"/>
        <v>15</v>
      </c>
      <c r="H1308">
        <f t="shared" ca="1" si="266"/>
        <v>1004.6999999999999</v>
      </c>
      <c r="I1308">
        <f t="shared" ca="1" si="267"/>
        <v>1</v>
      </c>
      <c r="J1308">
        <f t="shared" ca="1" si="268"/>
        <v>1</v>
      </c>
      <c r="K1308">
        <f t="shared" ca="1" si="269"/>
        <v>1</v>
      </c>
      <c r="L1308">
        <f t="shared" ca="1" si="270"/>
        <v>1004.6999999999999</v>
      </c>
      <c r="M1308">
        <f t="shared" ca="1" si="271"/>
        <v>4</v>
      </c>
      <c r="N1308">
        <f t="shared" ca="1" si="272"/>
        <v>0</v>
      </c>
    </row>
    <row r="1309" spans="1:14" x14ac:dyDescent="0.35">
      <c r="A1309" t="s">
        <v>1326</v>
      </c>
      <c r="B1309" t="str">
        <f t="shared" si="260"/>
        <v>Test</v>
      </c>
      <c r="C1309">
        <f t="shared" ca="1" si="261"/>
        <v>39</v>
      </c>
      <c r="D1309" t="str">
        <f t="shared" ca="1" si="262"/>
        <v>Male</v>
      </c>
      <c r="E1309" t="str">
        <f t="shared" ca="1" si="263"/>
        <v>Accessories</v>
      </c>
      <c r="F1309">
        <f t="shared" ca="1" si="264"/>
        <v>4822</v>
      </c>
      <c r="G1309">
        <f t="shared" ca="1" si="265"/>
        <v>20</v>
      </c>
      <c r="H1309">
        <f t="shared" ca="1" si="266"/>
        <v>3857.6000000000004</v>
      </c>
      <c r="I1309">
        <f t="shared" ca="1" si="267"/>
        <v>1</v>
      </c>
      <c r="J1309">
        <f t="shared" ca="1" si="268"/>
        <v>0</v>
      </c>
      <c r="K1309">
        <f t="shared" ca="1" si="269"/>
        <v>0</v>
      </c>
      <c r="L1309">
        <f t="shared" ca="1" si="270"/>
        <v>0</v>
      </c>
      <c r="M1309">
        <f t="shared" ca="1" si="271"/>
        <v>3</v>
      </c>
      <c r="N1309">
        <f t="shared" ca="1" si="272"/>
        <v>0</v>
      </c>
    </row>
    <row r="1310" spans="1:14" x14ac:dyDescent="0.35">
      <c r="A1310" t="s">
        <v>1327</v>
      </c>
      <c r="B1310" t="str">
        <f t="shared" si="260"/>
        <v>Test</v>
      </c>
      <c r="C1310">
        <f t="shared" ca="1" si="261"/>
        <v>39</v>
      </c>
      <c r="D1310" t="str">
        <f t="shared" ca="1" si="262"/>
        <v>Female</v>
      </c>
      <c r="E1310" t="str">
        <f t="shared" ca="1" si="263"/>
        <v>Dresses</v>
      </c>
      <c r="F1310">
        <f t="shared" ca="1" si="264"/>
        <v>2736</v>
      </c>
      <c r="G1310">
        <f t="shared" ca="1" si="265"/>
        <v>15</v>
      </c>
      <c r="H1310">
        <f t="shared" ca="1" si="266"/>
        <v>2325.6</v>
      </c>
      <c r="I1310">
        <f t="shared" ca="1" si="267"/>
        <v>1</v>
      </c>
      <c r="J1310">
        <f t="shared" ca="1" si="268"/>
        <v>1</v>
      </c>
      <c r="K1310">
        <f t="shared" ca="1" si="269"/>
        <v>0</v>
      </c>
      <c r="L1310">
        <f t="shared" ca="1" si="270"/>
        <v>0</v>
      </c>
      <c r="M1310">
        <f t="shared" ca="1" si="271"/>
        <v>7</v>
      </c>
      <c r="N1310">
        <f t="shared" ca="1" si="272"/>
        <v>0</v>
      </c>
    </row>
    <row r="1311" spans="1:14" x14ac:dyDescent="0.35">
      <c r="A1311" t="s">
        <v>1328</v>
      </c>
      <c r="B1311" t="str">
        <f t="shared" si="260"/>
        <v>Test</v>
      </c>
      <c r="C1311">
        <f t="shared" ca="1" si="261"/>
        <v>19</v>
      </c>
      <c r="D1311" t="str">
        <f t="shared" ca="1" si="262"/>
        <v>Male</v>
      </c>
      <c r="E1311" t="str">
        <f t="shared" ca="1" si="263"/>
        <v>T-shirts</v>
      </c>
      <c r="F1311">
        <f t="shared" ca="1" si="264"/>
        <v>6199</v>
      </c>
      <c r="G1311">
        <f t="shared" ca="1" si="265"/>
        <v>20</v>
      </c>
      <c r="H1311">
        <f t="shared" ca="1" si="266"/>
        <v>4959.2000000000007</v>
      </c>
      <c r="I1311">
        <f t="shared" ca="1" si="267"/>
        <v>1</v>
      </c>
      <c r="J1311">
        <f t="shared" ca="1" si="268"/>
        <v>0</v>
      </c>
      <c r="K1311">
        <f t="shared" ca="1" si="269"/>
        <v>0</v>
      </c>
      <c r="L1311">
        <f t="shared" ca="1" si="270"/>
        <v>0</v>
      </c>
      <c r="M1311">
        <f t="shared" ca="1" si="271"/>
        <v>4</v>
      </c>
      <c r="N1311">
        <f t="shared" ca="1" si="272"/>
        <v>0</v>
      </c>
    </row>
    <row r="1312" spans="1:14" x14ac:dyDescent="0.35">
      <c r="A1312" t="s">
        <v>1329</v>
      </c>
      <c r="B1312" t="str">
        <f t="shared" si="260"/>
        <v>Test</v>
      </c>
      <c r="C1312">
        <f t="shared" ca="1" si="261"/>
        <v>42</v>
      </c>
      <c r="D1312" t="str">
        <f t="shared" ca="1" si="262"/>
        <v>Male</v>
      </c>
      <c r="E1312" t="str">
        <f t="shared" ca="1" si="263"/>
        <v>Ethnic Wear</v>
      </c>
      <c r="F1312">
        <f t="shared" ca="1" si="264"/>
        <v>5540</v>
      </c>
      <c r="G1312">
        <f t="shared" ca="1" si="265"/>
        <v>25</v>
      </c>
      <c r="H1312">
        <f t="shared" ca="1" si="266"/>
        <v>4155</v>
      </c>
      <c r="I1312">
        <f t="shared" ca="1" si="267"/>
        <v>1</v>
      </c>
      <c r="J1312">
        <f t="shared" ca="1" si="268"/>
        <v>1</v>
      </c>
      <c r="K1312">
        <f t="shared" ca="1" si="269"/>
        <v>1</v>
      </c>
      <c r="L1312">
        <f t="shared" ca="1" si="270"/>
        <v>4155</v>
      </c>
      <c r="M1312">
        <f t="shared" ca="1" si="271"/>
        <v>2</v>
      </c>
      <c r="N1312">
        <f t="shared" ca="1" si="272"/>
        <v>0</v>
      </c>
    </row>
    <row r="1313" spans="1:14" x14ac:dyDescent="0.35">
      <c r="A1313" t="s">
        <v>1330</v>
      </c>
      <c r="B1313" t="str">
        <f t="shared" si="260"/>
        <v>Test</v>
      </c>
      <c r="C1313">
        <f t="shared" ca="1" si="261"/>
        <v>35</v>
      </c>
      <c r="D1313" t="str">
        <f t="shared" ca="1" si="262"/>
        <v>Female</v>
      </c>
      <c r="E1313" t="str">
        <f t="shared" ca="1" si="263"/>
        <v>Jeans</v>
      </c>
      <c r="F1313">
        <f t="shared" ca="1" si="264"/>
        <v>2904</v>
      </c>
      <c r="G1313">
        <f t="shared" ca="1" si="265"/>
        <v>25</v>
      </c>
      <c r="H1313">
        <f t="shared" ca="1" si="266"/>
        <v>2178</v>
      </c>
      <c r="I1313">
        <f t="shared" ca="1" si="267"/>
        <v>1</v>
      </c>
      <c r="J1313">
        <f t="shared" ca="1" si="268"/>
        <v>1</v>
      </c>
      <c r="K1313">
        <f t="shared" ca="1" si="269"/>
        <v>0</v>
      </c>
      <c r="L1313">
        <f t="shared" ca="1" si="270"/>
        <v>0</v>
      </c>
      <c r="M1313">
        <f t="shared" ca="1" si="271"/>
        <v>4</v>
      </c>
      <c r="N1313">
        <f t="shared" ca="1" si="272"/>
        <v>0</v>
      </c>
    </row>
    <row r="1314" spans="1:14" x14ac:dyDescent="0.35">
      <c r="A1314" t="s">
        <v>1331</v>
      </c>
      <c r="B1314" t="str">
        <f t="shared" si="260"/>
        <v>Test</v>
      </c>
      <c r="C1314">
        <f t="shared" ca="1" si="261"/>
        <v>33</v>
      </c>
      <c r="D1314" t="str">
        <f t="shared" ca="1" si="262"/>
        <v>Female</v>
      </c>
      <c r="E1314" t="str">
        <f t="shared" ca="1" si="263"/>
        <v>Dresses</v>
      </c>
      <c r="F1314">
        <f t="shared" ca="1" si="264"/>
        <v>5779</v>
      </c>
      <c r="G1314">
        <f t="shared" ca="1" si="265"/>
        <v>15</v>
      </c>
      <c r="H1314">
        <f t="shared" ca="1" si="266"/>
        <v>4912.1499999999996</v>
      </c>
      <c r="I1314">
        <f t="shared" ca="1" si="267"/>
        <v>1</v>
      </c>
      <c r="J1314">
        <f t="shared" ca="1" si="268"/>
        <v>0</v>
      </c>
      <c r="K1314">
        <f t="shared" ca="1" si="269"/>
        <v>0</v>
      </c>
      <c r="L1314">
        <f t="shared" ca="1" si="270"/>
        <v>0</v>
      </c>
      <c r="M1314">
        <f t="shared" ca="1" si="271"/>
        <v>3</v>
      </c>
      <c r="N1314">
        <f t="shared" ca="1" si="272"/>
        <v>0</v>
      </c>
    </row>
    <row r="1315" spans="1:14" x14ac:dyDescent="0.35">
      <c r="A1315" t="s">
        <v>1332</v>
      </c>
      <c r="B1315" t="str">
        <f t="shared" si="260"/>
        <v>Test</v>
      </c>
      <c r="C1315">
        <f t="shared" ca="1" si="261"/>
        <v>26</v>
      </c>
      <c r="D1315" t="str">
        <f t="shared" ca="1" si="262"/>
        <v>Male</v>
      </c>
      <c r="E1315" t="str">
        <f t="shared" ca="1" si="263"/>
        <v>Sportswear</v>
      </c>
      <c r="F1315">
        <f t="shared" ca="1" si="264"/>
        <v>2043</v>
      </c>
      <c r="G1315">
        <f t="shared" ca="1" si="265"/>
        <v>25</v>
      </c>
      <c r="H1315">
        <f t="shared" ca="1" si="266"/>
        <v>1532.25</v>
      </c>
      <c r="I1315">
        <f t="shared" ca="1" si="267"/>
        <v>1</v>
      </c>
      <c r="J1315">
        <f t="shared" ca="1" si="268"/>
        <v>0</v>
      </c>
      <c r="K1315">
        <f t="shared" ca="1" si="269"/>
        <v>0</v>
      </c>
      <c r="L1315">
        <f t="shared" ca="1" si="270"/>
        <v>0</v>
      </c>
      <c r="M1315">
        <f t="shared" ca="1" si="271"/>
        <v>3</v>
      </c>
      <c r="N1315">
        <f t="shared" ca="1" si="272"/>
        <v>0</v>
      </c>
    </row>
    <row r="1316" spans="1:14" x14ac:dyDescent="0.35">
      <c r="A1316" t="s">
        <v>1333</v>
      </c>
      <c r="B1316" t="str">
        <f t="shared" si="260"/>
        <v>Test</v>
      </c>
      <c r="C1316">
        <f t="shared" ca="1" si="261"/>
        <v>20</v>
      </c>
      <c r="D1316" t="str">
        <f t="shared" ca="1" si="262"/>
        <v>Male</v>
      </c>
      <c r="E1316" t="str">
        <f t="shared" ca="1" si="263"/>
        <v>Dresses</v>
      </c>
      <c r="F1316">
        <f t="shared" ca="1" si="264"/>
        <v>2838</v>
      </c>
      <c r="G1316">
        <f t="shared" ca="1" si="265"/>
        <v>20</v>
      </c>
      <c r="H1316">
        <f t="shared" ca="1" si="266"/>
        <v>2270.4</v>
      </c>
      <c r="I1316">
        <f t="shared" ca="1" si="267"/>
        <v>1</v>
      </c>
      <c r="J1316">
        <f t="shared" ca="1" si="268"/>
        <v>0</v>
      </c>
      <c r="K1316">
        <f t="shared" ca="1" si="269"/>
        <v>0</v>
      </c>
      <c r="L1316">
        <f t="shared" ca="1" si="270"/>
        <v>0</v>
      </c>
      <c r="M1316">
        <f t="shared" ca="1" si="271"/>
        <v>4</v>
      </c>
      <c r="N1316">
        <f t="shared" ca="1" si="272"/>
        <v>0</v>
      </c>
    </row>
    <row r="1317" spans="1:14" x14ac:dyDescent="0.35">
      <c r="A1317" t="s">
        <v>1334</v>
      </c>
      <c r="B1317" t="str">
        <f t="shared" si="260"/>
        <v>Test</v>
      </c>
      <c r="C1317">
        <f t="shared" ca="1" si="261"/>
        <v>23</v>
      </c>
      <c r="D1317" t="str">
        <f t="shared" ca="1" si="262"/>
        <v>Female</v>
      </c>
      <c r="E1317" t="str">
        <f t="shared" ca="1" si="263"/>
        <v>Dresses</v>
      </c>
      <c r="F1317">
        <f t="shared" ca="1" si="264"/>
        <v>1483</v>
      </c>
      <c r="G1317">
        <f t="shared" ca="1" si="265"/>
        <v>20</v>
      </c>
      <c r="H1317">
        <f t="shared" ca="1" si="266"/>
        <v>1186.4000000000001</v>
      </c>
      <c r="I1317">
        <f t="shared" ca="1" si="267"/>
        <v>0</v>
      </c>
      <c r="J1317">
        <f t="shared" ca="1" si="268"/>
        <v>0</v>
      </c>
      <c r="K1317">
        <f t="shared" ca="1" si="269"/>
        <v>0</v>
      </c>
      <c r="L1317">
        <f t="shared" ca="1" si="270"/>
        <v>0</v>
      </c>
      <c r="M1317">
        <f t="shared" ca="1" si="271"/>
        <v>7</v>
      </c>
      <c r="N1317">
        <f t="shared" ca="1" si="272"/>
        <v>0</v>
      </c>
    </row>
    <row r="1318" spans="1:14" x14ac:dyDescent="0.35">
      <c r="A1318" t="s">
        <v>1335</v>
      </c>
      <c r="B1318" t="str">
        <f t="shared" si="260"/>
        <v>Test</v>
      </c>
      <c r="C1318">
        <f t="shared" ca="1" si="261"/>
        <v>33</v>
      </c>
      <c r="D1318" t="str">
        <f t="shared" ca="1" si="262"/>
        <v>Female</v>
      </c>
      <c r="E1318" t="str">
        <f t="shared" ca="1" si="263"/>
        <v>Shoes</v>
      </c>
      <c r="F1318">
        <f t="shared" ca="1" si="264"/>
        <v>707</v>
      </c>
      <c r="G1318">
        <f t="shared" ca="1" si="265"/>
        <v>20</v>
      </c>
      <c r="H1318">
        <f t="shared" ca="1" si="266"/>
        <v>565.6</v>
      </c>
      <c r="I1318">
        <f t="shared" ca="1" si="267"/>
        <v>0</v>
      </c>
      <c r="J1318">
        <f t="shared" ca="1" si="268"/>
        <v>0</v>
      </c>
      <c r="K1318">
        <f t="shared" ca="1" si="269"/>
        <v>0</v>
      </c>
      <c r="L1318">
        <f t="shared" ca="1" si="270"/>
        <v>0</v>
      </c>
      <c r="M1318">
        <f t="shared" ca="1" si="271"/>
        <v>7</v>
      </c>
      <c r="N1318">
        <f t="shared" ca="1" si="272"/>
        <v>0</v>
      </c>
    </row>
    <row r="1319" spans="1:14" x14ac:dyDescent="0.35">
      <c r="A1319" t="s">
        <v>1336</v>
      </c>
      <c r="B1319" t="str">
        <f t="shared" si="260"/>
        <v>Test</v>
      </c>
      <c r="C1319">
        <f t="shared" ca="1" si="261"/>
        <v>35</v>
      </c>
      <c r="D1319" t="str">
        <f t="shared" ca="1" si="262"/>
        <v>Male</v>
      </c>
      <c r="E1319" t="str">
        <f t="shared" ca="1" si="263"/>
        <v>Shoes</v>
      </c>
      <c r="F1319">
        <f t="shared" ca="1" si="264"/>
        <v>6564</v>
      </c>
      <c r="G1319">
        <f t="shared" ca="1" si="265"/>
        <v>25</v>
      </c>
      <c r="H1319">
        <f t="shared" ca="1" si="266"/>
        <v>4923</v>
      </c>
      <c r="I1319">
        <f t="shared" ca="1" si="267"/>
        <v>1</v>
      </c>
      <c r="J1319">
        <f t="shared" ca="1" si="268"/>
        <v>1</v>
      </c>
      <c r="K1319">
        <f t="shared" ca="1" si="269"/>
        <v>1</v>
      </c>
      <c r="L1319">
        <f t="shared" ca="1" si="270"/>
        <v>4923</v>
      </c>
      <c r="M1319">
        <f t="shared" ca="1" si="271"/>
        <v>6</v>
      </c>
      <c r="N1319">
        <f t="shared" ca="1" si="272"/>
        <v>0</v>
      </c>
    </row>
    <row r="1320" spans="1:14" x14ac:dyDescent="0.35">
      <c r="A1320" t="s">
        <v>1337</v>
      </c>
      <c r="B1320" t="str">
        <f t="shared" si="260"/>
        <v>Test</v>
      </c>
      <c r="C1320">
        <f t="shared" ca="1" si="261"/>
        <v>25</v>
      </c>
      <c r="D1320" t="str">
        <f t="shared" ca="1" si="262"/>
        <v>Female</v>
      </c>
      <c r="E1320" t="str">
        <f t="shared" ca="1" si="263"/>
        <v>Jeans</v>
      </c>
      <c r="F1320">
        <f t="shared" ca="1" si="264"/>
        <v>3617</v>
      </c>
      <c r="G1320">
        <f t="shared" ca="1" si="265"/>
        <v>25</v>
      </c>
      <c r="H1320">
        <f t="shared" ca="1" si="266"/>
        <v>2712.75</v>
      </c>
      <c r="I1320">
        <f t="shared" ca="1" si="267"/>
        <v>0</v>
      </c>
      <c r="J1320">
        <f t="shared" ca="1" si="268"/>
        <v>0</v>
      </c>
      <c r="K1320">
        <f t="shared" ca="1" si="269"/>
        <v>0</v>
      </c>
      <c r="L1320">
        <f t="shared" ca="1" si="270"/>
        <v>0</v>
      </c>
      <c r="M1320">
        <f t="shared" ca="1" si="271"/>
        <v>4</v>
      </c>
      <c r="N1320">
        <f t="shared" ca="1" si="272"/>
        <v>0</v>
      </c>
    </row>
    <row r="1321" spans="1:14" x14ac:dyDescent="0.35">
      <c r="A1321" t="s">
        <v>1338</v>
      </c>
      <c r="B1321" t="str">
        <f t="shared" si="260"/>
        <v>Test</v>
      </c>
      <c r="C1321">
        <f t="shared" ca="1" si="261"/>
        <v>41</v>
      </c>
      <c r="D1321" t="str">
        <f t="shared" ca="1" si="262"/>
        <v>Female</v>
      </c>
      <c r="E1321" t="str">
        <f t="shared" ca="1" si="263"/>
        <v>Shoes</v>
      </c>
      <c r="F1321">
        <f t="shared" ca="1" si="264"/>
        <v>5697</v>
      </c>
      <c r="G1321">
        <f t="shared" ca="1" si="265"/>
        <v>15</v>
      </c>
      <c r="H1321">
        <f t="shared" ca="1" si="266"/>
        <v>4842.45</v>
      </c>
      <c r="I1321">
        <f t="shared" ca="1" si="267"/>
        <v>1</v>
      </c>
      <c r="J1321">
        <f t="shared" ca="1" si="268"/>
        <v>0</v>
      </c>
      <c r="K1321">
        <f t="shared" ca="1" si="269"/>
        <v>0</v>
      </c>
      <c r="L1321">
        <f t="shared" ca="1" si="270"/>
        <v>0</v>
      </c>
      <c r="M1321">
        <f t="shared" ca="1" si="271"/>
        <v>3</v>
      </c>
      <c r="N1321">
        <f t="shared" ca="1" si="272"/>
        <v>0</v>
      </c>
    </row>
    <row r="1322" spans="1:14" x14ac:dyDescent="0.35">
      <c r="A1322" t="s">
        <v>1339</v>
      </c>
      <c r="B1322" t="str">
        <f t="shared" si="260"/>
        <v>Test</v>
      </c>
      <c r="C1322">
        <f t="shared" ca="1" si="261"/>
        <v>21</v>
      </c>
      <c r="D1322" t="str">
        <f t="shared" ca="1" si="262"/>
        <v>Female</v>
      </c>
      <c r="E1322" t="str">
        <f t="shared" ca="1" si="263"/>
        <v>T-shirts</v>
      </c>
      <c r="F1322">
        <f t="shared" ca="1" si="264"/>
        <v>1478</v>
      </c>
      <c r="G1322">
        <f t="shared" ca="1" si="265"/>
        <v>15</v>
      </c>
      <c r="H1322">
        <f t="shared" ca="1" si="266"/>
        <v>1256.3</v>
      </c>
      <c r="I1322">
        <f t="shared" ca="1" si="267"/>
        <v>1</v>
      </c>
      <c r="J1322">
        <f t="shared" ca="1" si="268"/>
        <v>0</v>
      </c>
      <c r="K1322">
        <f t="shared" ca="1" si="269"/>
        <v>0</v>
      </c>
      <c r="L1322">
        <f t="shared" ca="1" si="270"/>
        <v>0</v>
      </c>
      <c r="M1322">
        <f t="shared" ca="1" si="271"/>
        <v>5</v>
      </c>
      <c r="N1322">
        <f t="shared" ca="1" si="272"/>
        <v>0</v>
      </c>
    </row>
    <row r="1323" spans="1:14" x14ac:dyDescent="0.35">
      <c r="A1323" t="s">
        <v>1340</v>
      </c>
      <c r="B1323" t="str">
        <f t="shared" si="260"/>
        <v>Test</v>
      </c>
      <c r="C1323">
        <f t="shared" ca="1" si="261"/>
        <v>30</v>
      </c>
      <c r="D1323" t="str">
        <f t="shared" ca="1" si="262"/>
        <v>Female</v>
      </c>
      <c r="E1323" t="str">
        <f t="shared" ca="1" si="263"/>
        <v>Ethnic Wear</v>
      </c>
      <c r="F1323">
        <f t="shared" ca="1" si="264"/>
        <v>4166</v>
      </c>
      <c r="G1323">
        <f t="shared" ca="1" si="265"/>
        <v>25</v>
      </c>
      <c r="H1323">
        <f t="shared" ca="1" si="266"/>
        <v>3124.5</v>
      </c>
      <c r="I1323">
        <f t="shared" ca="1" si="267"/>
        <v>1</v>
      </c>
      <c r="J1323">
        <f t="shared" ca="1" si="268"/>
        <v>1</v>
      </c>
      <c r="K1323">
        <f t="shared" ca="1" si="269"/>
        <v>0</v>
      </c>
      <c r="L1323">
        <f t="shared" ca="1" si="270"/>
        <v>0</v>
      </c>
      <c r="M1323">
        <f t="shared" ca="1" si="271"/>
        <v>3</v>
      </c>
      <c r="N1323">
        <f t="shared" ca="1" si="272"/>
        <v>0</v>
      </c>
    </row>
    <row r="1324" spans="1:14" x14ac:dyDescent="0.35">
      <c r="A1324" t="s">
        <v>1341</v>
      </c>
      <c r="B1324" t="str">
        <f t="shared" si="260"/>
        <v>Test</v>
      </c>
      <c r="C1324">
        <f t="shared" ca="1" si="261"/>
        <v>44</v>
      </c>
      <c r="D1324" t="str">
        <f t="shared" ca="1" si="262"/>
        <v>Other</v>
      </c>
      <c r="E1324" t="str">
        <f t="shared" ca="1" si="263"/>
        <v>Accessories</v>
      </c>
      <c r="F1324">
        <f t="shared" ca="1" si="264"/>
        <v>4606</v>
      </c>
      <c r="G1324">
        <f t="shared" ca="1" si="265"/>
        <v>15</v>
      </c>
      <c r="H1324">
        <f t="shared" ca="1" si="266"/>
        <v>3915.1</v>
      </c>
      <c r="I1324">
        <f t="shared" ca="1" si="267"/>
        <v>1</v>
      </c>
      <c r="J1324">
        <f t="shared" ca="1" si="268"/>
        <v>1</v>
      </c>
      <c r="K1324">
        <f t="shared" ca="1" si="269"/>
        <v>0</v>
      </c>
      <c r="L1324">
        <f t="shared" ca="1" si="270"/>
        <v>0</v>
      </c>
      <c r="M1324">
        <f t="shared" ca="1" si="271"/>
        <v>4</v>
      </c>
      <c r="N1324">
        <f t="shared" ca="1" si="272"/>
        <v>0</v>
      </c>
    </row>
    <row r="1325" spans="1:14" x14ac:dyDescent="0.35">
      <c r="A1325" t="s">
        <v>1342</v>
      </c>
      <c r="B1325" t="str">
        <f t="shared" si="260"/>
        <v>Test</v>
      </c>
      <c r="C1325">
        <f t="shared" ca="1" si="261"/>
        <v>40</v>
      </c>
      <c r="D1325" t="str">
        <f t="shared" ca="1" si="262"/>
        <v>Female</v>
      </c>
      <c r="E1325" t="str">
        <f t="shared" ca="1" si="263"/>
        <v>Dresses</v>
      </c>
      <c r="F1325">
        <f t="shared" ca="1" si="264"/>
        <v>4899</v>
      </c>
      <c r="G1325">
        <f t="shared" ca="1" si="265"/>
        <v>15</v>
      </c>
      <c r="H1325">
        <f t="shared" ca="1" si="266"/>
        <v>4164.1499999999996</v>
      </c>
      <c r="I1325">
        <f t="shared" ca="1" si="267"/>
        <v>1</v>
      </c>
      <c r="J1325">
        <f t="shared" ca="1" si="268"/>
        <v>0</v>
      </c>
      <c r="K1325">
        <f t="shared" ca="1" si="269"/>
        <v>0</v>
      </c>
      <c r="L1325">
        <f t="shared" ca="1" si="270"/>
        <v>0</v>
      </c>
      <c r="M1325">
        <f t="shared" ca="1" si="271"/>
        <v>2</v>
      </c>
      <c r="N1325">
        <f t="shared" ca="1" si="272"/>
        <v>0</v>
      </c>
    </row>
    <row r="1326" spans="1:14" x14ac:dyDescent="0.35">
      <c r="A1326" t="s">
        <v>1343</v>
      </c>
      <c r="B1326" t="str">
        <f t="shared" si="260"/>
        <v>Test</v>
      </c>
      <c r="C1326">
        <f t="shared" ca="1" si="261"/>
        <v>44</v>
      </c>
      <c r="D1326" t="str">
        <f t="shared" ca="1" si="262"/>
        <v>Male</v>
      </c>
      <c r="E1326" t="str">
        <f t="shared" ca="1" si="263"/>
        <v>T-shirts</v>
      </c>
      <c r="F1326">
        <f t="shared" ca="1" si="264"/>
        <v>1167</v>
      </c>
      <c r="G1326">
        <f t="shared" ca="1" si="265"/>
        <v>15</v>
      </c>
      <c r="H1326">
        <f t="shared" ca="1" si="266"/>
        <v>991.94999999999993</v>
      </c>
      <c r="I1326">
        <f t="shared" ca="1" si="267"/>
        <v>1</v>
      </c>
      <c r="J1326">
        <f t="shared" ca="1" si="268"/>
        <v>1</v>
      </c>
      <c r="K1326">
        <f t="shared" ca="1" si="269"/>
        <v>0</v>
      </c>
      <c r="L1326">
        <f t="shared" ca="1" si="270"/>
        <v>0</v>
      </c>
      <c r="M1326">
        <f t="shared" ca="1" si="271"/>
        <v>5</v>
      </c>
      <c r="N1326">
        <f t="shared" ca="1" si="272"/>
        <v>0</v>
      </c>
    </row>
    <row r="1327" spans="1:14" x14ac:dyDescent="0.35">
      <c r="A1327" t="s">
        <v>1344</v>
      </c>
      <c r="B1327" t="str">
        <f t="shared" si="260"/>
        <v>Test</v>
      </c>
      <c r="C1327">
        <f t="shared" ca="1" si="261"/>
        <v>19</v>
      </c>
      <c r="D1327" t="str">
        <f t="shared" ca="1" si="262"/>
        <v>Male</v>
      </c>
      <c r="E1327" t="str">
        <f t="shared" ca="1" si="263"/>
        <v>Dresses</v>
      </c>
      <c r="F1327">
        <f t="shared" ca="1" si="264"/>
        <v>6524</v>
      </c>
      <c r="G1327">
        <f t="shared" ca="1" si="265"/>
        <v>20</v>
      </c>
      <c r="H1327">
        <f t="shared" ca="1" si="266"/>
        <v>5219.2000000000007</v>
      </c>
      <c r="I1327">
        <f t="shared" ca="1" si="267"/>
        <v>0</v>
      </c>
      <c r="J1327">
        <f t="shared" ca="1" si="268"/>
        <v>0</v>
      </c>
      <c r="K1327">
        <f t="shared" ca="1" si="269"/>
        <v>0</v>
      </c>
      <c r="L1327">
        <f t="shared" ca="1" si="270"/>
        <v>0</v>
      </c>
      <c r="M1327">
        <f t="shared" ca="1" si="271"/>
        <v>1</v>
      </c>
      <c r="N1327">
        <f t="shared" ca="1" si="272"/>
        <v>0</v>
      </c>
    </row>
    <row r="1328" spans="1:14" x14ac:dyDescent="0.35">
      <c r="A1328" t="s">
        <v>1345</v>
      </c>
      <c r="B1328" t="str">
        <f t="shared" si="260"/>
        <v>Test</v>
      </c>
      <c r="C1328">
        <f t="shared" ca="1" si="261"/>
        <v>20</v>
      </c>
      <c r="D1328" t="str">
        <f t="shared" ca="1" si="262"/>
        <v>Female</v>
      </c>
      <c r="E1328" t="str">
        <f t="shared" ca="1" si="263"/>
        <v>Dresses</v>
      </c>
      <c r="F1328">
        <f t="shared" ca="1" si="264"/>
        <v>4873</v>
      </c>
      <c r="G1328">
        <f t="shared" ca="1" si="265"/>
        <v>25</v>
      </c>
      <c r="H1328">
        <f t="shared" ca="1" si="266"/>
        <v>3654.75</v>
      </c>
      <c r="I1328">
        <f t="shared" ca="1" si="267"/>
        <v>1</v>
      </c>
      <c r="J1328">
        <f t="shared" ca="1" si="268"/>
        <v>1</v>
      </c>
      <c r="K1328">
        <f t="shared" ca="1" si="269"/>
        <v>0</v>
      </c>
      <c r="L1328">
        <f t="shared" ca="1" si="270"/>
        <v>0</v>
      </c>
      <c r="M1328">
        <f t="shared" ca="1" si="271"/>
        <v>2</v>
      </c>
      <c r="N1328">
        <f t="shared" ca="1" si="272"/>
        <v>0</v>
      </c>
    </row>
    <row r="1329" spans="1:14" x14ac:dyDescent="0.35">
      <c r="A1329" t="s">
        <v>1346</v>
      </c>
      <c r="B1329" t="str">
        <f t="shared" si="260"/>
        <v>Test</v>
      </c>
      <c r="C1329">
        <f t="shared" ca="1" si="261"/>
        <v>28</v>
      </c>
      <c r="D1329" t="str">
        <f t="shared" ca="1" si="262"/>
        <v>Female</v>
      </c>
      <c r="E1329" t="str">
        <f t="shared" ca="1" si="263"/>
        <v>Accessories</v>
      </c>
      <c r="F1329">
        <f t="shared" ca="1" si="264"/>
        <v>7338</v>
      </c>
      <c r="G1329">
        <f t="shared" ca="1" si="265"/>
        <v>20</v>
      </c>
      <c r="H1329">
        <f t="shared" ca="1" si="266"/>
        <v>5870.4000000000005</v>
      </c>
      <c r="I1329">
        <f t="shared" ca="1" si="267"/>
        <v>1</v>
      </c>
      <c r="J1329">
        <f t="shared" ca="1" si="268"/>
        <v>1</v>
      </c>
      <c r="K1329">
        <f t="shared" ca="1" si="269"/>
        <v>0</v>
      </c>
      <c r="L1329">
        <f t="shared" ca="1" si="270"/>
        <v>0</v>
      </c>
      <c r="M1329">
        <f t="shared" ca="1" si="271"/>
        <v>6</v>
      </c>
      <c r="N1329">
        <f t="shared" ca="1" si="272"/>
        <v>0</v>
      </c>
    </row>
    <row r="1330" spans="1:14" x14ac:dyDescent="0.35">
      <c r="A1330" t="s">
        <v>1347</v>
      </c>
      <c r="B1330" t="str">
        <f t="shared" si="260"/>
        <v>Test</v>
      </c>
      <c r="C1330">
        <f t="shared" ca="1" si="261"/>
        <v>41</v>
      </c>
      <c r="D1330" t="str">
        <f t="shared" ca="1" si="262"/>
        <v>Male</v>
      </c>
      <c r="E1330" t="str">
        <f t="shared" ca="1" si="263"/>
        <v>Shoes</v>
      </c>
      <c r="F1330">
        <f t="shared" ca="1" si="264"/>
        <v>375</v>
      </c>
      <c r="G1330">
        <f t="shared" ca="1" si="265"/>
        <v>25</v>
      </c>
      <c r="H1330">
        <f t="shared" ca="1" si="266"/>
        <v>281.25</v>
      </c>
      <c r="I1330">
        <f t="shared" ca="1" si="267"/>
        <v>0</v>
      </c>
      <c r="J1330">
        <f t="shared" ca="1" si="268"/>
        <v>0</v>
      </c>
      <c r="K1330">
        <f t="shared" ca="1" si="269"/>
        <v>0</v>
      </c>
      <c r="L1330">
        <f t="shared" ca="1" si="270"/>
        <v>0</v>
      </c>
      <c r="M1330">
        <f t="shared" ca="1" si="271"/>
        <v>2</v>
      </c>
      <c r="N1330">
        <f t="shared" ca="1" si="272"/>
        <v>0</v>
      </c>
    </row>
    <row r="1331" spans="1:14" x14ac:dyDescent="0.35">
      <c r="A1331" t="s">
        <v>1348</v>
      </c>
      <c r="B1331" t="str">
        <f t="shared" si="260"/>
        <v>Test</v>
      </c>
      <c r="C1331">
        <f t="shared" ca="1" si="261"/>
        <v>25</v>
      </c>
      <c r="D1331" t="str">
        <f t="shared" ca="1" si="262"/>
        <v>Female</v>
      </c>
      <c r="E1331" t="str">
        <f t="shared" ca="1" si="263"/>
        <v>Accessories</v>
      </c>
      <c r="F1331">
        <f t="shared" ca="1" si="264"/>
        <v>2195</v>
      </c>
      <c r="G1331">
        <f t="shared" ca="1" si="265"/>
        <v>25</v>
      </c>
      <c r="H1331">
        <f t="shared" ca="1" si="266"/>
        <v>1646.25</v>
      </c>
      <c r="I1331">
        <f t="shared" ca="1" si="267"/>
        <v>1</v>
      </c>
      <c r="J1331">
        <f t="shared" ca="1" si="268"/>
        <v>0</v>
      </c>
      <c r="K1331">
        <f t="shared" ca="1" si="269"/>
        <v>0</v>
      </c>
      <c r="L1331">
        <f t="shared" ca="1" si="270"/>
        <v>0</v>
      </c>
      <c r="M1331">
        <f t="shared" ca="1" si="271"/>
        <v>3</v>
      </c>
      <c r="N1331">
        <f t="shared" ca="1" si="272"/>
        <v>0</v>
      </c>
    </row>
    <row r="1332" spans="1:14" x14ac:dyDescent="0.35">
      <c r="A1332" t="s">
        <v>1349</v>
      </c>
      <c r="B1332" t="str">
        <f t="shared" si="260"/>
        <v>Test</v>
      </c>
      <c r="C1332">
        <f t="shared" ca="1" si="261"/>
        <v>35</v>
      </c>
      <c r="D1332" t="str">
        <f t="shared" ca="1" si="262"/>
        <v>Female</v>
      </c>
      <c r="E1332" t="str">
        <f t="shared" ca="1" si="263"/>
        <v>T-shirts</v>
      </c>
      <c r="F1332">
        <f t="shared" ca="1" si="264"/>
        <v>4816</v>
      </c>
      <c r="G1332">
        <f t="shared" ca="1" si="265"/>
        <v>25</v>
      </c>
      <c r="H1332">
        <f t="shared" ca="1" si="266"/>
        <v>3612</v>
      </c>
      <c r="I1332">
        <f t="shared" ca="1" si="267"/>
        <v>1</v>
      </c>
      <c r="J1332">
        <f t="shared" ca="1" si="268"/>
        <v>0</v>
      </c>
      <c r="K1332">
        <f t="shared" ca="1" si="269"/>
        <v>0</v>
      </c>
      <c r="L1332">
        <f t="shared" ca="1" si="270"/>
        <v>0</v>
      </c>
      <c r="M1332">
        <f t="shared" ca="1" si="271"/>
        <v>5</v>
      </c>
      <c r="N1332">
        <f t="shared" ca="1" si="272"/>
        <v>0</v>
      </c>
    </row>
    <row r="1333" spans="1:14" x14ac:dyDescent="0.35">
      <c r="A1333" t="s">
        <v>1350</v>
      </c>
      <c r="B1333" t="str">
        <f t="shared" si="260"/>
        <v>Test</v>
      </c>
      <c r="C1333">
        <f t="shared" ca="1" si="261"/>
        <v>45</v>
      </c>
      <c r="D1333" t="str">
        <f t="shared" ca="1" si="262"/>
        <v>Female</v>
      </c>
      <c r="E1333" t="str">
        <f t="shared" ca="1" si="263"/>
        <v>Accessories</v>
      </c>
      <c r="F1333">
        <f t="shared" ca="1" si="264"/>
        <v>7871</v>
      </c>
      <c r="G1333">
        <f t="shared" ca="1" si="265"/>
        <v>25</v>
      </c>
      <c r="H1333">
        <f t="shared" ca="1" si="266"/>
        <v>5903.25</v>
      </c>
      <c r="I1333">
        <f t="shared" ca="1" si="267"/>
        <v>1</v>
      </c>
      <c r="J1333">
        <f t="shared" ca="1" si="268"/>
        <v>1</v>
      </c>
      <c r="K1333">
        <f t="shared" ca="1" si="269"/>
        <v>0</v>
      </c>
      <c r="L1333">
        <f t="shared" ca="1" si="270"/>
        <v>0</v>
      </c>
      <c r="M1333">
        <f t="shared" ca="1" si="271"/>
        <v>6</v>
      </c>
      <c r="N1333">
        <f t="shared" ca="1" si="272"/>
        <v>0</v>
      </c>
    </row>
    <row r="1334" spans="1:14" x14ac:dyDescent="0.35">
      <c r="A1334" t="s">
        <v>1351</v>
      </c>
      <c r="B1334" t="str">
        <f t="shared" si="260"/>
        <v>Test</v>
      </c>
      <c r="C1334">
        <f t="shared" ca="1" si="261"/>
        <v>32</v>
      </c>
      <c r="D1334" t="str">
        <f t="shared" ca="1" si="262"/>
        <v>Female</v>
      </c>
      <c r="E1334" t="str">
        <f t="shared" ca="1" si="263"/>
        <v>Jeans</v>
      </c>
      <c r="F1334">
        <f t="shared" ca="1" si="264"/>
        <v>7262</v>
      </c>
      <c r="G1334">
        <f t="shared" ca="1" si="265"/>
        <v>15</v>
      </c>
      <c r="H1334">
        <f t="shared" ca="1" si="266"/>
        <v>6172.7</v>
      </c>
      <c r="I1334">
        <f t="shared" ca="1" si="267"/>
        <v>0</v>
      </c>
      <c r="J1334">
        <f t="shared" ca="1" si="268"/>
        <v>0</v>
      </c>
      <c r="K1334">
        <f t="shared" ca="1" si="269"/>
        <v>0</v>
      </c>
      <c r="L1334">
        <f t="shared" ca="1" si="270"/>
        <v>0</v>
      </c>
      <c r="M1334">
        <f t="shared" ca="1" si="271"/>
        <v>3</v>
      </c>
      <c r="N1334">
        <f t="shared" ca="1" si="272"/>
        <v>0</v>
      </c>
    </row>
    <row r="1335" spans="1:14" x14ac:dyDescent="0.35">
      <c r="A1335" t="s">
        <v>1352</v>
      </c>
      <c r="B1335" t="str">
        <f t="shared" si="260"/>
        <v>Test</v>
      </c>
      <c r="C1335">
        <f t="shared" ca="1" si="261"/>
        <v>18</v>
      </c>
      <c r="D1335" t="str">
        <f t="shared" ca="1" si="262"/>
        <v>Female</v>
      </c>
      <c r="E1335" t="str">
        <f t="shared" ca="1" si="263"/>
        <v>Ethnic Wear</v>
      </c>
      <c r="F1335">
        <f t="shared" ca="1" si="264"/>
        <v>7898</v>
      </c>
      <c r="G1335">
        <f t="shared" ca="1" si="265"/>
        <v>25</v>
      </c>
      <c r="H1335">
        <f t="shared" ca="1" si="266"/>
        <v>5923.5</v>
      </c>
      <c r="I1335">
        <f t="shared" ca="1" si="267"/>
        <v>1</v>
      </c>
      <c r="J1335">
        <f t="shared" ca="1" si="268"/>
        <v>1</v>
      </c>
      <c r="K1335">
        <f t="shared" ca="1" si="269"/>
        <v>1</v>
      </c>
      <c r="L1335">
        <f t="shared" ca="1" si="270"/>
        <v>5923.5</v>
      </c>
      <c r="M1335">
        <f t="shared" ca="1" si="271"/>
        <v>3</v>
      </c>
      <c r="N1335">
        <f t="shared" ca="1" si="272"/>
        <v>0</v>
      </c>
    </row>
    <row r="1336" spans="1:14" x14ac:dyDescent="0.35">
      <c r="A1336" t="s">
        <v>1353</v>
      </c>
      <c r="B1336" t="str">
        <f t="shared" si="260"/>
        <v>Test</v>
      </c>
      <c r="C1336">
        <f t="shared" ca="1" si="261"/>
        <v>34</v>
      </c>
      <c r="D1336" t="str">
        <f t="shared" ca="1" si="262"/>
        <v>Male</v>
      </c>
      <c r="E1336" t="str">
        <f t="shared" ca="1" si="263"/>
        <v>Accessories</v>
      </c>
      <c r="F1336">
        <f t="shared" ca="1" si="264"/>
        <v>4168</v>
      </c>
      <c r="G1336">
        <f t="shared" ca="1" si="265"/>
        <v>15</v>
      </c>
      <c r="H1336">
        <f t="shared" ca="1" si="266"/>
        <v>3542.7999999999997</v>
      </c>
      <c r="I1336">
        <f t="shared" ca="1" si="267"/>
        <v>0</v>
      </c>
      <c r="J1336">
        <f t="shared" ca="1" si="268"/>
        <v>0</v>
      </c>
      <c r="K1336">
        <f t="shared" ca="1" si="269"/>
        <v>0</v>
      </c>
      <c r="L1336">
        <f t="shared" ca="1" si="270"/>
        <v>0</v>
      </c>
      <c r="M1336">
        <f t="shared" ca="1" si="271"/>
        <v>1</v>
      </c>
      <c r="N1336">
        <f t="shared" ca="1" si="272"/>
        <v>0</v>
      </c>
    </row>
    <row r="1337" spans="1:14" x14ac:dyDescent="0.35">
      <c r="A1337" t="s">
        <v>1354</v>
      </c>
      <c r="B1337" t="str">
        <f t="shared" si="260"/>
        <v>Test</v>
      </c>
      <c r="C1337">
        <f t="shared" ca="1" si="261"/>
        <v>39</v>
      </c>
      <c r="D1337" t="str">
        <f t="shared" ca="1" si="262"/>
        <v>Female</v>
      </c>
      <c r="E1337" t="str">
        <f t="shared" ca="1" si="263"/>
        <v>Tops</v>
      </c>
      <c r="F1337">
        <f t="shared" ca="1" si="264"/>
        <v>5474</v>
      </c>
      <c r="G1337">
        <f t="shared" ca="1" si="265"/>
        <v>25</v>
      </c>
      <c r="H1337">
        <f t="shared" ca="1" si="266"/>
        <v>4105.5</v>
      </c>
      <c r="I1337">
        <f t="shared" ca="1" si="267"/>
        <v>1</v>
      </c>
      <c r="J1337">
        <f t="shared" ca="1" si="268"/>
        <v>0</v>
      </c>
      <c r="K1337">
        <f t="shared" ca="1" si="269"/>
        <v>0</v>
      </c>
      <c r="L1337">
        <f t="shared" ca="1" si="270"/>
        <v>0</v>
      </c>
      <c r="M1337">
        <f t="shared" ca="1" si="271"/>
        <v>5</v>
      </c>
      <c r="N1337">
        <f t="shared" ca="1" si="272"/>
        <v>0</v>
      </c>
    </row>
    <row r="1338" spans="1:14" x14ac:dyDescent="0.35">
      <c r="A1338" t="s">
        <v>1355</v>
      </c>
      <c r="B1338" t="str">
        <f t="shared" si="260"/>
        <v>Test</v>
      </c>
      <c r="C1338">
        <f t="shared" ca="1" si="261"/>
        <v>45</v>
      </c>
      <c r="D1338" t="str">
        <f t="shared" ca="1" si="262"/>
        <v>Female</v>
      </c>
      <c r="E1338" t="str">
        <f t="shared" ca="1" si="263"/>
        <v>Sportswear</v>
      </c>
      <c r="F1338">
        <f t="shared" ca="1" si="264"/>
        <v>2345</v>
      </c>
      <c r="G1338">
        <f t="shared" ca="1" si="265"/>
        <v>20</v>
      </c>
      <c r="H1338">
        <f t="shared" ca="1" si="266"/>
        <v>1876</v>
      </c>
      <c r="I1338">
        <f t="shared" ca="1" si="267"/>
        <v>0</v>
      </c>
      <c r="J1338">
        <f t="shared" ca="1" si="268"/>
        <v>0</v>
      </c>
      <c r="K1338">
        <f t="shared" ca="1" si="269"/>
        <v>0</v>
      </c>
      <c r="L1338">
        <f t="shared" ca="1" si="270"/>
        <v>0</v>
      </c>
      <c r="M1338">
        <f t="shared" ca="1" si="271"/>
        <v>5</v>
      </c>
      <c r="N1338">
        <f t="shared" ca="1" si="272"/>
        <v>0</v>
      </c>
    </row>
    <row r="1339" spans="1:14" x14ac:dyDescent="0.35">
      <c r="A1339" t="s">
        <v>1356</v>
      </c>
      <c r="B1339" t="str">
        <f t="shared" si="260"/>
        <v>Test</v>
      </c>
      <c r="C1339">
        <f t="shared" ca="1" si="261"/>
        <v>40</v>
      </c>
      <c r="D1339" t="str">
        <f t="shared" ca="1" si="262"/>
        <v>Male</v>
      </c>
      <c r="E1339" t="str">
        <f t="shared" ca="1" si="263"/>
        <v>Jeans</v>
      </c>
      <c r="F1339">
        <f t="shared" ca="1" si="264"/>
        <v>7990</v>
      </c>
      <c r="G1339">
        <f t="shared" ca="1" si="265"/>
        <v>20</v>
      </c>
      <c r="H1339">
        <f t="shared" ca="1" si="266"/>
        <v>6392</v>
      </c>
      <c r="I1339">
        <f t="shared" ca="1" si="267"/>
        <v>1</v>
      </c>
      <c r="J1339">
        <f t="shared" ca="1" si="268"/>
        <v>1</v>
      </c>
      <c r="K1339">
        <f t="shared" ca="1" si="269"/>
        <v>0</v>
      </c>
      <c r="L1339">
        <f t="shared" ca="1" si="270"/>
        <v>0</v>
      </c>
      <c r="M1339">
        <f t="shared" ca="1" si="271"/>
        <v>5</v>
      </c>
      <c r="N1339">
        <f t="shared" ca="1" si="272"/>
        <v>0</v>
      </c>
    </row>
    <row r="1340" spans="1:14" x14ac:dyDescent="0.35">
      <c r="A1340" t="s">
        <v>1357</v>
      </c>
      <c r="B1340" t="str">
        <f t="shared" si="260"/>
        <v>Test</v>
      </c>
      <c r="C1340">
        <f t="shared" ca="1" si="261"/>
        <v>30</v>
      </c>
      <c r="D1340" t="str">
        <f t="shared" ca="1" si="262"/>
        <v>Female</v>
      </c>
      <c r="E1340" t="str">
        <f t="shared" ca="1" si="263"/>
        <v>T-shirts</v>
      </c>
      <c r="F1340">
        <f t="shared" ca="1" si="264"/>
        <v>5603</v>
      </c>
      <c r="G1340">
        <f t="shared" ca="1" si="265"/>
        <v>20</v>
      </c>
      <c r="H1340">
        <f t="shared" ca="1" si="266"/>
        <v>4482.4000000000005</v>
      </c>
      <c r="I1340">
        <f t="shared" ca="1" si="267"/>
        <v>1</v>
      </c>
      <c r="J1340">
        <f t="shared" ca="1" si="268"/>
        <v>0</v>
      </c>
      <c r="K1340">
        <f t="shared" ca="1" si="269"/>
        <v>0</v>
      </c>
      <c r="L1340">
        <f t="shared" ca="1" si="270"/>
        <v>0</v>
      </c>
      <c r="M1340">
        <f t="shared" ca="1" si="271"/>
        <v>4</v>
      </c>
      <c r="N1340">
        <f t="shared" ca="1" si="272"/>
        <v>0</v>
      </c>
    </row>
    <row r="1341" spans="1:14" x14ac:dyDescent="0.35">
      <c r="A1341" t="s">
        <v>1358</v>
      </c>
      <c r="B1341" t="str">
        <f t="shared" si="260"/>
        <v>Test</v>
      </c>
      <c r="C1341">
        <f t="shared" ca="1" si="261"/>
        <v>28</v>
      </c>
      <c r="D1341" t="str">
        <f t="shared" ca="1" si="262"/>
        <v>Female</v>
      </c>
      <c r="E1341" t="str">
        <f t="shared" ca="1" si="263"/>
        <v>Tops</v>
      </c>
      <c r="F1341">
        <f t="shared" ca="1" si="264"/>
        <v>5295</v>
      </c>
      <c r="G1341">
        <f t="shared" ca="1" si="265"/>
        <v>15</v>
      </c>
      <c r="H1341">
        <f t="shared" ca="1" si="266"/>
        <v>4500.75</v>
      </c>
      <c r="I1341">
        <f t="shared" ca="1" si="267"/>
        <v>1</v>
      </c>
      <c r="J1341">
        <f t="shared" ca="1" si="268"/>
        <v>1</v>
      </c>
      <c r="K1341">
        <f t="shared" ca="1" si="269"/>
        <v>0</v>
      </c>
      <c r="L1341">
        <f t="shared" ca="1" si="270"/>
        <v>0</v>
      </c>
      <c r="M1341">
        <f t="shared" ca="1" si="271"/>
        <v>2</v>
      </c>
      <c r="N1341">
        <f t="shared" ca="1" si="272"/>
        <v>0</v>
      </c>
    </row>
    <row r="1342" spans="1:14" x14ac:dyDescent="0.35">
      <c r="A1342" t="s">
        <v>1359</v>
      </c>
      <c r="B1342" t="str">
        <f t="shared" si="260"/>
        <v>Test</v>
      </c>
      <c r="C1342">
        <f t="shared" ca="1" si="261"/>
        <v>38</v>
      </c>
      <c r="D1342" t="str">
        <f t="shared" ca="1" si="262"/>
        <v>Female</v>
      </c>
      <c r="E1342" t="str">
        <f t="shared" ca="1" si="263"/>
        <v>Tops</v>
      </c>
      <c r="F1342">
        <f t="shared" ca="1" si="264"/>
        <v>5155</v>
      </c>
      <c r="G1342">
        <f t="shared" ca="1" si="265"/>
        <v>15</v>
      </c>
      <c r="H1342">
        <f t="shared" ca="1" si="266"/>
        <v>4381.75</v>
      </c>
      <c r="I1342">
        <f t="shared" ca="1" si="267"/>
        <v>1</v>
      </c>
      <c r="J1342">
        <f t="shared" ca="1" si="268"/>
        <v>0</v>
      </c>
      <c r="K1342">
        <f t="shared" ca="1" si="269"/>
        <v>0</v>
      </c>
      <c r="L1342">
        <f t="shared" ca="1" si="270"/>
        <v>0</v>
      </c>
      <c r="M1342">
        <f t="shared" ca="1" si="271"/>
        <v>5</v>
      </c>
      <c r="N1342">
        <f t="shared" ca="1" si="272"/>
        <v>0</v>
      </c>
    </row>
    <row r="1343" spans="1:14" x14ac:dyDescent="0.35">
      <c r="A1343" t="s">
        <v>1360</v>
      </c>
      <c r="B1343" t="str">
        <f t="shared" si="260"/>
        <v>Test</v>
      </c>
      <c r="C1343">
        <f t="shared" ca="1" si="261"/>
        <v>41</v>
      </c>
      <c r="D1343" t="str">
        <f t="shared" ca="1" si="262"/>
        <v>Female</v>
      </c>
      <c r="E1343" t="str">
        <f t="shared" ca="1" si="263"/>
        <v>Shoes</v>
      </c>
      <c r="F1343">
        <f t="shared" ca="1" si="264"/>
        <v>6406</v>
      </c>
      <c r="G1343">
        <f t="shared" ca="1" si="265"/>
        <v>25</v>
      </c>
      <c r="H1343">
        <f t="shared" ca="1" si="266"/>
        <v>4804.5</v>
      </c>
      <c r="I1343">
        <f t="shared" ca="1" si="267"/>
        <v>1</v>
      </c>
      <c r="J1343">
        <f t="shared" ca="1" si="268"/>
        <v>0</v>
      </c>
      <c r="K1343">
        <f t="shared" ca="1" si="269"/>
        <v>0</v>
      </c>
      <c r="L1343">
        <f t="shared" ca="1" si="270"/>
        <v>0</v>
      </c>
      <c r="M1343">
        <f t="shared" ca="1" si="271"/>
        <v>4</v>
      </c>
      <c r="N1343">
        <f t="shared" ca="1" si="272"/>
        <v>0</v>
      </c>
    </row>
    <row r="1344" spans="1:14" x14ac:dyDescent="0.35">
      <c r="A1344" t="s">
        <v>1361</v>
      </c>
      <c r="B1344" t="str">
        <f t="shared" si="260"/>
        <v>Test</v>
      </c>
      <c r="C1344">
        <f t="shared" ca="1" si="261"/>
        <v>31</v>
      </c>
      <c r="D1344" t="str">
        <f t="shared" ca="1" si="262"/>
        <v>Male</v>
      </c>
      <c r="E1344" t="str">
        <f t="shared" ca="1" si="263"/>
        <v>Accessories</v>
      </c>
      <c r="F1344">
        <f t="shared" ca="1" si="264"/>
        <v>6176</v>
      </c>
      <c r="G1344">
        <f t="shared" ca="1" si="265"/>
        <v>15</v>
      </c>
      <c r="H1344">
        <f t="shared" ca="1" si="266"/>
        <v>5249.5999999999995</v>
      </c>
      <c r="I1344">
        <f t="shared" ca="1" si="267"/>
        <v>1</v>
      </c>
      <c r="J1344">
        <f t="shared" ca="1" si="268"/>
        <v>1</v>
      </c>
      <c r="K1344">
        <f t="shared" ca="1" si="269"/>
        <v>0</v>
      </c>
      <c r="L1344">
        <f t="shared" ca="1" si="270"/>
        <v>0</v>
      </c>
      <c r="M1344">
        <f t="shared" ca="1" si="271"/>
        <v>6</v>
      </c>
      <c r="N1344">
        <f t="shared" ca="1" si="272"/>
        <v>0</v>
      </c>
    </row>
    <row r="1345" spans="1:14" x14ac:dyDescent="0.35">
      <c r="A1345" t="s">
        <v>1362</v>
      </c>
      <c r="B1345" t="str">
        <f t="shared" si="260"/>
        <v>Test</v>
      </c>
      <c r="C1345">
        <f t="shared" ca="1" si="261"/>
        <v>42</v>
      </c>
      <c r="D1345" t="str">
        <f t="shared" ca="1" si="262"/>
        <v>Female</v>
      </c>
      <c r="E1345" t="str">
        <f t="shared" ca="1" si="263"/>
        <v>Accessories</v>
      </c>
      <c r="F1345">
        <f t="shared" ca="1" si="264"/>
        <v>3796</v>
      </c>
      <c r="G1345">
        <f t="shared" ca="1" si="265"/>
        <v>20</v>
      </c>
      <c r="H1345">
        <f t="shared" ca="1" si="266"/>
        <v>3036.8</v>
      </c>
      <c r="I1345">
        <f t="shared" ca="1" si="267"/>
        <v>1</v>
      </c>
      <c r="J1345">
        <f t="shared" ca="1" si="268"/>
        <v>0</v>
      </c>
      <c r="K1345">
        <f t="shared" ca="1" si="269"/>
        <v>0</v>
      </c>
      <c r="L1345">
        <f t="shared" ca="1" si="270"/>
        <v>0</v>
      </c>
      <c r="M1345">
        <f t="shared" ca="1" si="271"/>
        <v>2</v>
      </c>
      <c r="N1345">
        <f t="shared" ca="1" si="272"/>
        <v>0</v>
      </c>
    </row>
    <row r="1346" spans="1:14" x14ac:dyDescent="0.35">
      <c r="A1346" t="s">
        <v>1363</v>
      </c>
      <c r="B1346" t="str">
        <f t="shared" si="260"/>
        <v>Test</v>
      </c>
      <c r="C1346">
        <f t="shared" ca="1" si="261"/>
        <v>45</v>
      </c>
      <c r="D1346" t="str">
        <f t="shared" ca="1" si="262"/>
        <v>Male</v>
      </c>
      <c r="E1346" t="str">
        <f t="shared" ca="1" si="263"/>
        <v>Jeans</v>
      </c>
      <c r="F1346">
        <f t="shared" ca="1" si="264"/>
        <v>5854</v>
      </c>
      <c r="G1346">
        <f t="shared" ca="1" si="265"/>
        <v>20</v>
      </c>
      <c r="H1346">
        <f t="shared" ca="1" si="266"/>
        <v>4683.2</v>
      </c>
      <c r="I1346">
        <f t="shared" ca="1" si="267"/>
        <v>0</v>
      </c>
      <c r="J1346">
        <f t="shared" ca="1" si="268"/>
        <v>0</v>
      </c>
      <c r="K1346">
        <f t="shared" ca="1" si="269"/>
        <v>0</v>
      </c>
      <c r="L1346">
        <f t="shared" ca="1" si="270"/>
        <v>0</v>
      </c>
      <c r="M1346">
        <f t="shared" ca="1" si="271"/>
        <v>5</v>
      </c>
      <c r="N1346">
        <f t="shared" ca="1" si="272"/>
        <v>0</v>
      </c>
    </row>
    <row r="1347" spans="1:14" x14ac:dyDescent="0.35">
      <c r="A1347" t="s">
        <v>1364</v>
      </c>
      <c r="B1347" t="str">
        <f t="shared" si="260"/>
        <v>Test</v>
      </c>
      <c r="C1347">
        <f t="shared" ca="1" si="261"/>
        <v>33</v>
      </c>
      <c r="D1347" t="str">
        <f t="shared" ca="1" si="262"/>
        <v>Female</v>
      </c>
      <c r="E1347" t="str">
        <f t="shared" ca="1" si="263"/>
        <v>Dresses</v>
      </c>
      <c r="F1347">
        <f t="shared" ca="1" si="264"/>
        <v>5244</v>
      </c>
      <c r="G1347">
        <f t="shared" ca="1" si="265"/>
        <v>25</v>
      </c>
      <c r="H1347">
        <f t="shared" ca="1" si="266"/>
        <v>3933</v>
      </c>
      <c r="I1347">
        <f t="shared" ca="1" si="267"/>
        <v>1</v>
      </c>
      <c r="J1347">
        <f t="shared" ca="1" si="268"/>
        <v>1</v>
      </c>
      <c r="K1347">
        <f t="shared" ca="1" si="269"/>
        <v>0</v>
      </c>
      <c r="L1347">
        <f t="shared" ca="1" si="270"/>
        <v>0</v>
      </c>
      <c r="M1347">
        <f t="shared" ca="1" si="271"/>
        <v>6</v>
      </c>
      <c r="N1347">
        <f t="shared" ca="1" si="272"/>
        <v>0</v>
      </c>
    </row>
    <row r="1348" spans="1:14" x14ac:dyDescent="0.35">
      <c r="A1348" t="s">
        <v>1365</v>
      </c>
      <c r="B1348" t="str">
        <f t="shared" si="260"/>
        <v>Test</v>
      </c>
      <c r="C1348">
        <f t="shared" ca="1" si="261"/>
        <v>24</v>
      </c>
      <c r="D1348" t="str">
        <f t="shared" ca="1" si="262"/>
        <v>Male</v>
      </c>
      <c r="E1348" t="str">
        <f t="shared" ca="1" si="263"/>
        <v>Accessories</v>
      </c>
      <c r="F1348">
        <f t="shared" ca="1" si="264"/>
        <v>3990</v>
      </c>
      <c r="G1348">
        <f t="shared" ca="1" si="265"/>
        <v>20</v>
      </c>
      <c r="H1348">
        <f t="shared" ca="1" si="266"/>
        <v>3192</v>
      </c>
      <c r="I1348">
        <f t="shared" ca="1" si="267"/>
        <v>1</v>
      </c>
      <c r="J1348">
        <f t="shared" ca="1" si="268"/>
        <v>1</v>
      </c>
      <c r="K1348">
        <f t="shared" ca="1" si="269"/>
        <v>1</v>
      </c>
      <c r="L1348">
        <f t="shared" ca="1" si="270"/>
        <v>3192</v>
      </c>
      <c r="M1348">
        <f t="shared" ca="1" si="271"/>
        <v>2</v>
      </c>
      <c r="N1348">
        <f t="shared" ca="1" si="272"/>
        <v>1</v>
      </c>
    </row>
    <row r="1349" spans="1:14" x14ac:dyDescent="0.35">
      <c r="A1349" t="s">
        <v>1366</v>
      </c>
      <c r="B1349" t="str">
        <f t="shared" ref="B1349:B1412" si="273">IF(ROW()&lt;=1001,"Control","Test")</f>
        <v>Test</v>
      </c>
      <c r="C1349">
        <f t="shared" ref="C1349:C1412" ca="1" si="274">RANDBETWEEN(18,45)</f>
        <v>38</v>
      </c>
      <c r="D1349" t="str">
        <f t="shared" ref="D1349:D1412" ca="1" si="275">CHOOSE(RANDBETWEEN(1,20),"Female","Female","Female","Female","Female","Female","Female","Female","Female","Female","Male","Male","Male","Male","Male","Male","Male","Male","Other","Other")</f>
        <v>Male</v>
      </c>
      <c r="E1349" t="str">
        <f t="shared" ref="E1349:E1412" ca="1" si="276">CHOOSE(RANDBETWEEN(1,8),"T-shirts","Dresses","Jeans","Shoes","Ethnic Wear","Tops","Sportswear","Accessories")</f>
        <v>Dresses</v>
      </c>
      <c r="F1349">
        <f t="shared" ref="F1349:F1412" ca="1" si="277">RANDBETWEEN(300,8000)</f>
        <v>4352</v>
      </c>
      <c r="G1349">
        <f t="shared" ref="G1349:G1412" ca="1" si="278">IF(B1349="Control",10,CHOOSE(RANDBETWEEN(1,3),15,20,25))</f>
        <v>25</v>
      </c>
      <c r="H1349">
        <f t="shared" ref="H1349:H1412" ca="1" si="279">F1349*(1-G1349/100)</f>
        <v>3264</v>
      </c>
      <c r="I1349">
        <f t="shared" ref="I1349:I1412" ca="1" si="280">IF(RAND()&lt;0.85,1,0)</f>
        <v>1</v>
      </c>
      <c r="J1349">
        <f t="shared" ref="J1349:J1412" ca="1" si="281">IF(I1349=1,IF(RAND()&lt;0.55,1,0),0)</f>
        <v>0</v>
      </c>
      <c r="K1349">
        <f t="shared" ref="K1349:K1412" ca="1" si="282">IF(J1349=1,IF(B1349="Test",IF(RAND()&lt;0.4,1,0),IF(RAND()&lt;0.34,1,0)),0)</f>
        <v>0</v>
      </c>
      <c r="L1349">
        <f t="shared" ref="L1349:L1412" ca="1" si="283">IF(K1349=1,H1349,0)</f>
        <v>0</v>
      </c>
      <c r="M1349">
        <f t="shared" ref="M1349:M1412" ca="1" si="284">RANDBETWEEN(1,7)</f>
        <v>4</v>
      </c>
      <c r="N1349">
        <f t="shared" ref="N1349:N1412" ca="1" si="285">IF(K1349=1,IF(RAND()&lt;0.15,1,0),0)</f>
        <v>0</v>
      </c>
    </row>
    <row r="1350" spans="1:14" x14ac:dyDescent="0.35">
      <c r="A1350" t="s">
        <v>1367</v>
      </c>
      <c r="B1350" t="str">
        <f t="shared" si="273"/>
        <v>Test</v>
      </c>
      <c r="C1350">
        <f t="shared" ca="1" si="274"/>
        <v>26</v>
      </c>
      <c r="D1350" t="str">
        <f t="shared" ca="1" si="275"/>
        <v>Male</v>
      </c>
      <c r="E1350" t="str">
        <f t="shared" ca="1" si="276"/>
        <v>Tops</v>
      </c>
      <c r="F1350">
        <f t="shared" ca="1" si="277"/>
        <v>1569</v>
      </c>
      <c r="G1350">
        <f t="shared" ca="1" si="278"/>
        <v>15</v>
      </c>
      <c r="H1350">
        <f t="shared" ca="1" si="279"/>
        <v>1333.6499999999999</v>
      </c>
      <c r="I1350">
        <f t="shared" ca="1" si="280"/>
        <v>1</v>
      </c>
      <c r="J1350">
        <f t="shared" ca="1" si="281"/>
        <v>1</v>
      </c>
      <c r="K1350">
        <f t="shared" ca="1" si="282"/>
        <v>1</v>
      </c>
      <c r="L1350">
        <f t="shared" ca="1" si="283"/>
        <v>1333.6499999999999</v>
      </c>
      <c r="M1350">
        <f t="shared" ca="1" si="284"/>
        <v>3</v>
      </c>
      <c r="N1350">
        <f t="shared" ca="1" si="285"/>
        <v>0</v>
      </c>
    </row>
    <row r="1351" spans="1:14" x14ac:dyDescent="0.35">
      <c r="A1351" t="s">
        <v>1368</v>
      </c>
      <c r="B1351" t="str">
        <f t="shared" si="273"/>
        <v>Test</v>
      </c>
      <c r="C1351">
        <f t="shared" ca="1" si="274"/>
        <v>32</v>
      </c>
      <c r="D1351" t="str">
        <f t="shared" ca="1" si="275"/>
        <v>Male</v>
      </c>
      <c r="E1351" t="str">
        <f t="shared" ca="1" si="276"/>
        <v>Shoes</v>
      </c>
      <c r="F1351">
        <f t="shared" ca="1" si="277"/>
        <v>3451</v>
      </c>
      <c r="G1351">
        <f t="shared" ca="1" si="278"/>
        <v>25</v>
      </c>
      <c r="H1351">
        <f t="shared" ca="1" si="279"/>
        <v>2588.25</v>
      </c>
      <c r="I1351">
        <f t="shared" ca="1" si="280"/>
        <v>1</v>
      </c>
      <c r="J1351">
        <f t="shared" ca="1" si="281"/>
        <v>0</v>
      </c>
      <c r="K1351">
        <f t="shared" ca="1" si="282"/>
        <v>0</v>
      </c>
      <c r="L1351">
        <f t="shared" ca="1" si="283"/>
        <v>0</v>
      </c>
      <c r="M1351">
        <f t="shared" ca="1" si="284"/>
        <v>4</v>
      </c>
      <c r="N1351">
        <f t="shared" ca="1" si="285"/>
        <v>0</v>
      </c>
    </row>
    <row r="1352" spans="1:14" x14ac:dyDescent="0.35">
      <c r="A1352" t="s">
        <v>1369</v>
      </c>
      <c r="B1352" t="str">
        <f t="shared" si="273"/>
        <v>Test</v>
      </c>
      <c r="C1352">
        <f t="shared" ca="1" si="274"/>
        <v>30</v>
      </c>
      <c r="D1352" t="str">
        <f t="shared" ca="1" si="275"/>
        <v>Male</v>
      </c>
      <c r="E1352" t="str">
        <f t="shared" ca="1" si="276"/>
        <v>Dresses</v>
      </c>
      <c r="F1352">
        <f t="shared" ca="1" si="277"/>
        <v>5718</v>
      </c>
      <c r="G1352">
        <f t="shared" ca="1" si="278"/>
        <v>25</v>
      </c>
      <c r="H1352">
        <f t="shared" ca="1" si="279"/>
        <v>4288.5</v>
      </c>
      <c r="I1352">
        <f t="shared" ca="1" si="280"/>
        <v>0</v>
      </c>
      <c r="J1352">
        <f t="shared" ca="1" si="281"/>
        <v>0</v>
      </c>
      <c r="K1352">
        <f t="shared" ca="1" si="282"/>
        <v>0</v>
      </c>
      <c r="L1352">
        <f t="shared" ca="1" si="283"/>
        <v>0</v>
      </c>
      <c r="M1352">
        <f t="shared" ca="1" si="284"/>
        <v>2</v>
      </c>
      <c r="N1352">
        <f t="shared" ca="1" si="285"/>
        <v>0</v>
      </c>
    </row>
    <row r="1353" spans="1:14" x14ac:dyDescent="0.35">
      <c r="A1353" t="s">
        <v>1370</v>
      </c>
      <c r="B1353" t="str">
        <f t="shared" si="273"/>
        <v>Test</v>
      </c>
      <c r="C1353">
        <f t="shared" ca="1" si="274"/>
        <v>32</v>
      </c>
      <c r="D1353" t="str">
        <f t="shared" ca="1" si="275"/>
        <v>Male</v>
      </c>
      <c r="E1353" t="str">
        <f t="shared" ca="1" si="276"/>
        <v>Tops</v>
      </c>
      <c r="F1353">
        <f t="shared" ca="1" si="277"/>
        <v>4038</v>
      </c>
      <c r="G1353">
        <f t="shared" ca="1" si="278"/>
        <v>25</v>
      </c>
      <c r="H1353">
        <f t="shared" ca="1" si="279"/>
        <v>3028.5</v>
      </c>
      <c r="I1353">
        <f t="shared" ca="1" si="280"/>
        <v>1</v>
      </c>
      <c r="J1353">
        <f t="shared" ca="1" si="281"/>
        <v>1</v>
      </c>
      <c r="K1353">
        <f t="shared" ca="1" si="282"/>
        <v>1</v>
      </c>
      <c r="L1353">
        <f t="shared" ca="1" si="283"/>
        <v>3028.5</v>
      </c>
      <c r="M1353">
        <f t="shared" ca="1" si="284"/>
        <v>2</v>
      </c>
      <c r="N1353">
        <f t="shared" ca="1" si="285"/>
        <v>0</v>
      </c>
    </row>
    <row r="1354" spans="1:14" x14ac:dyDescent="0.35">
      <c r="A1354" t="s">
        <v>1371</v>
      </c>
      <c r="B1354" t="str">
        <f t="shared" si="273"/>
        <v>Test</v>
      </c>
      <c r="C1354">
        <f t="shared" ca="1" si="274"/>
        <v>29</v>
      </c>
      <c r="D1354" t="str">
        <f t="shared" ca="1" si="275"/>
        <v>Male</v>
      </c>
      <c r="E1354" t="str">
        <f t="shared" ca="1" si="276"/>
        <v>Dresses</v>
      </c>
      <c r="F1354">
        <f t="shared" ca="1" si="277"/>
        <v>7450</v>
      </c>
      <c r="G1354">
        <f t="shared" ca="1" si="278"/>
        <v>25</v>
      </c>
      <c r="H1354">
        <f t="shared" ca="1" si="279"/>
        <v>5587.5</v>
      </c>
      <c r="I1354">
        <f t="shared" ca="1" si="280"/>
        <v>1</v>
      </c>
      <c r="J1354">
        <f t="shared" ca="1" si="281"/>
        <v>0</v>
      </c>
      <c r="K1354">
        <f t="shared" ca="1" si="282"/>
        <v>0</v>
      </c>
      <c r="L1354">
        <f t="shared" ca="1" si="283"/>
        <v>0</v>
      </c>
      <c r="M1354">
        <f t="shared" ca="1" si="284"/>
        <v>7</v>
      </c>
      <c r="N1354">
        <f t="shared" ca="1" si="285"/>
        <v>0</v>
      </c>
    </row>
    <row r="1355" spans="1:14" x14ac:dyDescent="0.35">
      <c r="A1355" t="s">
        <v>1372</v>
      </c>
      <c r="B1355" t="str">
        <f t="shared" si="273"/>
        <v>Test</v>
      </c>
      <c r="C1355">
        <f t="shared" ca="1" si="274"/>
        <v>35</v>
      </c>
      <c r="D1355" t="str">
        <f t="shared" ca="1" si="275"/>
        <v>Other</v>
      </c>
      <c r="E1355" t="str">
        <f t="shared" ca="1" si="276"/>
        <v>Dresses</v>
      </c>
      <c r="F1355">
        <f t="shared" ca="1" si="277"/>
        <v>4793</v>
      </c>
      <c r="G1355">
        <f t="shared" ca="1" si="278"/>
        <v>25</v>
      </c>
      <c r="H1355">
        <f t="shared" ca="1" si="279"/>
        <v>3594.75</v>
      </c>
      <c r="I1355">
        <f t="shared" ca="1" si="280"/>
        <v>1</v>
      </c>
      <c r="J1355">
        <f t="shared" ca="1" si="281"/>
        <v>1</v>
      </c>
      <c r="K1355">
        <f t="shared" ca="1" si="282"/>
        <v>1</v>
      </c>
      <c r="L1355">
        <f t="shared" ca="1" si="283"/>
        <v>3594.75</v>
      </c>
      <c r="M1355">
        <f t="shared" ca="1" si="284"/>
        <v>1</v>
      </c>
      <c r="N1355">
        <f t="shared" ca="1" si="285"/>
        <v>0</v>
      </c>
    </row>
    <row r="1356" spans="1:14" x14ac:dyDescent="0.35">
      <c r="A1356" t="s">
        <v>1373</v>
      </c>
      <c r="B1356" t="str">
        <f t="shared" si="273"/>
        <v>Test</v>
      </c>
      <c r="C1356">
        <f t="shared" ca="1" si="274"/>
        <v>37</v>
      </c>
      <c r="D1356" t="str">
        <f t="shared" ca="1" si="275"/>
        <v>Female</v>
      </c>
      <c r="E1356" t="str">
        <f t="shared" ca="1" si="276"/>
        <v>Sportswear</v>
      </c>
      <c r="F1356">
        <f t="shared" ca="1" si="277"/>
        <v>692</v>
      </c>
      <c r="G1356">
        <f t="shared" ca="1" si="278"/>
        <v>25</v>
      </c>
      <c r="H1356">
        <f t="shared" ca="1" si="279"/>
        <v>519</v>
      </c>
      <c r="I1356">
        <f t="shared" ca="1" si="280"/>
        <v>1</v>
      </c>
      <c r="J1356">
        <f t="shared" ca="1" si="281"/>
        <v>1</v>
      </c>
      <c r="K1356">
        <f t="shared" ca="1" si="282"/>
        <v>0</v>
      </c>
      <c r="L1356">
        <f t="shared" ca="1" si="283"/>
        <v>0</v>
      </c>
      <c r="M1356">
        <f t="shared" ca="1" si="284"/>
        <v>4</v>
      </c>
      <c r="N1356">
        <f t="shared" ca="1" si="285"/>
        <v>0</v>
      </c>
    </row>
    <row r="1357" spans="1:14" x14ac:dyDescent="0.35">
      <c r="A1357" t="s">
        <v>1374</v>
      </c>
      <c r="B1357" t="str">
        <f t="shared" si="273"/>
        <v>Test</v>
      </c>
      <c r="C1357">
        <f t="shared" ca="1" si="274"/>
        <v>31</v>
      </c>
      <c r="D1357" t="str">
        <f t="shared" ca="1" si="275"/>
        <v>Other</v>
      </c>
      <c r="E1357" t="str">
        <f t="shared" ca="1" si="276"/>
        <v>Jeans</v>
      </c>
      <c r="F1357">
        <f t="shared" ca="1" si="277"/>
        <v>4155</v>
      </c>
      <c r="G1357">
        <f t="shared" ca="1" si="278"/>
        <v>20</v>
      </c>
      <c r="H1357">
        <f t="shared" ca="1" si="279"/>
        <v>3324</v>
      </c>
      <c r="I1357">
        <f t="shared" ca="1" si="280"/>
        <v>1</v>
      </c>
      <c r="J1357">
        <f t="shared" ca="1" si="281"/>
        <v>0</v>
      </c>
      <c r="K1357">
        <f t="shared" ca="1" si="282"/>
        <v>0</v>
      </c>
      <c r="L1357">
        <f t="shared" ca="1" si="283"/>
        <v>0</v>
      </c>
      <c r="M1357">
        <f t="shared" ca="1" si="284"/>
        <v>7</v>
      </c>
      <c r="N1357">
        <f t="shared" ca="1" si="285"/>
        <v>0</v>
      </c>
    </row>
    <row r="1358" spans="1:14" x14ac:dyDescent="0.35">
      <c r="A1358" t="s">
        <v>1375</v>
      </c>
      <c r="B1358" t="str">
        <f t="shared" si="273"/>
        <v>Test</v>
      </c>
      <c r="C1358">
        <f t="shared" ca="1" si="274"/>
        <v>26</v>
      </c>
      <c r="D1358" t="str">
        <f t="shared" ca="1" si="275"/>
        <v>Other</v>
      </c>
      <c r="E1358" t="str">
        <f t="shared" ca="1" si="276"/>
        <v>Sportswear</v>
      </c>
      <c r="F1358">
        <f t="shared" ca="1" si="277"/>
        <v>6278</v>
      </c>
      <c r="G1358">
        <f t="shared" ca="1" si="278"/>
        <v>20</v>
      </c>
      <c r="H1358">
        <f t="shared" ca="1" si="279"/>
        <v>5022.4000000000005</v>
      </c>
      <c r="I1358">
        <f t="shared" ca="1" si="280"/>
        <v>1</v>
      </c>
      <c r="J1358">
        <f t="shared" ca="1" si="281"/>
        <v>0</v>
      </c>
      <c r="K1358">
        <f t="shared" ca="1" si="282"/>
        <v>0</v>
      </c>
      <c r="L1358">
        <f t="shared" ca="1" si="283"/>
        <v>0</v>
      </c>
      <c r="M1358">
        <f t="shared" ca="1" si="284"/>
        <v>2</v>
      </c>
      <c r="N1358">
        <f t="shared" ca="1" si="285"/>
        <v>0</v>
      </c>
    </row>
    <row r="1359" spans="1:14" x14ac:dyDescent="0.35">
      <c r="A1359" t="s">
        <v>1376</v>
      </c>
      <c r="B1359" t="str">
        <f t="shared" si="273"/>
        <v>Test</v>
      </c>
      <c r="C1359">
        <f t="shared" ca="1" si="274"/>
        <v>33</v>
      </c>
      <c r="D1359" t="str">
        <f t="shared" ca="1" si="275"/>
        <v>Male</v>
      </c>
      <c r="E1359" t="str">
        <f t="shared" ca="1" si="276"/>
        <v>Sportswear</v>
      </c>
      <c r="F1359">
        <f t="shared" ca="1" si="277"/>
        <v>1518</v>
      </c>
      <c r="G1359">
        <f t="shared" ca="1" si="278"/>
        <v>25</v>
      </c>
      <c r="H1359">
        <f t="shared" ca="1" si="279"/>
        <v>1138.5</v>
      </c>
      <c r="I1359">
        <f t="shared" ca="1" si="280"/>
        <v>1</v>
      </c>
      <c r="J1359">
        <f t="shared" ca="1" si="281"/>
        <v>1</v>
      </c>
      <c r="K1359">
        <f t="shared" ca="1" si="282"/>
        <v>1</v>
      </c>
      <c r="L1359">
        <f t="shared" ca="1" si="283"/>
        <v>1138.5</v>
      </c>
      <c r="M1359">
        <f t="shared" ca="1" si="284"/>
        <v>3</v>
      </c>
      <c r="N1359">
        <f t="shared" ca="1" si="285"/>
        <v>0</v>
      </c>
    </row>
    <row r="1360" spans="1:14" x14ac:dyDescent="0.35">
      <c r="A1360" t="s">
        <v>1377</v>
      </c>
      <c r="B1360" t="str">
        <f t="shared" si="273"/>
        <v>Test</v>
      </c>
      <c r="C1360">
        <f t="shared" ca="1" si="274"/>
        <v>35</v>
      </c>
      <c r="D1360" t="str">
        <f t="shared" ca="1" si="275"/>
        <v>Female</v>
      </c>
      <c r="E1360" t="str">
        <f t="shared" ca="1" si="276"/>
        <v>Dresses</v>
      </c>
      <c r="F1360">
        <f t="shared" ca="1" si="277"/>
        <v>6237</v>
      </c>
      <c r="G1360">
        <f t="shared" ca="1" si="278"/>
        <v>25</v>
      </c>
      <c r="H1360">
        <f t="shared" ca="1" si="279"/>
        <v>4677.75</v>
      </c>
      <c r="I1360">
        <f t="shared" ca="1" si="280"/>
        <v>0</v>
      </c>
      <c r="J1360">
        <f t="shared" ca="1" si="281"/>
        <v>0</v>
      </c>
      <c r="K1360">
        <f t="shared" ca="1" si="282"/>
        <v>0</v>
      </c>
      <c r="L1360">
        <f t="shared" ca="1" si="283"/>
        <v>0</v>
      </c>
      <c r="M1360">
        <f t="shared" ca="1" si="284"/>
        <v>5</v>
      </c>
      <c r="N1360">
        <f t="shared" ca="1" si="285"/>
        <v>0</v>
      </c>
    </row>
    <row r="1361" spans="1:14" x14ac:dyDescent="0.35">
      <c r="A1361" t="s">
        <v>1378</v>
      </c>
      <c r="B1361" t="str">
        <f t="shared" si="273"/>
        <v>Test</v>
      </c>
      <c r="C1361">
        <f t="shared" ca="1" si="274"/>
        <v>39</v>
      </c>
      <c r="D1361" t="str">
        <f t="shared" ca="1" si="275"/>
        <v>Male</v>
      </c>
      <c r="E1361" t="str">
        <f t="shared" ca="1" si="276"/>
        <v>Accessories</v>
      </c>
      <c r="F1361">
        <f t="shared" ca="1" si="277"/>
        <v>3541</v>
      </c>
      <c r="G1361">
        <f t="shared" ca="1" si="278"/>
        <v>25</v>
      </c>
      <c r="H1361">
        <f t="shared" ca="1" si="279"/>
        <v>2655.75</v>
      </c>
      <c r="I1361">
        <f t="shared" ca="1" si="280"/>
        <v>1</v>
      </c>
      <c r="J1361">
        <f t="shared" ca="1" si="281"/>
        <v>0</v>
      </c>
      <c r="K1361">
        <f t="shared" ca="1" si="282"/>
        <v>0</v>
      </c>
      <c r="L1361">
        <f t="shared" ca="1" si="283"/>
        <v>0</v>
      </c>
      <c r="M1361">
        <f t="shared" ca="1" si="284"/>
        <v>1</v>
      </c>
      <c r="N1361">
        <f t="shared" ca="1" si="285"/>
        <v>0</v>
      </c>
    </row>
    <row r="1362" spans="1:14" x14ac:dyDescent="0.35">
      <c r="A1362" t="s">
        <v>1379</v>
      </c>
      <c r="B1362" t="str">
        <f t="shared" si="273"/>
        <v>Test</v>
      </c>
      <c r="C1362">
        <f t="shared" ca="1" si="274"/>
        <v>42</v>
      </c>
      <c r="D1362" t="str">
        <f t="shared" ca="1" si="275"/>
        <v>Male</v>
      </c>
      <c r="E1362" t="str">
        <f t="shared" ca="1" si="276"/>
        <v>Ethnic Wear</v>
      </c>
      <c r="F1362">
        <f t="shared" ca="1" si="277"/>
        <v>3726</v>
      </c>
      <c r="G1362">
        <f t="shared" ca="1" si="278"/>
        <v>20</v>
      </c>
      <c r="H1362">
        <f t="shared" ca="1" si="279"/>
        <v>2980.8</v>
      </c>
      <c r="I1362">
        <f t="shared" ca="1" si="280"/>
        <v>1</v>
      </c>
      <c r="J1362">
        <f t="shared" ca="1" si="281"/>
        <v>0</v>
      </c>
      <c r="K1362">
        <f t="shared" ca="1" si="282"/>
        <v>0</v>
      </c>
      <c r="L1362">
        <f t="shared" ca="1" si="283"/>
        <v>0</v>
      </c>
      <c r="M1362">
        <f t="shared" ca="1" si="284"/>
        <v>7</v>
      </c>
      <c r="N1362">
        <f t="shared" ca="1" si="285"/>
        <v>0</v>
      </c>
    </row>
    <row r="1363" spans="1:14" x14ac:dyDescent="0.35">
      <c r="A1363" t="s">
        <v>1380</v>
      </c>
      <c r="B1363" t="str">
        <f t="shared" si="273"/>
        <v>Test</v>
      </c>
      <c r="C1363">
        <f t="shared" ca="1" si="274"/>
        <v>18</v>
      </c>
      <c r="D1363" t="str">
        <f t="shared" ca="1" si="275"/>
        <v>Male</v>
      </c>
      <c r="E1363" t="str">
        <f t="shared" ca="1" si="276"/>
        <v>Tops</v>
      </c>
      <c r="F1363">
        <f t="shared" ca="1" si="277"/>
        <v>5101</v>
      </c>
      <c r="G1363">
        <f t="shared" ca="1" si="278"/>
        <v>25</v>
      </c>
      <c r="H1363">
        <f t="shared" ca="1" si="279"/>
        <v>3825.75</v>
      </c>
      <c r="I1363">
        <f t="shared" ca="1" si="280"/>
        <v>1</v>
      </c>
      <c r="J1363">
        <f t="shared" ca="1" si="281"/>
        <v>0</v>
      </c>
      <c r="K1363">
        <f t="shared" ca="1" si="282"/>
        <v>0</v>
      </c>
      <c r="L1363">
        <f t="shared" ca="1" si="283"/>
        <v>0</v>
      </c>
      <c r="M1363">
        <f t="shared" ca="1" si="284"/>
        <v>3</v>
      </c>
      <c r="N1363">
        <f t="shared" ca="1" si="285"/>
        <v>0</v>
      </c>
    </row>
    <row r="1364" spans="1:14" x14ac:dyDescent="0.35">
      <c r="A1364" t="s">
        <v>1381</v>
      </c>
      <c r="B1364" t="str">
        <f t="shared" si="273"/>
        <v>Test</v>
      </c>
      <c r="C1364">
        <f t="shared" ca="1" si="274"/>
        <v>36</v>
      </c>
      <c r="D1364" t="str">
        <f t="shared" ca="1" si="275"/>
        <v>Male</v>
      </c>
      <c r="E1364" t="str">
        <f t="shared" ca="1" si="276"/>
        <v>Dresses</v>
      </c>
      <c r="F1364">
        <f t="shared" ca="1" si="277"/>
        <v>3907</v>
      </c>
      <c r="G1364">
        <f t="shared" ca="1" si="278"/>
        <v>15</v>
      </c>
      <c r="H1364">
        <f t="shared" ca="1" si="279"/>
        <v>3320.95</v>
      </c>
      <c r="I1364">
        <f t="shared" ca="1" si="280"/>
        <v>1</v>
      </c>
      <c r="J1364">
        <f t="shared" ca="1" si="281"/>
        <v>1</v>
      </c>
      <c r="K1364">
        <f t="shared" ca="1" si="282"/>
        <v>0</v>
      </c>
      <c r="L1364">
        <f t="shared" ca="1" si="283"/>
        <v>0</v>
      </c>
      <c r="M1364">
        <f t="shared" ca="1" si="284"/>
        <v>2</v>
      </c>
      <c r="N1364">
        <f t="shared" ca="1" si="285"/>
        <v>0</v>
      </c>
    </row>
    <row r="1365" spans="1:14" x14ac:dyDescent="0.35">
      <c r="A1365" t="s">
        <v>1382</v>
      </c>
      <c r="B1365" t="str">
        <f t="shared" si="273"/>
        <v>Test</v>
      </c>
      <c r="C1365">
        <f t="shared" ca="1" si="274"/>
        <v>25</v>
      </c>
      <c r="D1365" t="str">
        <f t="shared" ca="1" si="275"/>
        <v>Female</v>
      </c>
      <c r="E1365" t="str">
        <f t="shared" ca="1" si="276"/>
        <v>Ethnic Wear</v>
      </c>
      <c r="F1365">
        <f t="shared" ca="1" si="277"/>
        <v>3819</v>
      </c>
      <c r="G1365">
        <f t="shared" ca="1" si="278"/>
        <v>20</v>
      </c>
      <c r="H1365">
        <f t="shared" ca="1" si="279"/>
        <v>3055.2000000000003</v>
      </c>
      <c r="I1365">
        <f t="shared" ca="1" si="280"/>
        <v>1</v>
      </c>
      <c r="J1365">
        <f t="shared" ca="1" si="281"/>
        <v>0</v>
      </c>
      <c r="K1365">
        <f t="shared" ca="1" si="282"/>
        <v>0</v>
      </c>
      <c r="L1365">
        <f t="shared" ca="1" si="283"/>
        <v>0</v>
      </c>
      <c r="M1365">
        <f t="shared" ca="1" si="284"/>
        <v>3</v>
      </c>
      <c r="N1365">
        <f t="shared" ca="1" si="285"/>
        <v>0</v>
      </c>
    </row>
    <row r="1366" spans="1:14" x14ac:dyDescent="0.35">
      <c r="A1366" t="s">
        <v>1383</v>
      </c>
      <c r="B1366" t="str">
        <f t="shared" si="273"/>
        <v>Test</v>
      </c>
      <c r="C1366">
        <f t="shared" ca="1" si="274"/>
        <v>21</v>
      </c>
      <c r="D1366" t="str">
        <f t="shared" ca="1" si="275"/>
        <v>Male</v>
      </c>
      <c r="E1366" t="str">
        <f t="shared" ca="1" si="276"/>
        <v>Dresses</v>
      </c>
      <c r="F1366">
        <f t="shared" ca="1" si="277"/>
        <v>3214</v>
      </c>
      <c r="G1366">
        <f t="shared" ca="1" si="278"/>
        <v>20</v>
      </c>
      <c r="H1366">
        <f t="shared" ca="1" si="279"/>
        <v>2571.2000000000003</v>
      </c>
      <c r="I1366">
        <f t="shared" ca="1" si="280"/>
        <v>1</v>
      </c>
      <c r="J1366">
        <f t="shared" ca="1" si="281"/>
        <v>1</v>
      </c>
      <c r="K1366">
        <f t="shared" ca="1" si="282"/>
        <v>1</v>
      </c>
      <c r="L1366">
        <f t="shared" ca="1" si="283"/>
        <v>2571.2000000000003</v>
      </c>
      <c r="M1366">
        <f t="shared" ca="1" si="284"/>
        <v>1</v>
      </c>
      <c r="N1366">
        <f t="shared" ca="1" si="285"/>
        <v>0</v>
      </c>
    </row>
    <row r="1367" spans="1:14" x14ac:dyDescent="0.35">
      <c r="A1367" t="s">
        <v>1384</v>
      </c>
      <c r="B1367" t="str">
        <f t="shared" si="273"/>
        <v>Test</v>
      </c>
      <c r="C1367">
        <f t="shared" ca="1" si="274"/>
        <v>31</v>
      </c>
      <c r="D1367" t="str">
        <f t="shared" ca="1" si="275"/>
        <v>Male</v>
      </c>
      <c r="E1367" t="str">
        <f t="shared" ca="1" si="276"/>
        <v>Accessories</v>
      </c>
      <c r="F1367">
        <f t="shared" ca="1" si="277"/>
        <v>2050</v>
      </c>
      <c r="G1367">
        <f t="shared" ca="1" si="278"/>
        <v>25</v>
      </c>
      <c r="H1367">
        <f t="shared" ca="1" si="279"/>
        <v>1537.5</v>
      </c>
      <c r="I1367">
        <f t="shared" ca="1" si="280"/>
        <v>1</v>
      </c>
      <c r="J1367">
        <f t="shared" ca="1" si="281"/>
        <v>1</v>
      </c>
      <c r="K1367">
        <f t="shared" ca="1" si="282"/>
        <v>0</v>
      </c>
      <c r="L1367">
        <f t="shared" ca="1" si="283"/>
        <v>0</v>
      </c>
      <c r="M1367">
        <f t="shared" ca="1" si="284"/>
        <v>5</v>
      </c>
      <c r="N1367">
        <f t="shared" ca="1" si="285"/>
        <v>0</v>
      </c>
    </row>
    <row r="1368" spans="1:14" x14ac:dyDescent="0.35">
      <c r="A1368" t="s">
        <v>1385</v>
      </c>
      <c r="B1368" t="str">
        <f t="shared" si="273"/>
        <v>Test</v>
      </c>
      <c r="C1368">
        <f t="shared" ca="1" si="274"/>
        <v>37</v>
      </c>
      <c r="D1368" t="str">
        <f t="shared" ca="1" si="275"/>
        <v>Female</v>
      </c>
      <c r="E1368" t="str">
        <f t="shared" ca="1" si="276"/>
        <v>Tops</v>
      </c>
      <c r="F1368">
        <f t="shared" ca="1" si="277"/>
        <v>1299</v>
      </c>
      <c r="G1368">
        <f t="shared" ca="1" si="278"/>
        <v>15</v>
      </c>
      <c r="H1368">
        <f t="shared" ca="1" si="279"/>
        <v>1104.1499999999999</v>
      </c>
      <c r="I1368">
        <f t="shared" ca="1" si="280"/>
        <v>1</v>
      </c>
      <c r="J1368">
        <f t="shared" ca="1" si="281"/>
        <v>1</v>
      </c>
      <c r="K1368">
        <f t="shared" ca="1" si="282"/>
        <v>0</v>
      </c>
      <c r="L1368">
        <f t="shared" ca="1" si="283"/>
        <v>0</v>
      </c>
      <c r="M1368">
        <f t="shared" ca="1" si="284"/>
        <v>6</v>
      </c>
      <c r="N1368">
        <f t="shared" ca="1" si="285"/>
        <v>0</v>
      </c>
    </row>
    <row r="1369" spans="1:14" x14ac:dyDescent="0.35">
      <c r="A1369" t="s">
        <v>1386</v>
      </c>
      <c r="B1369" t="str">
        <f t="shared" si="273"/>
        <v>Test</v>
      </c>
      <c r="C1369">
        <f t="shared" ca="1" si="274"/>
        <v>27</v>
      </c>
      <c r="D1369" t="str">
        <f t="shared" ca="1" si="275"/>
        <v>Male</v>
      </c>
      <c r="E1369" t="str">
        <f t="shared" ca="1" si="276"/>
        <v>T-shirts</v>
      </c>
      <c r="F1369">
        <f t="shared" ca="1" si="277"/>
        <v>1915</v>
      </c>
      <c r="G1369">
        <f t="shared" ca="1" si="278"/>
        <v>15</v>
      </c>
      <c r="H1369">
        <f t="shared" ca="1" si="279"/>
        <v>1627.75</v>
      </c>
      <c r="I1369">
        <f t="shared" ca="1" si="280"/>
        <v>0</v>
      </c>
      <c r="J1369">
        <f t="shared" ca="1" si="281"/>
        <v>0</v>
      </c>
      <c r="K1369">
        <f t="shared" ca="1" si="282"/>
        <v>0</v>
      </c>
      <c r="L1369">
        <f t="shared" ca="1" si="283"/>
        <v>0</v>
      </c>
      <c r="M1369">
        <f t="shared" ca="1" si="284"/>
        <v>6</v>
      </c>
      <c r="N1369">
        <f t="shared" ca="1" si="285"/>
        <v>0</v>
      </c>
    </row>
    <row r="1370" spans="1:14" x14ac:dyDescent="0.35">
      <c r="A1370" t="s">
        <v>1387</v>
      </c>
      <c r="B1370" t="str">
        <f t="shared" si="273"/>
        <v>Test</v>
      </c>
      <c r="C1370">
        <f t="shared" ca="1" si="274"/>
        <v>29</v>
      </c>
      <c r="D1370" t="str">
        <f t="shared" ca="1" si="275"/>
        <v>Male</v>
      </c>
      <c r="E1370" t="str">
        <f t="shared" ca="1" si="276"/>
        <v>T-shirts</v>
      </c>
      <c r="F1370">
        <f t="shared" ca="1" si="277"/>
        <v>2455</v>
      </c>
      <c r="G1370">
        <f t="shared" ca="1" si="278"/>
        <v>25</v>
      </c>
      <c r="H1370">
        <f t="shared" ca="1" si="279"/>
        <v>1841.25</v>
      </c>
      <c r="I1370">
        <f t="shared" ca="1" si="280"/>
        <v>1</v>
      </c>
      <c r="J1370">
        <f t="shared" ca="1" si="281"/>
        <v>1</v>
      </c>
      <c r="K1370">
        <f t="shared" ca="1" si="282"/>
        <v>0</v>
      </c>
      <c r="L1370">
        <f t="shared" ca="1" si="283"/>
        <v>0</v>
      </c>
      <c r="M1370">
        <f t="shared" ca="1" si="284"/>
        <v>7</v>
      </c>
      <c r="N1370">
        <f t="shared" ca="1" si="285"/>
        <v>0</v>
      </c>
    </row>
    <row r="1371" spans="1:14" x14ac:dyDescent="0.35">
      <c r="A1371" t="s">
        <v>1388</v>
      </c>
      <c r="B1371" t="str">
        <f t="shared" si="273"/>
        <v>Test</v>
      </c>
      <c r="C1371">
        <f t="shared" ca="1" si="274"/>
        <v>44</v>
      </c>
      <c r="D1371" t="str">
        <f t="shared" ca="1" si="275"/>
        <v>Female</v>
      </c>
      <c r="E1371" t="str">
        <f t="shared" ca="1" si="276"/>
        <v>T-shirts</v>
      </c>
      <c r="F1371">
        <f t="shared" ca="1" si="277"/>
        <v>6828</v>
      </c>
      <c r="G1371">
        <f t="shared" ca="1" si="278"/>
        <v>25</v>
      </c>
      <c r="H1371">
        <f t="shared" ca="1" si="279"/>
        <v>5121</v>
      </c>
      <c r="I1371">
        <f t="shared" ca="1" si="280"/>
        <v>1</v>
      </c>
      <c r="J1371">
        <f t="shared" ca="1" si="281"/>
        <v>1</v>
      </c>
      <c r="K1371">
        <f t="shared" ca="1" si="282"/>
        <v>0</v>
      </c>
      <c r="L1371">
        <f t="shared" ca="1" si="283"/>
        <v>0</v>
      </c>
      <c r="M1371">
        <f t="shared" ca="1" si="284"/>
        <v>7</v>
      </c>
      <c r="N1371">
        <f t="shared" ca="1" si="285"/>
        <v>0</v>
      </c>
    </row>
    <row r="1372" spans="1:14" x14ac:dyDescent="0.35">
      <c r="A1372" t="s">
        <v>1389</v>
      </c>
      <c r="B1372" t="str">
        <f t="shared" si="273"/>
        <v>Test</v>
      </c>
      <c r="C1372">
        <f t="shared" ca="1" si="274"/>
        <v>19</v>
      </c>
      <c r="D1372" t="str">
        <f t="shared" ca="1" si="275"/>
        <v>Female</v>
      </c>
      <c r="E1372" t="str">
        <f t="shared" ca="1" si="276"/>
        <v>Jeans</v>
      </c>
      <c r="F1372">
        <f t="shared" ca="1" si="277"/>
        <v>2066</v>
      </c>
      <c r="G1372">
        <f t="shared" ca="1" si="278"/>
        <v>15</v>
      </c>
      <c r="H1372">
        <f t="shared" ca="1" si="279"/>
        <v>1756.1</v>
      </c>
      <c r="I1372">
        <f t="shared" ca="1" si="280"/>
        <v>1</v>
      </c>
      <c r="J1372">
        <f t="shared" ca="1" si="281"/>
        <v>1</v>
      </c>
      <c r="K1372">
        <f t="shared" ca="1" si="282"/>
        <v>0</v>
      </c>
      <c r="L1372">
        <f t="shared" ca="1" si="283"/>
        <v>0</v>
      </c>
      <c r="M1372">
        <f t="shared" ca="1" si="284"/>
        <v>6</v>
      </c>
      <c r="N1372">
        <f t="shared" ca="1" si="285"/>
        <v>0</v>
      </c>
    </row>
    <row r="1373" spans="1:14" x14ac:dyDescent="0.35">
      <c r="A1373" t="s">
        <v>1390</v>
      </c>
      <c r="B1373" t="str">
        <f t="shared" si="273"/>
        <v>Test</v>
      </c>
      <c r="C1373">
        <f t="shared" ca="1" si="274"/>
        <v>44</v>
      </c>
      <c r="D1373" t="str">
        <f t="shared" ca="1" si="275"/>
        <v>Male</v>
      </c>
      <c r="E1373" t="str">
        <f t="shared" ca="1" si="276"/>
        <v>Shoes</v>
      </c>
      <c r="F1373">
        <f t="shared" ca="1" si="277"/>
        <v>2025</v>
      </c>
      <c r="G1373">
        <f t="shared" ca="1" si="278"/>
        <v>20</v>
      </c>
      <c r="H1373">
        <f t="shared" ca="1" si="279"/>
        <v>1620</v>
      </c>
      <c r="I1373">
        <f t="shared" ca="1" si="280"/>
        <v>0</v>
      </c>
      <c r="J1373">
        <f t="shared" ca="1" si="281"/>
        <v>0</v>
      </c>
      <c r="K1373">
        <f t="shared" ca="1" si="282"/>
        <v>0</v>
      </c>
      <c r="L1373">
        <f t="shared" ca="1" si="283"/>
        <v>0</v>
      </c>
      <c r="M1373">
        <f t="shared" ca="1" si="284"/>
        <v>6</v>
      </c>
      <c r="N1373">
        <f t="shared" ca="1" si="285"/>
        <v>0</v>
      </c>
    </row>
    <row r="1374" spans="1:14" x14ac:dyDescent="0.35">
      <c r="A1374" t="s">
        <v>1391</v>
      </c>
      <c r="B1374" t="str">
        <f t="shared" si="273"/>
        <v>Test</v>
      </c>
      <c r="C1374">
        <f t="shared" ca="1" si="274"/>
        <v>32</v>
      </c>
      <c r="D1374" t="str">
        <f t="shared" ca="1" si="275"/>
        <v>Female</v>
      </c>
      <c r="E1374" t="str">
        <f t="shared" ca="1" si="276"/>
        <v>Dresses</v>
      </c>
      <c r="F1374">
        <f t="shared" ca="1" si="277"/>
        <v>6125</v>
      </c>
      <c r="G1374">
        <f t="shared" ca="1" si="278"/>
        <v>20</v>
      </c>
      <c r="H1374">
        <f t="shared" ca="1" si="279"/>
        <v>4900</v>
      </c>
      <c r="I1374">
        <f t="shared" ca="1" si="280"/>
        <v>1</v>
      </c>
      <c r="J1374">
        <f t="shared" ca="1" si="281"/>
        <v>0</v>
      </c>
      <c r="K1374">
        <f t="shared" ca="1" si="282"/>
        <v>0</v>
      </c>
      <c r="L1374">
        <f t="shared" ca="1" si="283"/>
        <v>0</v>
      </c>
      <c r="M1374">
        <f t="shared" ca="1" si="284"/>
        <v>7</v>
      </c>
      <c r="N1374">
        <f t="shared" ca="1" si="285"/>
        <v>0</v>
      </c>
    </row>
    <row r="1375" spans="1:14" x14ac:dyDescent="0.35">
      <c r="A1375" t="s">
        <v>1392</v>
      </c>
      <c r="B1375" t="str">
        <f t="shared" si="273"/>
        <v>Test</v>
      </c>
      <c r="C1375">
        <f t="shared" ca="1" si="274"/>
        <v>30</v>
      </c>
      <c r="D1375" t="str">
        <f t="shared" ca="1" si="275"/>
        <v>Other</v>
      </c>
      <c r="E1375" t="str">
        <f t="shared" ca="1" si="276"/>
        <v>Sportswear</v>
      </c>
      <c r="F1375">
        <f t="shared" ca="1" si="277"/>
        <v>514</v>
      </c>
      <c r="G1375">
        <f t="shared" ca="1" si="278"/>
        <v>25</v>
      </c>
      <c r="H1375">
        <f t="shared" ca="1" si="279"/>
        <v>385.5</v>
      </c>
      <c r="I1375">
        <f t="shared" ca="1" si="280"/>
        <v>1</v>
      </c>
      <c r="J1375">
        <f t="shared" ca="1" si="281"/>
        <v>0</v>
      </c>
      <c r="K1375">
        <f t="shared" ca="1" si="282"/>
        <v>0</v>
      </c>
      <c r="L1375">
        <f t="shared" ca="1" si="283"/>
        <v>0</v>
      </c>
      <c r="M1375">
        <f t="shared" ca="1" si="284"/>
        <v>3</v>
      </c>
      <c r="N1375">
        <f t="shared" ca="1" si="285"/>
        <v>0</v>
      </c>
    </row>
    <row r="1376" spans="1:14" x14ac:dyDescent="0.35">
      <c r="A1376" t="s">
        <v>1393</v>
      </c>
      <c r="B1376" t="str">
        <f t="shared" si="273"/>
        <v>Test</v>
      </c>
      <c r="C1376">
        <f t="shared" ca="1" si="274"/>
        <v>31</v>
      </c>
      <c r="D1376" t="str">
        <f t="shared" ca="1" si="275"/>
        <v>Female</v>
      </c>
      <c r="E1376" t="str">
        <f t="shared" ca="1" si="276"/>
        <v>Ethnic Wear</v>
      </c>
      <c r="F1376">
        <f t="shared" ca="1" si="277"/>
        <v>2585</v>
      </c>
      <c r="G1376">
        <f t="shared" ca="1" si="278"/>
        <v>15</v>
      </c>
      <c r="H1376">
        <f t="shared" ca="1" si="279"/>
        <v>2197.25</v>
      </c>
      <c r="I1376">
        <f t="shared" ca="1" si="280"/>
        <v>1</v>
      </c>
      <c r="J1376">
        <f t="shared" ca="1" si="281"/>
        <v>1</v>
      </c>
      <c r="K1376">
        <f t="shared" ca="1" si="282"/>
        <v>0</v>
      </c>
      <c r="L1376">
        <f t="shared" ca="1" si="283"/>
        <v>0</v>
      </c>
      <c r="M1376">
        <f t="shared" ca="1" si="284"/>
        <v>1</v>
      </c>
      <c r="N1376">
        <f t="shared" ca="1" si="285"/>
        <v>0</v>
      </c>
    </row>
    <row r="1377" spans="1:14" x14ac:dyDescent="0.35">
      <c r="A1377" t="s">
        <v>1394</v>
      </c>
      <c r="B1377" t="str">
        <f t="shared" si="273"/>
        <v>Test</v>
      </c>
      <c r="C1377">
        <f t="shared" ca="1" si="274"/>
        <v>34</v>
      </c>
      <c r="D1377" t="str">
        <f t="shared" ca="1" si="275"/>
        <v>Male</v>
      </c>
      <c r="E1377" t="str">
        <f t="shared" ca="1" si="276"/>
        <v>Tops</v>
      </c>
      <c r="F1377">
        <f t="shared" ca="1" si="277"/>
        <v>7349</v>
      </c>
      <c r="G1377">
        <f t="shared" ca="1" si="278"/>
        <v>20</v>
      </c>
      <c r="H1377">
        <f t="shared" ca="1" si="279"/>
        <v>5879.2000000000007</v>
      </c>
      <c r="I1377">
        <f t="shared" ca="1" si="280"/>
        <v>1</v>
      </c>
      <c r="J1377">
        <f t="shared" ca="1" si="281"/>
        <v>0</v>
      </c>
      <c r="K1377">
        <f t="shared" ca="1" si="282"/>
        <v>0</v>
      </c>
      <c r="L1377">
        <f t="shared" ca="1" si="283"/>
        <v>0</v>
      </c>
      <c r="M1377">
        <f t="shared" ca="1" si="284"/>
        <v>2</v>
      </c>
      <c r="N1377">
        <f t="shared" ca="1" si="285"/>
        <v>0</v>
      </c>
    </row>
    <row r="1378" spans="1:14" x14ac:dyDescent="0.35">
      <c r="A1378" t="s">
        <v>1395</v>
      </c>
      <c r="B1378" t="str">
        <f t="shared" si="273"/>
        <v>Test</v>
      </c>
      <c r="C1378">
        <f t="shared" ca="1" si="274"/>
        <v>26</v>
      </c>
      <c r="D1378" t="str">
        <f t="shared" ca="1" si="275"/>
        <v>Male</v>
      </c>
      <c r="E1378" t="str">
        <f t="shared" ca="1" si="276"/>
        <v>Tops</v>
      </c>
      <c r="F1378">
        <f t="shared" ca="1" si="277"/>
        <v>784</v>
      </c>
      <c r="G1378">
        <f t="shared" ca="1" si="278"/>
        <v>15</v>
      </c>
      <c r="H1378">
        <f t="shared" ca="1" si="279"/>
        <v>666.4</v>
      </c>
      <c r="I1378">
        <f t="shared" ca="1" si="280"/>
        <v>1</v>
      </c>
      <c r="J1378">
        <f t="shared" ca="1" si="281"/>
        <v>1</v>
      </c>
      <c r="K1378">
        <f t="shared" ca="1" si="282"/>
        <v>1</v>
      </c>
      <c r="L1378">
        <f t="shared" ca="1" si="283"/>
        <v>666.4</v>
      </c>
      <c r="M1378">
        <f t="shared" ca="1" si="284"/>
        <v>5</v>
      </c>
      <c r="N1378">
        <f t="shared" ca="1" si="285"/>
        <v>0</v>
      </c>
    </row>
    <row r="1379" spans="1:14" x14ac:dyDescent="0.35">
      <c r="A1379" t="s">
        <v>1396</v>
      </c>
      <c r="B1379" t="str">
        <f t="shared" si="273"/>
        <v>Test</v>
      </c>
      <c r="C1379">
        <f t="shared" ca="1" si="274"/>
        <v>19</v>
      </c>
      <c r="D1379" t="str">
        <f t="shared" ca="1" si="275"/>
        <v>Male</v>
      </c>
      <c r="E1379" t="str">
        <f t="shared" ca="1" si="276"/>
        <v>Accessories</v>
      </c>
      <c r="F1379">
        <f t="shared" ca="1" si="277"/>
        <v>5028</v>
      </c>
      <c r="G1379">
        <f t="shared" ca="1" si="278"/>
        <v>20</v>
      </c>
      <c r="H1379">
        <f t="shared" ca="1" si="279"/>
        <v>4022.4</v>
      </c>
      <c r="I1379">
        <f t="shared" ca="1" si="280"/>
        <v>1</v>
      </c>
      <c r="J1379">
        <f t="shared" ca="1" si="281"/>
        <v>1</v>
      </c>
      <c r="K1379">
        <f t="shared" ca="1" si="282"/>
        <v>0</v>
      </c>
      <c r="L1379">
        <f t="shared" ca="1" si="283"/>
        <v>0</v>
      </c>
      <c r="M1379">
        <f t="shared" ca="1" si="284"/>
        <v>4</v>
      </c>
      <c r="N1379">
        <f t="shared" ca="1" si="285"/>
        <v>0</v>
      </c>
    </row>
    <row r="1380" spans="1:14" x14ac:dyDescent="0.35">
      <c r="A1380" t="s">
        <v>1397</v>
      </c>
      <c r="B1380" t="str">
        <f t="shared" si="273"/>
        <v>Test</v>
      </c>
      <c r="C1380">
        <f t="shared" ca="1" si="274"/>
        <v>39</v>
      </c>
      <c r="D1380" t="str">
        <f t="shared" ca="1" si="275"/>
        <v>Male</v>
      </c>
      <c r="E1380" t="str">
        <f t="shared" ca="1" si="276"/>
        <v>T-shirts</v>
      </c>
      <c r="F1380">
        <f t="shared" ca="1" si="277"/>
        <v>4276</v>
      </c>
      <c r="G1380">
        <f t="shared" ca="1" si="278"/>
        <v>20</v>
      </c>
      <c r="H1380">
        <f t="shared" ca="1" si="279"/>
        <v>3420.8</v>
      </c>
      <c r="I1380">
        <f t="shared" ca="1" si="280"/>
        <v>1</v>
      </c>
      <c r="J1380">
        <f t="shared" ca="1" si="281"/>
        <v>0</v>
      </c>
      <c r="K1380">
        <f t="shared" ca="1" si="282"/>
        <v>0</v>
      </c>
      <c r="L1380">
        <f t="shared" ca="1" si="283"/>
        <v>0</v>
      </c>
      <c r="M1380">
        <f t="shared" ca="1" si="284"/>
        <v>3</v>
      </c>
      <c r="N1380">
        <f t="shared" ca="1" si="285"/>
        <v>0</v>
      </c>
    </row>
    <row r="1381" spans="1:14" x14ac:dyDescent="0.35">
      <c r="A1381" t="s">
        <v>1398</v>
      </c>
      <c r="B1381" t="str">
        <f t="shared" si="273"/>
        <v>Test</v>
      </c>
      <c r="C1381">
        <f t="shared" ca="1" si="274"/>
        <v>44</v>
      </c>
      <c r="D1381" t="str">
        <f t="shared" ca="1" si="275"/>
        <v>Male</v>
      </c>
      <c r="E1381" t="str">
        <f t="shared" ca="1" si="276"/>
        <v>Ethnic Wear</v>
      </c>
      <c r="F1381">
        <f t="shared" ca="1" si="277"/>
        <v>829</v>
      </c>
      <c r="G1381">
        <f t="shared" ca="1" si="278"/>
        <v>20</v>
      </c>
      <c r="H1381">
        <f t="shared" ca="1" si="279"/>
        <v>663.2</v>
      </c>
      <c r="I1381">
        <f t="shared" ca="1" si="280"/>
        <v>1</v>
      </c>
      <c r="J1381">
        <f t="shared" ca="1" si="281"/>
        <v>1</v>
      </c>
      <c r="K1381">
        <f t="shared" ca="1" si="282"/>
        <v>0</v>
      </c>
      <c r="L1381">
        <f t="shared" ca="1" si="283"/>
        <v>0</v>
      </c>
      <c r="M1381">
        <f t="shared" ca="1" si="284"/>
        <v>4</v>
      </c>
      <c r="N1381">
        <f t="shared" ca="1" si="285"/>
        <v>0</v>
      </c>
    </row>
    <row r="1382" spans="1:14" x14ac:dyDescent="0.35">
      <c r="A1382" t="s">
        <v>1399</v>
      </c>
      <c r="B1382" t="str">
        <f t="shared" si="273"/>
        <v>Test</v>
      </c>
      <c r="C1382">
        <f t="shared" ca="1" si="274"/>
        <v>33</v>
      </c>
      <c r="D1382" t="str">
        <f t="shared" ca="1" si="275"/>
        <v>Male</v>
      </c>
      <c r="E1382" t="str">
        <f t="shared" ca="1" si="276"/>
        <v>Ethnic Wear</v>
      </c>
      <c r="F1382">
        <f t="shared" ca="1" si="277"/>
        <v>5981</v>
      </c>
      <c r="G1382">
        <f t="shared" ca="1" si="278"/>
        <v>20</v>
      </c>
      <c r="H1382">
        <f t="shared" ca="1" si="279"/>
        <v>4784.8</v>
      </c>
      <c r="I1382">
        <f t="shared" ca="1" si="280"/>
        <v>1</v>
      </c>
      <c r="J1382">
        <f t="shared" ca="1" si="281"/>
        <v>1</v>
      </c>
      <c r="K1382">
        <f t="shared" ca="1" si="282"/>
        <v>0</v>
      </c>
      <c r="L1382">
        <f t="shared" ca="1" si="283"/>
        <v>0</v>
      </c>
      <c r="M1382">
        <f t="shared" ca="1" si="284"/>
        <v>3</v>
      </c>
      <c r="N1382">
        <f t="shared" ca="1" si="285"/>
        <v>0</v>
      </c>
    </row>
    <row r="1383" spans="1:14" x14ac:dyDescent="0.35">
      <c r="A1383" t="s">
        <v>1400</v>
      </c>
      <c r="B1383" t="str">
        <f t="shared" si="273"/>
        <v>Test</v>
      </c>
      <c r="C1383">
        <f t="shared" ca="1" si="274"/>
        <v>22</v>
      </c>
      <c r="D1383" t="str">
        <f t="shared" ca="1" si="275"/>
        <v>Other</v>
      </c>
      <c r="E1383" t="str">
        <f t="shared" ca="1" si="276"/>
        <v>Shoes</v>
      </c>
      <c r="F1383">
        <f t="shared" ca="1" si="277"/>
        <v>1064</v>
      </c>
      <c r="G1383">
        <f t="shared" ca="1" si="278"/>
        <v>15</v>
      </c>
      <c r="H1383">
        <f t="shared" ca="1" si="279"/>
        <v>904.4</v>
      </c>
      <c r="I1383">
        <f t="shared" ca="1" si="280"/>
        <v>1</v>
      </c>
      <c r="J1383">
        <f t="shared" ca="1" si="281"/>
        <v>0</v>
      </c>
      <c r="K1383">
        <f t="shared" ca="1" si="282"/>
        <v>0</v>
      </c>
      <c r="L1383">
        <f t="shared" ca="1" si="283"/>
        <v>0</v>
      </c>
      <c r="M1383">
        <f t="shared" ca="1" si="284"/>
        <v>2</v>
      </c>
      <c r="N1383">
        <f t="shared" ca="1" si="285"/>
        <v>0</v>
      </c>
    </row>
    <row r="1384" spans="1:14" x14ac:dyDescent="0.35">
      <c r="A1384" t="s">
        <v>1401</v>
      </c>
      <c r="B1384" t="str">
        <f t="shared" si="273"/>
        <v>Test</v>
      </c>
      <c r="C1384">
        <f t="shared" ca="1" si="274"/>
        <v>23</v>
      </c>
      <c r="D1384" t="str">
        <f t="shared" ca="1" si="275"/>
        <v>Female</v>
      </c>
      <c r="E1384" t="str">
        <f t="shared" ca="1" si="276"/>
        <v>Sportswear</v>
      </c>
      <c r="F1384">
        <f t="shared" ca="1" si="277"/>
        <v>7204</v>
      </c>
      <c r="G1384">
        <f t="shared" ca="1" si="278"/>
        <v>20</v>
      </c>
      <c r="H1384">
        <f t="shared" ca="1" si="279"/>
        <v>5763.2000000000007</v>
      </c>
      <c r="I1384">
        <f t="shared" ca="1" si="280"/>
        <v>1</v>
      </c>
      <c r="J1384">
        <f t="shared" ca="1" si="281"/>
        <v>0</v>
      </c>
      <c r="K1384">
        <f t="shared" ca="1" si="282"/>
        <v>0</v>
      </c>
      <c r="L1384">
        <f t="shared" ca="1" si="283"/>
        <v>0</v>
      </c>
      <c r="M1384">
        <f t="shared" ca="1" si="284"/>
        <v>1</v>
      </c>
      <c r="N1384">
        <f t="shared" ca="1" si="285"/>
        <v>0</v>
      </c>
    </row>
    <row r="1385" spans="1:14" x14ac:dyDescent="0.35">
      <c r="A1385" t="s">
        <v>1402</v>
      </c>
      <c r="B1385" t="str">
        <f t="shared" si="273"/>
        <v>Test</v>
      </c>
      <c r="C1385">
        <f t="shared" ca="1" si="274"/>
        <v>24</v>
      </c>
      <c r="D1385" t="str">
        <f t="shared" ca="1" si="275"/>
        <v>Female</v>
      </c>
      <c r="E1385" t="str">
        <f t="shared" ca="1" si="276"/>
        <v>Ethnic Wear</v>
      </c>
      <c r="F1385">
        <f t="shared" ca="1" si="277"/>
        <v>6497</v>
      </c>
      <c r="G1385">
        <f t="shared" ca="1" si="278"/>
        <v>20</v>
      </c>
      <c r="H1385">
        <f t="shared" ca="1" si="279"/>
        <v>5197.6000000000004</v>
      </c>
      <c r="I1385">
        <f t="shared" ca="1" si="280"/>
        <v>0</v>
      </c>
      <c r="J1385">
        <f t="shared" ca="1" si="281"/>
        <v>0</v>
      </c>
      <c r="K1385">
        <f t="shared" ca="1" si="282"/>
        <v>0</v>
      </c>
      <c r="L1385">
        <f t="shared" ca="1" si="283"/>
        <v>0</v>
      </c>
      <c r="M1385">
        <f t="shared" ca="1" si="284"/>
        <v>5</v>
      </c>
      <c r="N1385">
        <f t="shared" ca="1" si="285"/>
        <v>0</v>
      </c>
    </row>
    <row r="1386" spans="1:14" x14ac:dyDescent="0.35">
      <c r="A1386" t="s">
        <v>1403</v>
      </c>
      <c r="B1386" t="str">
        <f t="shared" si="273"/>
        <v>Test</v>
      </c>
      <c r="C1386">
        <f t="shared" ca="1" si="274"/>
        <v>34</v>
      </c>
      <c r="D1386" t="str">
        <f t="shared" ca="1" si="275"/>
        <v>Female</v>
      </c>
      <c r="E1386" t="str">
        <f t="shared" ca="1" si="276"/>
        <v>Sportswear</v>
      </c>
      <c r="F1386">
        <f t="shared" ca="1" si="277"/>
        <v>7701</v>
      </c>
      <c r="G1386">
        <f t="shared" ca="1" si="278"/>
        <v>20</v>
      </c>
      <c r="H1386">
        <f t="shared" ca="1" si="279"/>
        <v>6160.8</v>
      </c>
      <c r="I1386">
        <f t="shared" ca="1" si="280"/>
        <v>1</v>
      </c>
      <c r="J1386">
        <f t="shared" ca="1" si="281"/>
        <v>1</v>
      </c>
      <c r="K1386">
        <f t="shared" ca="1" si="282"/>
        <v>0</v>
      </c>
      <c r="L1386">
        <f t="shared" ca="1" si="283"/>
        <v>0</v>
      </c>
      <c r="M1386">
        <f t="shared" ca="1" si="284"/>
        <v>3</v>
      </c>
      <c r="N1386">
        <f t="shared" ca="1" si="285"/>
        <v>0</v>
      </c>
    </row>
    <row r="1387" spans="1:14" x14ac:dyDescent="0.35">
      <c r="A1387" t="s">
        <v>1404</v>
      </c>
      <c r="B1387" t="str">
        <f t="shared" si="273"/>
        <v>Test</v>
      </c>
      <c r="C1387">
        <f t="shared" ca="1" si="274"/>
        <v>29</v>
      </c>
      <c r="D1387" t="str">
        <f t="shared" ca="1" si="275"/>
        <v>Male</v>
      </c>
      <c r="E1387" t="str">
        <f t="shared" ca="1" si="276"/>
        <v>Jeans</v>
      </c>
      <c r="F1387">
        <f t="shared" ca="1" si="277"/>
        <v>6367</v>
      </c>
      <c r="G1387">
        <f t="shared" ca="1" si="278"/>
        <v>25</v>
      </c>
      <c r="H1387">
        <f t="shared" ca="1" si="279"/>
        <v>4775.25</v>
      </c>
      <c r="I1387">
        <f t="shared" ca="1" si="280"/>
        <v>1</v>
      </c>
      <c r="J1387">
        <f t="shared" ca="1" si="281"/>
        <v>0</v>
      </c>
      <c r="K1387">
        <f t="shared" ca="1" si="282"/>
        <v>0</v>
      </c>
      <c r="L1387">
        <f t="shared" ca="1" si="283"/>
        <v>0</v>
      </c>
      <c r="M1387">
        <f t="shared" ca="1" si="284"/>
        <v>2</v>
      </c>
      <c r="N1387">
        <f t="shared" ca="1" si="285"/>
        <v>0</v>
      </c>
    </row>
    <row r="1388" spans="1:14" x14ac:dyDescent="0.35">
      <c r="A1388" t="s">
        <v>1405</v>
      </c>
      <c r="B1388" t="str">
        <f t="shared" si="273"/>
        <v>Test</v>
      </c>
      <c r="C1388">
        <f t="shared" ca="1" si="274"/>
        <v>27</v>
      </c>
      <c r="D1388" t="str">
        <f t="shared" ca="1" si="275"/>
        <v>Male</v>
      </c>
      <c r="E1388" t="str">
        <f t="shared" ca="1" si="276"/>
        <v>Tops</v>
      </c>
      <c r="F1388">
        <f t="shared" ca="1" si="277"/>
        <v>2588</v>
      </c>
      <c r="G1388">
        <f t="shared" ca="1" si="278"/>
        <v>25</v>
      </c>
      <c r="H1388">
        <f t="shared" ca="1" si="279"/>
        <v>1941</v>
      </c>
      <c r="I1388">
        <f t="shared" ca="1" si="280"/>
        <v>0</v>
      </c>
      <c r="J1388">
        <f t="shared" ca="1" si="281"/>
        <v>0</v>
      </c>
      <c r="K1388">
        <f t="shared" ca="1" si="282"/>
        <v>0</v>
      </c>
      <c r="L1388">
        <f t="shared" ca="1" si="283"/>
        <v>0</v>
      </c>
      <c r="M1388">
        <f t="shared" ca="1" si="284"/>
        <v>7</v>
      </c>
      <c r="N1388">
        <f t="shared" ca="1" si="285"/>
        <v>0</v>
      </c>
    </row>
    <row r="1389" spans="1:14" x14ac:dyDescent="0.35">
      <c r="A1389" t="s">
        <v>1406</v>
      </c>
      <c r="B1389" t="str">
        <f t="shared" si="273"/>
        <v>Test</v>
      </c>
      <c r="C1389">
        <f t="shared" ca="1" si="274"/>
        <v>34</v>
      </c>
      <c r="D1389" t="str">
        <f t="shared" ca="1" si="275"/>
        <v>Other</v>
      </c>
      <c r="E1389" t="str">
        <f t="shared" ca="1" si="276"/>
        <v>Tops</v>
      </c>
      <c r="F1389">
        <f t="shared" ca="1" si="277"/>
        <v>7888</v>
      </c>
      <c r="G1389">
        <f t="shared" ca="1" si="278"/>
        <v>25</v>
      </c>
      <c r="H1389">
        <f t="shared" ca="1" si="279"/>
        <v>5916</v>
      </c>
      <c r="I1389">
        <f t="shared" ca="1" si="280"/>
        <v>1</v>
      </c>
      <c r="J1389">
        <f t="shared" ca="1" si="281"/>
        <v>0</v>
      </c>
      <c r="K1389">
        <f t="shared" ca="1" si="282"/>
        <v>0</v>
      </c>
      <c r="L1389">
        <f t="shared" ca="1" si="283"/>
        <v>0</v>
      </c>
      <c r="M1389">
        <f t="shared" ca="1" si="284"/>
        <v>2</v>
      </c>
      <c r="N1389">
        <f t="shared" ca="1" si="285"/>
        <v>0</v>
      </c>
    </row>
    <row r="1390" spans="1:14" x14ac:dyDescent="0.35">
      <c r="A1390" t="s">
        <v>1407</v>
      </c>
      <c r="B1390" t="str">
        <f t="shared" si="273"/>
        <v>Test</v>
      </c>
      <c r="C1390">
        <f t="shared" ca="1" si="274"/>
        <v>29</v>
      </c>
      <c r="D1390" t="str">
        <f t="shared" ca="1" si="275"/>
        <v>Other</v>
      </c>
      <c r="E1390" t="str">
        <f t="shared" ca="1" si="276"/>
        <v>T-shirts</v>
      </c>
      <c r="F1390">
        <f t="shared" ca="1" si="277"/>
        <v>7357</v>
      </c>
      <c r="G1390">
        <f t="shared" ca="1" si="278"/>
        <v>15</v>
      </c>
      <c r="H1390">
        <f t="shared" ca="1" si="279"/>
        <v>6253.45</v>
      </c>
      <c r="I1390">
        <f t="shared" ca="1" si="280"/>
        <v>1</v>
      </c>
      <c r="J1390">
        <f t="shared" ca="1" si="281"/>
        <v>0</v>
      </c>
      <c r="K1390">
        <f t="shared" ca="1" si="282"/>
        <v>0</v>
      </c>
      <c r="L1390">
        <f t="shared" ca="1" si="283"/>
        <v>0</v>
      </c>
      <c r="M1390">
        <f t="shared" ca="1" si="284"/>
        <v>7</v>
      </c>
      <c r="N1390">
        <f t="shared" ca="1" si="285"/>
        <v>0</v>
      </c>
    </row>
    <row r="1391" spans="1:14" x14ac:dyDescent="0.35">
      <c r="A1391" t="s">
        <v>1408</v>
      </c>
      <c r="B1391" t="str">
        <f t="shared" si="273"/>
        <v>Test</v>
      </c>
      <c r="C1391">
        <f t="shared" ca="1" si="274"/>
        <v>45</v>
      </c>
      <c r="D1391" t="str">
        <f t="shared" ca="1" si="275"/>
        <v>Male</v>
      </c>
      <c r="E1391" t="str">
        <f t="shared" ca="1" si="276"/>
        <v>Tops</v>
      </c>
      <c r="F1391">
        <f t="shared" ca="1" si="277"/>
        <v>7324</v>
      </c>
      <c r="G1391">
        <f t="shared" ca="1" si="278"/>
        <v>20</v>
      </c>
      <c r="H1391">
        <f t="shared" ca="1" si="279"/>
        <v>5859.2000000000007</v>
      </c>
      <c r="I1391">
        <f t="shared" ca="1" si="280"/>
        <v>0</v>
      </c>
      <c r="J1391">
        <f t="shared" ca="1" si="281"/>
        <v>0</v>
      </c>
      <c r="K1391">
        <f t="shared" ca="1" si="282"/>
        <v>0</v>
      </c>
      <c r="L1391">
        <f t="shared" ca="1" si="283"/>
        <v>0</v>
      </c>
      <c r="M1391">
        <f t="shared" ca="1" si="284"/>
        <v>4</v>
      </c>
      <c r="N1391">
        <f t="shared" ca="1" si="285"/>
        <v>0</v>
      </c>
    </row>
    <row r="1392" spans="1:14" x14ac:dyDescent="0.35">
      <c r="A1392" t="s">
        <v>1409</v>
      </c>
      <c r="B1392" t="str">
        <f t="shared" si="273"/>
        <v>Test</v>
      </c>
      <c r="C1392">
        <f t="shared" ca="1" si="274"/>
        <v>23</v>
      </c>
      <c r="D1392" t="str">
        <f t="shared" ca="1" si="275"/>
        <v>Female</v>
      </c>
      <c r="E1392" t="str">
        <f t="shared" ca="1" si="276"/>
        <v>T-shirts</v>
      </c>
      <c r="F1392">
        <f t="shared" ca="1" si="277"/>
        <v>7304</v>
      </c>
      <c r="G1392">
        <f t="shared" ca="1" si="278"/>
        <v>25</v>
      </c>
      <c r="H1392">
        <f t="shared" ca="1" si="279"/>
        <v>5478</v>
      </c>
      <c r="I1392">
        <f t="shared" ca="1" si="280"/>
        <v>1</v>
      </c>
      <c r="J1392">
        <f t="shared" ca="1" si="281"/>
        <v>1</v>
      </c>
      <c r="K1392">
        <f t="shared" ca="1" si="282"/>
        <v>0</v>
      </c>
      <c r="L1392">
        <f t="shared" ca="1" si="283"/>
        <v>0</v>
      </c>
      <c r="M1392">
        <f t="shared" ca="1" si="284"/>
        <v>6</v>
      </c>
      <c r="N1392">
        <f t="shared" ca="1" si="285"/>
        <v>0</v>
      </c>
    </row>
    <row r="1393" spans="1:14" x14ac:dyDescent="0.35">
      <c r="A1393" t="s">
        <v>1410</v>
      </c>
      <c r="B1393" t="str">
        <f t="shared" si="273"/>
        <v>Test</v>
      </c>
      <c r="C1393">
        <f t="shared" ca="1" si="274"/>
        <v>35</v>
      </c>
      <c r="D1393" t="str">
        <f t="shared" ca="1" si="275"/>
        <v>Female</v>
      </c>
      <c r="E1393" t="str">
        <f t="shared" ca="1" si="276"/>
        <v>Jeans</v>
      </c>
      <c r="F1393">
        <f t="shared" ca="1" si="277"/>
        <v>4965</v>
      </c>
      <c r="G1393">
        <f t="shared" ca="1" si="278"/>
        <v>25</v>
      </c>
      <c r="H1393">
        <f t="shared" ca="1" si="279"/>
        <v>3723.75</v>
      </c>
      <c r="I1393">
        <f t="shared" ca="1" si="280"/>
        <v>1</v>
      </c>
      <c r="J1393">
        <f t="shared" ca="1" si="281"/>
        <v>1</v>
      </c>
      <c r="K1393">
        <f t="shared" ca="1" si="282"/>
        <v>0</v>
      </c>
      <c r="L1393">
        <f t="shared" ca="1" si="283"/>
        <v>0</v>
      </c>
      <c r="M1393">
        <f t="shared" ca="1" si="284"/>
        <v>7</v>
      </c>
      <c r="N1393">
        <f t="shared" ca="1" si="285"/>
        <v>0</v>
      </c>
    </row>
    <row r="1394" spans="1:14" x14ac:dyDescent="0.35">
      <c r="A1394" t="s">
        <v>1411</v>
      </c>
      <c r="B1394" t="str">
        <f t="shared" si="273"/>
        <v>Test</v>
      </c>
      <c r="C1394">
        <f t="shared" ca="1" si="274"/>
        <v>38</v>
      </c>
      <c r="D1394" t="str">
        <f t="shared" ca="1" si="275"/>
        <v>Female</v>
      </c>
      <c r="E1394" t="str">
        <f t="shared" ca="1" si="276"/>
        <v>Accessories</v>
      </c>
      <c r="F1394">
        <f t="shared" ca="1" si="277"/>
        <v>4652</v>
      </c>
      <c r="G1394">
        <f t="shared" ca="1" si="278"/>
        <v>25</v>
      </c>
      <c r="H1394">
        <f t="shared" ca="1" si="279"/>
        <v>3489</v>
      </c>
      <c r="I1394">
        <f t="shared" ca="1" si="280"/>
        <v>0</v>
      </c>
      <c r="J1394">
        <f t="shared" ca="1" si="281"/>
        <v>0</v>
      </c>
      <c r="K1394">
        <f t="shared" ca="1" si="282"/>
        <v>0</v>
      </c>
      <c r="L1394">
        <f t="shared" ca="1" si="283"/>
        <v>0</v>
      </c>
      <c r="M1394">
        <f t="shared" ca="1" si="284"/>
        <v>1</v>
      </c>
      <c r="N1394">
        <f t="shared" ca="1" si="285"/>
        <v>0</v>
      </c>
    </row>
    <row r="1395" spans="1:14" x14ac:dyDescent="0.35">
      <c r="A1395" t="s">
        <v>1412</v>
      </c>
      <c r="B1395" t="str">
        <f t="shared" si="273"/>
        <v>Test</v>
      </c>
      <c r="C1395">
        <f t="shared" ca="1" si="274"/>
        <v>36</v>
      </c>
      <c r="D1395" t="str">
        <f t="shared" ca="1" si="275"/>
        <v>Female</v>
      </c>
      <c r="E1395" t="str">
        <f t="shared" ca="1" si="276"/>
        <v>Ethnic Wear</v>
      </c>
      <c r="F1395">
        <f t="shared" ca="1" si="277"/>
        <v>5478</v>
      </c>
      <c r="G1395">
        <f t="shared" ca="1" si="278"/>
        <v>20</v>
      </c>
      <c r="H1395">
        <f t="shared" ca="1" si="279"/>
        <v>4382.4000000000005</v>
      </c>
      <c r="I1395">
        <f t="shared" ca="1" si="280"/>
        <v>1</v>
      </c>
      <c r="J1395">
        <f t="shared" ca="1" si="281"/>
        <v>0</v>
      </c>
      <c r="K1395">
        <f t="shared" ca="1" si="282"/>
        <v>0</v>
      </c>
      <c r="L1395">
        <f t="shared" ca="1" si="283"/>
        <v>0</v>
      </c>
      <c r="M1395">
        <f t="shared" ca="1" si="284"/>
        <v>4</v>
      </c>
      <c r="N1395">
        <f t="shared" ca="1" si="285"/>
        <v>0</v>
      </c>
    </row>
    <row r="1396" spans="1:14" x14ac:dyDescent="0.35">
      <c r="A1396" t="s">
        <v>1413</v>
      </c>
      <c r="B1396" t="str">
        <f t="shared" si="273"/>
        <v>Test</v>
      </c>
      <c r="C1396">
        <f t="shared" ca="1" si="274"/>
        <v>34</v>
      </c>
      <c r="D1396" t="str">
        <f t="shared" ca="1" si="275"/>
        <v>Male</v>
      </c>
      <c r="E1396" t="str">
        <f t="shared" ca="1" si="276"/>
        <v>Tops</v>
      </c>
      <c r="F1396">
        <f t="shared" ca="1" si="277"/>
        <v>6004</v>
      </c>
      <c r="G1396">
        <f t="shared" ca="1" si="278"/>
        <v>20</v>
      </c>
      <c r="H1396">
        <f t="shared" ca="1" si="279"/>
        <v>4803.2</v>
      </c>
      <c r="I1396">
        <f t="shared" ca="1" si="280"/>
        <v>0</v>
      </c>
      <c r="J1396">
        <f t="shared" ca="1" si="281"/>
        <v>0</v>
      </c>
      <c r="K1396">
        <f t="shared" ca="1" si="282"/>
        <v>0</v>
      </c>
      <c r="L1396">
        <f t="shared" ca="1" si="283"/>
        <v>0</v>
      </c>
      <c r="M1396">
        <f t="shared" ca="1" si="284"/>
        <v>3</v>
      </c>
      <c r="N1396">
        <f t="shared" ca="1" si="285"/>
        <v>0</v>
      </c>
    </row>
    <row r="1397" spans="1:14" x14ac:dyDescent="0.35">
      <c r="A1397" t="s">
        <v>1414</v>
      </c>
      <c r="B1397" t="str">
        <f t="shared" si="273"/>
        <v>Test</v>
      </c>
      <c r="C1397">
        <f t="shared" ca="1" si="274"/>
        <v>44</v>
      </c>
      <c r="D1397" t="str">
        <f t="shared" ca="1" si="275"/>
        <v>Female</v>
      </c>
      <c r="E1397" t="str">
        <f t="shared" ca="1" si="276"/>
        <v>T-shirts</v>
      </c>
      <c r="F1397">
        <f t="shared" ca="1" si="277"/>
        <v>6703</v>
      </c>
      <c r="G1397">
        <f t="shared" ca="1" si="278"/>
        <v>25</v>
      </c>
      <c r="H1397">
        <f t="shared" ca="1" si="279"/>
        <v>5027.25</v>
      </c>
      <c r="I1397">
        <f t="shared" ca="1" si="280"/>
        <v>1</v>
      </c>
      <c r="J1397">
        <f t="shared" ca="1" si="281"/>
        <v>1</v>
      </c>
      <c r="K1397">
        <f t="shared" ca="1" si="282"/>
        <v>1</v>
      </c>
      <c r="L1397">
        <f t="shared" ca="1" si="283"/>
        <v>5027.25</v>
      </c>
      <c r="M1397">
        <f t="shared" ca="1" si="284"/>
        <v>7</v>
      </c>
      <c r="N1397">
        <f t="shared" ca="1" si="285"/>
        <v>1</v>
      </c>
    </row>
    <row r="1398" spans="1:14" x14ac:dyDescent="0.35">
      <c r="A1398" t="s">
        <v>1415</v>
      </c>
      <c r="B1398" t="str">
        <f t="shared" si="273"/>
        <v>Test</v>
      </c>
      <c r="C1398">
        <f t="shared" ca="1" si="274"/>
        <v>33</v>
      </c>
      <c r="D1398" t="str">
        <f t="shared" ca="1" si="275"/>
        <v>Female</v>
      </c>
      <c r="E1398" t="str">
        <f t="shared" ca="1" si="276"/>
        <v>Jeans</v>
      </c>
      <c r="F1398">
        <f t="shared" ca="1" si="277"/>
        <v>2728</v>
      </c>
      <c r="G1398">
        <f t="shared" ca="1" si="278"/>
        <v>20</v>
      </c>
      <c r="H1398">
        <f t="shared" ca="1" si="279"/>
        <v>2182.4</v>
      </c>
      <c r="I1398">
        <f t="shared" ca="1" si="280"/>
        <v>1</v>
      </c>
      <c r="J1398">
        <f t="shared" ca="1" si="281"/>
        <v>1</v>
      </c>
      <c r="K1398">
        <f t="shared" ca="1" si="282"/>
        <v>0</v>
      </c>
      <c r="L1398">
        <f t="shared" ca="1" si="283"/>
        <v>0</v>
      </c>
      <c r="M1398">
        <f t="shared" ca="1" si="284"/>
        <v>4</v>
      </c>
      <c r="N1398">
        <f t="shared" ca="1" si="285"/>
        <v>0</v>
      </c>
    </row>
    <row r="1399" spans="1:14" x14ac:dyDescent="0.35">
      <c r="A1399" t="s">
        <v>1416</v>
      </c>
      <c r="B1399" t="str">
        <f t="shared" si="273"/>
        <v>Test</v>
      </c>
      <c r="C1399">
        <f t="shared" ca="1" si="274"/>
        <v>25</v>
      </c>
      <c r="D1399" t="str">
        <f t="shared" ca="1" si="275"/>
        <v>Male</v>
      </c>
      <c r="E1399" t="str">
        <f t="shared" ca="1" si="276"/>
        <v>Sportswear</v>
      </c>
      <c r="F1399">
        <f t="shared" ca="1" si="277"/>
        <v>2568</v>
      </c>
      <c r="G1399">
        <f t="shared" ca="1" si="278"/>
        <v>25</v>
      </c>
      <c r="H1399">
        <f t="shared" ca="1" si="279"/>
        <v>1926</v>
      </c>
      <c r="I1399">
        <f t="shared" ca="1" si="280"/>
        <v>1</v>
      </c>
      <c r="J1399">
        <f t="shared" ca="1" si="281"/>
        <v>1</v>
      </c>
      <c r="K1399">
        <f t="shared" ca="1" si="282"/>
        <v>0</v>
      </c>
      <c r="L1399">
        <f t="shared" ca="1" si="283"/>
        <v>0</v>
      </c>
      <c r="M1399">
        <f t="shared" ca="1" si="284"/>
        <v>1</v>
      </c>
      <c r="N1399">
        <f t="shared" ca="1" si="285"/>
        <v>0</v>
      </c>
    </row>
    <row r="1400" spans="1:14" x14ac:dyDescent="0.35">
      <c r="A1400" t="s">
        <v>1417</v>
      </c>
      <c r="B1400" t="str">
        <f t="shared" si="273"/>
        <v>Test</v>
      </c>
      <c r="C1400">
        <f t="shared" ca="1" si="274"/>
        <v>38</v>
      </c>
      <c r="D1400" t="str">
        <f t="shared" ca="1" si="275"/>
        <v>Female</v>
      </c>
      <c r="E1400" t="str">
        <f t="shared" ca="1" si="276"/>
        <v>Ethnic Wear</v>
      </c>
      <c r="F1400">
        <f t="shared" ca="1" si="277"/>
        <v>3450</v>
      </c>
      <c r="G1400">
        <f t="shared" ca="1" si="278"/>
        <v>20</v>
      </c>
      <c r="H1400">
        <f t="shared" ca="1" si="279"/>
        <v>2760</v>
      </c>
      <c r="I1400">
        <f t="shared" ca="1" si="280"/>
        <v>1</v>
      </c>
      <c r="J1400">
        <f t="shared" ca="1" si="281"/>
        <v>0</v>
      </c>
      <c r="K1400">
        <f t="shared" ca="1" si="282"/>
        <v>0</v>
      </c>
      <c r="L1400">
        <f t="shared" ca="1" si="283"/>
        <v>0</v>
      </c>
      <c r="M1400">
        <f t="shared" ca="1" si="284"/>
        <v>4</v>
      </c>
      <c r="N1400">
        <f t="shared" ca="1" si="285"/>
        <v>0</v>
      </c>
    </row>
    <row r="1401" spans="1:14" x14ac:dyDescent="0.35">
      <c r="A1401" t="s">
        <v>1418</v>
      </c>
      <c r="B1401" t="str">
        <f t="shared" si="273"/>
        <v>Test</v>
      </c>
      <c r="C1401">
        <f t="shared" ca="1" si="274"/>
        <v>21</v>
      </c>
      <c r="D1401" t="str">
        <f t="shared" ca="1" si="275"/>
        <v>Male</v>
      </c>
      <c r="E1401" t="str">
        <f t="shared" ca="1" si="276"/>
        <v>Tops</v>
      </c>
      <c r="F1401">
        <f t="shared" ca="1" si="277"/>
        <v>7893</v>
      </c>
      <c r="G1401">
        <f t="shared" ca="1" si="278"/>
        <v>20</v>
      </c>
      <c r="H1401">
        <f t="shared" ca="1" si="279"/>
        <v>6314.4000000000005</v>
      </c>
      <c r="I1401">
        <f t="shared" ca="1" si="280"/>
        <v>1</v>
      </c>
      <c r="J1401">
        <f t="shared" ca="1" si="281"/>
        <v>0</v>
      </c>
      <c r="K1401">
        <f t="shared" ca="1" si="282"/>
        <v>0</v>
      </c>
      <c r="L1401">
        <f t="shared" ca="1" si="283"/>
        <v>0</v>
      </c>
      <c r="M1401">
        <f t="shared" ca="1" si="284"/>
        <v>1</v>
      </c>
      <c r="N1401">
        <f t="shared" ca="1" si="285"/>
        <v>0</v>
      </c>
    </row>
    <row r="1402" spans="1:14" x14ac:dyDescent="0.35">
      <c r="A1402" t="s">
        <v>1419</v>
      </c>
      <c r="B1402" t="str">
        <f t="shared" si="273"/>
        <v>Test</v>
      </c>
      <c r="C1402">
        <f t="shared" ca="1" si="274"/>
        <v>41</v>
      </c>
      <c r="D1402" t="str">
        <f t="shared" ca="1" si="275"/>
        <v>Female</v>
      </c>
      <c r="E1402" t="str">
        <f t="shared" ca="1" si="276"/>
        <v>Accessories</v>
      </c>
      <c r="F1402">
        <f t="shared" ca="1" si="277"/>
        <v>1963</v>
      </c>
      <c r="G1402">
        <f t="shared" ca="1" si="278"/>
        <v>20</v>
      </c>
      <c r="H1402">
        <f t="shared" ca="1" si="279"/>
        <v>1570.4</v>
      </c>
      <c r="I1402">
        <f t="shared" ca="1" si="280"/>
        <v>1</v>
      </c>
      <c r="J1402">
        <f t="shared" ca="1" si="281"/>
        <v>0</v>
      </c>
      <c r="K1402">
        <f t="shared" ca="1" si="282"/>
        <v>0</v>
      </c>
      <c r="L1402">
        <f t="shared" ca="1" si="283"/>
        <v>0</v>
      </c>
      <c r="M1402">
        <f t="shared" ca="1" si="284"/>
        <v>6</v>
      </c>
      <c r="N1402">
        <f t="shared" ca="1" si="285"/>
        <v>0</v>
      </c>
    </row>
    <row r="1403" spans="1:14" x14ac:dyDescent="0.35">
      <c r="A1403" t="s">
        <v>1420</v>
      </c>
      <c r="B1403" t="str">
        <f t="shared" si="273"/>
        <v>Test</v>
      </c>
      <c r="C1403">
        <f t="shared" ca="1" si="274"/>
        <v>30</v>
      </c>
      <c r="D1403" t="str">
        <f t="shared" ca="1" si="275"/>
        <v>Male</v>
      </c>
      <c r="E1403" t="str">
        <f t="shared" ca="1" si="276"/>
        <v>Shoes</v>
      </c>
      <c r="F1403">
        <f t="shared" ca="1" si="277"/>
        <v>5861</v>
      </c>
      <c r="G1403">
        <f t="shared" ca="1" si="278"/>
        <v>20</v>
      </c>
      <c r="H1403">
        <f t="shared" ca="1" si="279"/>
        <v>4688.8</v>
      </c>
      <c r="I1403">
        <f t="shared" ca="1" si="280"/>
        <v>0</v>
      </c>
      <c r="J1403">
        <f t="shared" ca="1" si="281"/>
        <v>0</v>
      </c>
      <c r="K1403">
        <f t="shared" ca="1" si="282"/>
        <v>0</v>
      </c>
      <c r="L1403">
        <f t="shared" ca="1" si="283"/>
        <v>0</v>
      </c>
      <c r="M1403">
        <f t="shared" ca="1" si="284"/>
        <v>7</v>
      </c>
      <c r="N1403">
        <f t="shared" ca="1" si="285"/>
        <v>0</v>
      </c>
    </row>
    <row r="1404" spans="1:14" x14ac:dyDescent="0.35">
      <c r="A1404" t="s">
        <v>1421</v>
      </c>
      <c r="B1404" t="str">
        <f t="shared" si="273"/>
        <v>Test</v>
      </c>
      <c r="C1404">
        <f t="shared" ca="1" si="274"/>
        <v>45</v>
      </c>
      <c r="D1404" t="str">
        <f t="shared" ca="1" si="275"/>
        <v>Male</v>
      </c>
      <c r="E1404" t="str">
        <f t="shared" ca="1" si="276"/>
        <v>Dresses</v>
      </c>
      <c r="F1404">
        <f t="shared" ca="1" si="277"/>
        <v>3359</v>
      </c>
      <c r="G1404">
        <f t="shared" ca="1" si="278"/>
        <v>15</v>
      </c>
      <c r="H1404">
        <f t="shared" ca="1" si="279"/>
        <v>2855.15</v>
      </c>
      <c r="I1404">
        <f t="shared" ca="1" si="280"/>
        <v>1</v>
      </c>
      <c r="J1404">
        <f t="shared" ca="1" si="281"/>
        <v>0</v>
      </c>
      <c r="K1404">
        <f t="shared" ca="1" si="282"/>
        <v>0</v>
      </c>
      <c r="L1404">
        <f t="shared" ca="1" si="283"/>
        <v>0</v>
      </c>
      <c r="M1404">
        <f t="shared" ca="1" si="284"/>
        <v>6</v>
      </c>
      <c r="N1404">
        <f t="shared" ca="1" si="285"/>
        <v>0</v>
      </c>
    </row>
    <row r="1405" spans="1:14" x14ac:dyDescent="0.35">
      <c r="A1405" t="s">
        <v>1422</v>
      </c>
      <c r="B1405" t="str">
        <f t="shared" si="273"/>
        <v>Test</v>
      </c>
      <c r="C1405">
        <f t="shared" ca="1" si="274"/>
        <v>21</v>
      </c>
      <c r="D1405" t="str">
        <f t="shared" ca="1" si="275"/>
        <v>Male</v>
      </c>
      <c r="E1405" t="str">
        <f t="shared" ca="1" si="276"/>
        <v>Dresses</v>
      </c>
      <c r="F1405">
        <f t="shared" ca="1" si="277"/>
        <v>6167</v>
      </c>
      <c r="G1405">
        <f t="shared" ca="1" si="278"/>
        <v>20</v>
      </c>
      <c r="H1405">
        <f t="shared" ca="1" si="279"/>
        <v>4933.6000000000004</v>
      </c>
      <c r="I1405">
        <f t="shared" ca="1" si="280"/>
        <v>1</v>
      </c>
      <c r="J1405">
        <f t="shared" ca="1" si="281"/>
        <v>1</v>
      </c>
      <c r="K1405">
        <f t="shared" ca="1" si="282"/>
        <v>0</v>
      </c>
      <c r="L1405">
        <f t="shared" ca="1" si="283"/>
        <v>0</v>
      </c>
      <c r="M1405">
        <f t="shared" ca="1" si="284"/>
        <v>7</v>
      </c>
      <c r="N1405">
        <f t="shared" ca="1" si="285"/>
        <v>0</v>
      </c>
    </row>
    <row r="1406" spans="1:14" x14ac:dyDescent="0.35">
      <c r="A1406" t="s">
        <v>1423</v>
      </c>
      <c r="B1406" t="str">
        <f t="shared" si="273"/>
        <v>Test</v>
      </c>
      <c r="C1406">
        <f t="shared" ca="1" si="274"/>
        <v>21</v>
      </c>
      <c r="D1406" t="str">
        <f t="shared" ca="1" si="275"/>
        <v>Male</v>
      </c>
      <c r="E1406" t="str">
        <f t="shared" ca="1" si="276"/>
        <v>Ethnic Wear</v>
      </c>
      <c r="F1406">
        <f t="shared" ca="1" si="277"/>
        <v>666</v>
      </c>
      <c r="G1406">
        <f t="shared" ca="1" si="278"/>
        <v>25</v>
      </c>
      <c r="H1406">
        <f t="shared" ca="1" si="279"/>
        <v>499.5</v>
      </c>
      <c r="I1406">
        <f t="shared" ca="1" si="280"/>
        <v>0</v>
      </c>
      <c r="J1406">
        <f t="shared" ca="1" si="281"/>
        <v>0</v>
      </c>
      <c r="K1406">
        <f t="shared" ca="1" si="282"/>
        <v>0</v>
      </c>
      <c r="L1406">
        <f t="shared" ca="1" si="283"/>
        <v>0</v>
      </c>
      <c r="M1406">
        <f t="shared" ca="1" si="284"/>
        <v>3</v>
      </c>
      <c r="N1406">
        <f t="shared" ca="1" si="285"/>
        <v>0</v>
      </c>
    </row>
    <row r="1407" spans="1:14" x14ac:dyDescent="0.35">
      <c r="A1407" t="s">
        <v>1424</v>
      </c>
      <c r="B1407" t="str">
        <f t="shared" si="273"/>
        <v>Test</v>
      </c>
      <c r="C1407">
        <f t="shared" ca="1" si="274"/>
        <v>21</v>
      </c>
      <c r="D1407" t="str">
        <f t="shared" ca="1" si="275"/>
        <v>Male</v>
      </c>
      <c r="E1407" t="str">
        <f t="shared" ca="1" si="276"/>
        <v>Tops</v>
      </c>
      <c r="F1407">
        <f t="shared" ca="1" si="277"/>
        <v>6699</v>
      </c>
      <c r="G1407">
        <f t="shared" ca="1" si="278"/>
        <v>20</v>
      </c>
      <c r="H1407">
        <f t="shared" ca="1" si="279"/>
        <v>5359.2000000000007</v>
      </c>
      <c r="I1407">
        <f t="shared" ca="1" si="280"/>
        <v>1</v>
      </c>
      <c r="J1407">
        <f t="shared" ca="1" si="281"/>
        <v>1</v>
      </c>
      <c r="K1407">
        <f t="shared" ca="1" si="282"/>
        <v>0</v>
      </c>
      <c r="L1407">
        <f t="shared" ca="1" si="283"/>
        <v>0</v>
      </c>
      <c r="M1407">
        <f t="shared" ca="1" si="284"/>
        <v>7</v>
      </c>
      <c r="N1407">
        <f t="shared" ca="1" si="285"/>
        <v>0</v>
      </c>
    </row>
    <row r="1408" spans="1:14" x14ac:dyDescent="0.35">
      <c r="A1408" t="s">
        <v>1425</v>
      </c>
      <c r="B1408" t="str">
        <f t="shared" si="273"/>
        <v>Test</v>
      </c>
      <c r="C1408">
        <f t="shared" ca="1" si="274"/>
        <v>23</v>
      </c>
      <c r="D1408" t="str">
        <f t="shared" ca="1" si="275"/>
        <v>Female</v>
      </c>
      <c r="E1408" t="str">
        <f t="shared" ca="1" si="276"/>
        <v>Jeans</v>
      </c>
      <c r="F1408">
        <f t="shared" ca="1" si="277"/>
        <v>6380</v>
      </c>
      <c r="G1408">
        <f t="shared" ca="1" si="278"/>
        <v>20</v>
      </c>
      <c r="H1408">
        <f t="shared" ca="1" si="279"/>
        <v>5104</v>
      </c>
      <c r="I1408">
        <f t="shared" ca="1" si="280"/>
        <v>1</v>
      </c>
      <c r="J1408">
        <f t="shared" ca="1" si="281"/>
        <v>0</v>
      </c>
      <c r="K1408">
        <f t="shared" ca="1" si="282"/>
        <v>0</v>
      </c>
      <c r="L1408">
        <f t="shared" ca="1" si="283"/>
        <v>0</v>
      </c>
      <c r="M1408">
        <f t="shared" ca="1" si="284"/>
        <v>2</v>
      </c>
      <c r="N1408">
        <f t="shared" ca="1" si="285"/>
        <v>0</v>
      </c>
    </row>
    <row r="1409" spans="1:14" x14ac:dyDescent="0.35">
      <c r="A1409" t="s">
        <v>1426</v>
      </c>
      <c r="B1409" t="str">
        <f t="shared" si="273"/>
        <v>Test</v>
      </c>
      <c r="C1409">
        <f t="shared" ca="1" si="274"/>
        <v>35</v>
      </c>
      <c r="D1409" t="str">
        <f t="shared" ca="1" si="275"/>
        <v>Male</v>
      </c>
      <c r="E1409" t="str">
        <f t="shared" ca="1" si="276"/>
        <v>T-shirts</v>
      </c>
      <c r="F1409">
        <f t="shared" ca="1" si="277"/>
        <v>6690</v>
      </c>
      <c r="G1409">
        <f t="shared" ca="1" si="278"/>
        <v>15</v>
      </c>
      <c r="H1409">
        <f t="shared" ca="1" si="279"/>
        <v>5686.5</v>
      </c>
      <c r="I1409">
        <f t="shared" ca="1" si="280"/>
        <v>1</v>
      </c>
      <c r="J1409">
        <f t="shared" ca="1" si="281"/>
        <v>0</v>
      </c>
      <c r="K1409">
        <f t="shared" ca="1" si="282"/>
        <v>0</v>
      </c>
      <c r="L1409">
        <f t="shared" ca="1" si="283"/>
        <v>0</v>
      </c>
      <c r="M1409">
        <f t="shared" ca="1" si="284"/>
        <v>4</v>
      </c>
      <c r="N1409">
        <f t="shared" ca="1" si="285"/>
        <v>0</v>
      </c>
    </row>
    <row r="1410" spans="1:14" x14ac:dyDescent="0.35">
      <c r="A1410" t="s">
        <v>1427</v>
      </c>
      <c r="B1410" t="str">
        <f t="shared" si="273"/>
        <v>Test</v>
      </c>
      <c r="C1410">
        <f t="shared" ca="1" si="274"/>
        <v>33</v>
      </c>
      <c r="D1410" t="str">
        <f t="shared" ca="1" si="275"/>
        <v>Other</v>
      </c>
      <c r="E1410" t="str">
        <f t="shared" ca="1" si="276"/>
        <v>T-shirts</v>
      </c>
      <c r="F1410">
        <f t="shared" ca="1" si="277"/>
        <v>4434</v>
      </c>
      <c r="G1410">
        <f t="shared" ca="1" si="278"/>
        <v>15</v>
      </c>
      <c r="H1410">
        <f t="shared" ca="1" si="279"/>
        <v>3768.9</v>
      </c>
      <c r="I1410">
        <f t="shared" ca="1" si="280"/>
        <v>1</v>
      </c>
      <c r="J1410">
        <f t="shared" ca="1" si="281"/>
        <v>1</v>
      </c>
      <c r="K1410">
        <f t="shared" ca="1" si="282"/>
        <v>0</v>
      </c>
      <c r="L1410">
        <f t="shared" ca="1" si="283"/>
        <v>0</v>
      </c>
      <c r="M1410">
        <f t="shared" ca="1" si="284"/>
        <v>2</v>
      </c>
      <c r="N1410">
        <f t="shared" ca="1" si="285"/>
        <v>0</v>
      </c>
    </row>
    <row r="1411" spans="1:14" x14ac:dyDescent="0.35">
      <c r="A1411" t="s">
        <v>1428</v>
      </c>
      <c r="B1411" t="str">
        <f t="shared" si="273"/>
        <v>Test</v>
      </c>
      <c r="C1411">
        <f t="shared" ca="1" si="274"/>
        <v>44</v>
      </c>
      <c r="D1411" t="str">
        <f t="shared" ca="1" si="275"/>
        <v>Female</v>
      </c>
      <c r="E1411" t="str">
        <f t="shared" ca="1" si="276"/>
        <v>Ethnic Wear</v>
      </c>
      <c r="F1411">
        <f t="shared" ca="1" si="277"/>
        <v>7540</v>
      </c>
      <c r="G1411">
        <f t="shared" ca="1" si="278"/>
        <v>25</v>
      </c>
      <c r="H1411">
        <f t="shared" ca="1" si="279"/>
        <v>5655</v>
      </c>
      <c r="I1411">
        <f t="shared" ca="1" si="280"/>
        <v>0</v>
      </c>
      <c r="J1411">
        <f t="shared" ca="1" si="281"/>
        <v>0</v>
      </c>
      <c r="K1411">
        <f t="shared" ca="1" si="282"/>
        <v>0</v>
      </c>
      <c r="L1411">
        <f t="shared" ca="1" si="283"/>
        <v>0</v>
      </c>
      <c r="M1411">
        <f t="shared" ca="1" si="284"/>
        <v>5</v>
      </c>
      <c r="N1411">
        <f t="shared" ca="1" si="285"/>
        <v>0</v>
      </c>
    </row>
    <row r="1412" spans="1:14" x14ac:dyDescent="0.35">
      <c r="A1412" t="s">
        <v>1429</v>
      </c>
      <c r="B1412" t="str">
        <f t="shared" si="273"/>
        <v>Test</v>
      </c>
      <c r="C1412">
        <f t="shared" ca="1" si="274"/>
        <v>26</v>
      </c>
      <c r="D1412" t="str">
        <f t="shared" ca="1" si="275"/>
        <v>Female</v>
      </c>
      <c r="E1412" t="str">
        <f t="shared" ca="1" si="276"/>
        <v>Dresses</v>
      </c>
      <c r="F1412">
        <f t="shared" ca="1" si="277"/>
        <v>7338</v>
      </c>
      <c r="G1412">
        <f t="shared" ca="1" si="278"/>
        <v>25</v>
      </c>
      <c r="H1412">
        <f t="shared" ca="1" si="279"/>
        <v>5503.5</v>
      </c>
      <c r="I1412">
        <f t="shared" ca="1" si="280"/>
        <v>1</v>
      </c>
      <c r="J1412">
        <f t="shared" ca="1" si="281"/>
        <v>0</v>
      </c>
      <c r="K1412">
        <f t="shared" ca="1" si="282"/>
        <v>0</v>
      </c>
      <c r="L1412">
        <f t="shared" ca="1" si="283"/>
        <v>0</v>
      </c>
      <c r="M1412">
        <f t="shared" ca="1" si="284"/>
        <v>5</v>
      </c>
      <c r="N1412">
        <f t="shared" ca="1" si="285"/>
        <v>0</v>
      </c>
    </row>
    <row r="1413" spans="1:14" x14ac:dyDescent="0.35">
      <c r="A1413" t="s">
        <v>1430</v>
      </c>
      <c r="B1413" t="str">
        <f t="shared" ref="B1413:B1476" si="286">IF(ROW()&lt;=1001,"Control","Test")</f>
        <v>Test</v>
      </c>
      <c r="C1413">
        <f t="shared" ref="C1413:C1476" ca="1" si="287">RANDBETWEEN(18,45)</f>
        <v>29</v>
      </c>
      <c r="D1413" t="str">
        <f t="shared" ref="D1413:D1476" ca="1" si="288">CHOOSE(RANDBETWEEN(1,20),"Female","Female","Female","Female","Female","Female","Female","Female","Female","Female","Male","Male","Male","Male","Male","Male","Male","Male","Other","Other")</f>
        <v>Other</v>
      </c>
      <c r="E1413" t="str">
        <f t="shared" ref="E1413:E1476" ca="1" si="289">CHOOSE(RANDBETWEEN(1,8),"T-shirts","Dresses","Jeans","Shoes","Ethnic Wear","Tops","Sportswear","Accessories")</f>
        <v>Sportswear</v>
      </c>
      <c r="F1413">
        <f t="shared" ref="F1413:F1476" ca="1" si="290">RANDBETWEEN(300,8000)</f>
        <v>880</v>
      </c>
      <c r="G1413">
        <f t="shared" ref="G1413:G1476" ca="1" si="291">IF(B1413="Control",10,CHOOSE(RANDBETWEEN(1,3),15,20,25))</f>
        <v>25</v>
      </c>
      <c r="H1413">
        <f t="shared" ref="H1413:H1476" ca="1" si="292">F1413*(1-G1413/100)</f>
        <v>660</v>
      </c>
      <c r="I1413">
        <f t="shared" ref="I1413:I1476" ca="1" si="293">IF(RAND()&lt;0.85,1,0)</f>
        <v>1</v>
      </c>
      <c r="J1413">
        <f t="shared" ref="J1413:J1476" ca="1" si="294">IF(I1413=1,IF(RAND()&lt;0.55,1,0),0)</f>
        <v>1</v>
      </c>
      <c r="K1413">
        <f t="shared" ref="K1413:K1476" ca="1" si="295">IF(J1413=1,IF(B1413="Test",IF(RAND()&lt;0.4,1,0),IF(RAND()&lt;0.34,1,0)),0)</f>
        <v>0</v>
      </c>
      <c r="L1413">
        <f t="shared" ref="L1413:L1476" ca="1" si="296">IF(K1413=1,H1413,0)</f>
        <v>0</v>
      </c>
      <c r="M1413">
        <f t="shared" ref="M1413:M1476" ca="1" si="297">RANDBETWEEN(1,7)</f>
        <v>6</v>
      </c>
      <c r="N1413">
        <f t="shared" ref="N1413:N1476" ca="1" si="298">IF(K1413=1,IF(RAND()&lt;0.15,1,0),0)</f>
        <v>0</v>
      </c>
    </row>
    <row r="1414" spans="1:14" x14ac:dyDescent="0.35">
      <c r="A1414" t="s">
        <v>1431</v>
      </c>
      <c r="B1414" t="str">
        <f t="shared" si="286"/>
        <v>Test</v>
      </c>
      <c r="C1414">
        <f t="shared" ca="1" si="287"/>
        <v>18</v>
      </c>
      <c r="D1414" t="str">
        <f t="shared" ca="1" si="288"/>
        <v>Male</v>
      </c>
      <c r="E1414" t="str">
        <f t="shared" ca="1" si="289"/>
        <v>Accessories</v>
      </c>
      <c r="F1414">
        <f t="shared" ca="1" si="290"/>
        <v>3002</v>
      </c>
      <c r="G1414">
        <f t="shared" ca="1" si="291"/>
        <v>15</v>
      </c>
      <c r="H1414">
        <f t="shared" ca="1" si="292"/>
        <v>2551.6999999999998</v>
      </c>
      <c r="I1414">
        <f t="shared" ca="1" si="293"/>
        <v>1</v>
      </c>
      <c r="J1414">
        <f t="shared" ca="1" si="294"/>
        <v>1</v>
      </c>
      <c r="K1414">
        <f t="shared" ca="1" si="295"/>
        <v>1</v>
      </c>
      <c r="L1414">
        <f t="shared" ca="1" si="296"/>
        <v>2551.6999999999998</v>
      </c>
      <c r="M1414">
        <f t="shared" ca="1" si="297"/>
        <v>3</v>
      </c>
      <c r="N1414">
        <f t="shared" ca="1" si="298"/>
        <v>0</v>
      </c>
    </row>
    <row r="1415" spans="1:14" x14ac:dyDescent="0.35">
      <c r="A1415" t="s">
        <v>1432</v>
      </c>
      <c r="B1415" t="str">
        <f t="shared" si="286"/>
        <v>Test</v>
      </c>
      <c r="C1415">
        <f t="shared" ca="1" si="287"/>
        <v>29</v>
      </c>
      <c r="D1415" t="str">
        <f t="shared" ca="1" si="288"/>
        <v>Female</v>
      </c>
      <c r="E1415" t="str">
        <f t="shared" ca="1" si="289"/>
        <v>Shoes</v>
      </c>
      <c r="F1415">
        <f t="shared" ca="1" si="290"/>
        <v>6784</v>
      </c>
      <c r="G1415">
        <f t="shared" ca="1" si="291"/>
        <v>15</v>
      </c>
      <c r="H1415">
        <f t="shared" ca="1" si="292"/>
        <v>5766.4</v>
      </c>
      <c r="I1415">
        <f t="shared" ca="1" si="293"/>
        <v>1</v>
      </c>
      <c r="J1415">
        <f t="shared" ca="1" si="294"/>
        <v>1</v>
      </c>
      <c r="K1415">
        <f t="shared" ca="1" si="295"/>
        <v>0</v>
      </c>
      <c r="L1415">
        <f t="shared" ca="1" si="296"/>
        <v>0</v>
      </c>
      <c r="M1415">
        <f t="shared" ca="1" si="297"/>
        <v>5</v>
      </c>
      <c r="N1415">
        <f t="shared" ca="1" si="298"/>
        <v>0</v>
      </c>
    </row>
    <row r="1416" spans="1:14" x14ac:dyDescent="0.35">
      <c r="A1416" t="s">
        <v>1433</v>
      </c>
      <c r="B1416" t="str">
        <f t="shared" si="286"/>
        <v>Test</v>
      </c>
      <c r="C1416">
        <f t="shared" ca="1" si="287"/>
        <v>18</v>
      </c>
      <c r="D1416" t="str">
        <f t="shared" ca="1" si="288"/>
        <v>Other</v>
      </c>
      <c r="E1416" t="str">
        <f t="shared" ca="1" si="289"/>
        <v>Jeans</v>
      </c>
      <c r="F1416">
        <f t="shared" ca="1" si="290"/>
        <v>3517</v>
      </c>
      <c r="G1416">
        <f t="shared" ca="1" si="291"/>
        <v>20</v>
      </c>
      <c r="H1416">
        <f t="shared" ca="1" si="292"/>
        <v>2813.6000000000004</v>
      </c>
      <c r="I1416">
        <f t="shared" ca="1" si="293"/>
        <v>0</v>
      </c>
      <c r="J1416">
        <f t="shared" ca="1" si="294"/>
        <v>0</v>
      </c>
      <c r="K1416">
        <f t="shared" ca="1" si="295"/>
        <v>0</v>
      </c>
      <c r="L1416">
        <f t="shared" ca="1" si="296"/>
        <v>0</v>
      </c>
      <c r="M1416">
        <f t="shared" ca="1" si="297"/>
        <v>6</v>
      </c>
      <c r="N1416">
        <f t="shared" ca="1" si="298"/>
        <v>0</v>
      </c>
    </row>
    <row r="1417" spans="1:14" x14ac:dyDescent="0.35">
      <c r="A1417" t="s">
        <v>1434</v>
      </c>
      <c r="B1417" t="str">
        <f t="shared" si="286"/>
        <v>Test</v>
      </c>
      <c r="C1417">
        <f t="shared" ca="1" si="287"/>
        <v>27</v>
      </c>
      <c r="D1417" t="str">
        <f t="shared" ca="1" si="288"/>
        <v>Male</v>
      </c>
      <c r="E1417" t="str">
        <f t="shared" ca="1" si="289"/>
        <v>Jeans</v>
      </c>
      <c r="F1417">
        <f t="shared" ca="1" si="290"/>
        <v>7593</v>
      </c>
      <c r="G1417">
        <f t="shared" ca="1" si="291"/>
        <v>20</v>
      </c>
      <c r="H1417">
        <f t="shared" ca="1" si="292"/>
        <v>6074.4000000000005</v>
      </c>
      <c r="I1417">
        <f t="shared" ca="1" si="293"/>
        <v>1</v>
      </c>
      <c r="J1417">
        <f t="shared" ca="1" si="294"/>
        <v>0</v>
      </c>
      <c r="K1417">
        <f t="shared" ca="1" si="295"/>
        <v>0</v>
      </c>
      <c r="L1417">
        <f t="shared" ca="1" si="296"/>
        <v>0</v>
      </c>
      <c r="M1417">
        <f t="shared" ca="1" si="297"/>
        <v>3</v>
      </c>
      <c r="N1417">
        <f t="shared" ca="1" si="298"/>
        <v>0</v>
      </c>
    </row>
    <row r="1418" spans="1:14" x14ac:dyDescent="0.35">
      <c r="A1418" t="s">
        <v>1435</v>
      </c>
      <c r="B1418" t="str">
        <f t="shared" si="286"/>
        <v>Test</v>
      </c>
      <c r="C1418">
        <f t="shared" ca="1" si="287"/>
        <v>39</v>
      </c>
      <c r="D1418" t="str">
        <f t="shared" ca="1" si="288"/>
        <v>Male</v>
      </c>
      <c r="E1418" t="str">
        <f t="shared" ca="1" si="289"/>
        <v>Ethnic Wear</v>
      </c>
      <c r="F1418">
        <f t="shared" ca="1" si="290"/>
        <v>3094</v>
      </c>
      <c r="G1418">
        <f t="shared" ca="1" si="291"/>
        <v>15</v>
      </c>
      <c r="H1418">
        <f t="shared" ca="1" si="292"/>
        <v>2629.9</v>
      </c>
      <c r="I1418">
        <f t="shared" ca="1" si="293"/>
        <v>0</v>
      </c>
      <c r="J1418">
        <f t="shared" ca="1" si="294"/>
        <v>0</v>
      </c>
      <c r="K1418">
        <f t="shared" ca="1" si="295"/>
        <v>0</v>
      </c>
      <c r="L1418">
        <f t="shared" ca="1" si="296"/>
        <v>0</v>
      </c>
      <c r="M1418">
        <f t="shared" ca="1" si="297"/>
        <v>5</v>
      </c>
      <c r="N1418">
        <f t="shared" ca="1" si="298"/>
        <v>0</v>
      </c>
    </row>
    <row r="1419" spans="1:14" x14ac:dyDescent="0.35">
      <c r="A1419" t="s">
        <v>1436</v>
      </c>
      <c r="B1419" t="str">
        <f t="shared" si="286"/>
        <v>Test</v>
      </c>
      <c r="C1419">
        <f t="shared" ca="1" si="287"/>
        <v>31</v>
      </c>
      <c r="D1419" t="str">
        <f t="shared" ca="1" si="288"/>
        <v>Female</v>
      </c>
      <c r="E1419" t="str">
        <f t="shared" ca="1" si="289"/>
        <v>Dresses</v>
      </c>
      <c r="F1419">
        <f t="shared" ca="1" si="290"/>
        <v>5981</v>
      </c>
      <c r="G1419">
        <f t="shared" ca="1" si="291"/>
        <v>20</v>
      </c>
      <c r="H1419">
        <f t="shared" ca="1" si="292"/>
        <v>4784.8</v>
      </c>
      <c r="I1419">
        <f t="shared" ca="1" si="293"/>
        <v>1</v>
      </c>
      <c r="J1419">
        <f t="shared" ca="1" si="294"/>
        <v>1</v>
      </c>
      <c r="K1419">
        <f t="shared" ca="1" si="295"/>
        <v>0</v>
      </c>
      <c r="L1419">
        <f t="shared" ca="1" si="296"/>
        <v>0</v>
      </c>
      <c r="M1419">
        <f t="shared" ca="1" si="297"/>
        <v>2</v>
      </c>
      <c r="N1419">
        <f t="shared" ca="1" si="298"/>
        <v>0</v>
      </c>
    </row>
    <row r="1420" spans="1:14" x14ac:dyDescent="0.35">
      <c r="A1420" t="s">
        <v>1437</v>
      </c>
      <c r="B1420" t="str">
        <f t="shared" si="286"/>
        <v>Test</v>
      </c>
      <c r="C1420">
        <f t="shared" ca="1" si="287"/>
        <v>36</v>
      </c>
      <c r="D1420" t="str">
        <f t="shared" ca="1" si="288"/>
        <v>Male</v>
      </c>
      <c r="E1420" t="str">
        <f t="shared" ca="1" si="289"/>
        <v>Dresses</v>
      </c>
      <c r="F1420">
        <f t="shared" ca="1" si="290"/>
        <v>6557</v>
      </c>
      <c r="G1420">
        <f t="shared" ca="1" si="291"/>
        <v>25</v>
      </c>
      <c r="H1420">
        <f t="shared" ca="1" si="292"/>
        <v>4917.75</v>
      </c>
      <c r="I1420">
        <f t="shared" ca="1" si="293"/>
        <v>1</v>
      </c>
      <c r="J1420">
        <f t="shared" ca="1" si="294"/>
        <v>0</v>
      </c>
      <c r="K1420">
        <f t="shared" ca="1" si="295"/>
        <v>0</v>
      </c>
      <c r="L1420">
        <f t="shared" ca="1" si="296"/>
        <v>0</v>
      </c>
      <c r="M1420">
        <f t="shared" ca="1" si="297"/>
        <v>7</v>
      </c>
      <c r="N1420">
        <f t="shared" ca="1" si="298"/>
        <v>0</v>
      </c>
    </row>
    <row r="1421" spans="1:14" x14ac:dyDescent="0.35">
      <c r="A1421" t="s">
        <v>1438</v>
      </c>
      <c r="B1421" t="str">
        <f t="shared" si="286"/>
        <v>Test</v>
      </c>
      <c r="C1421">
        <f t="shared" ca="1" si="287"/>
        <v>27</v>
      </c>
      <c r="D1421" t="str">
        <f t="shared" ca="1" si="288"/>
        <v>Male</v>
      </c>
      <c r="E1421" t="str">
        <f t="shared" ca="1" si="289"/>
        <v>Ethnic Wear</v>
      </c>
      <c r="F1421">
        <f t="shared" ca="1" si="290"/>
        <v>4879</v>
      </c>
      <c r="G1421">
        <f t="shared" ca="1" si="291"/>
        <v>25</v>
      </c>
      <c r="H1421">
        <f t="shared" ca="1" si="292"/>
        <v>3659.25</v>
      </c>
      <c r="I1421">
        <f t="shared" ca="1" si="293"/>
        <v>1</v>
      </c>
      <c r="J1421">
        <f t="shared" ca="1" si="294"/>
        <v>0</v>
      </c>
      <c r="K1421">
        <f t="shared" ca="1" si="295"/>
        <v>0</v>
      </c>
      <c r="L1421">
        <f t="shared" ca="1" si="296"/>
        <v>0</v>
      </c>
      <c r="M1421">
        <f t="shared" ca="1" si="297"/>
        <v>1</v>
      </c>
      <c r="N1421">
        <f t="shared" ca="1" si="298"/>
        <v>0</v>
      </c>
    </row>
    <row r="1422" spans="1:14" x14ac:dyDescent="0.35">
      <c r="A1422" t="s">
        <v>1439</v>
      </c>
      <c r="B1422" t="str">
        <f t="shared" si="286"/>
        <v>Test</v>
      </c>
      <c r="C1422">
        <f t="shared" ca="1" si="287"/>
        <v>29</v>
      </c>
      <c r="D1422" t="str">
        <f t="shared" ca="1" si="288"/>
        <v>Female</v>
      </c>
      <c r="E1422" t="str">
        <f t="shared" ca="1" si="289"/>
        <v>Sportswear</v>
      </c>
      <c r="F1422">
        <f t="shared" ca="1" si="290"/>
        <v>911</v>
      </c>
      <c r="G1422">
        <f t="shared" ca="1" si="291"/>
        <v>20</v>
      </c>
      <c r="H1422">
        <f t="shared" ca="1" si="292"/>
        <v>728.80000000000007</v>
      </c>
      <c r="I1422">
        <f t="shared" ca="1" si="293"/>
        <v>0</v>
      </c>
      <c r="J1422">
        <f t="shared" ca="1" si="294"/>
        <v>0</v>
      </c>
      <c r="K1422">
        <f t="shared" ca="1" si="295"/>
        <v>0</v>
      </c>
      <c r="L1422">
        <f t="shared" ca="1" si="296"/>
        <v>0</v>
      </c>
      <c r="M1422">
        <f t="shared" ca="1" si="297"/>
        <v>1</v>
      </c>
      <c r="N1422">
        <f t="shared" ca="1" si="298"/>
        <v>0</v>
      </c>
    </row>
    <row r="1423" spans="1:14" x14ac:dyDescent="0.35">
      <c r="A1423" t="s">
        <v>1440</v>
      </c>
      <c r="B1423" t="str">
        <f t="shared" si="286"/>
        <v>Test</v>
      </c>
      <c r="C1423">
        <f t="shared" ca="1" si="287"/>
        <v>38</v>
      </c>
      <c r="D1423" t="str">
        <f t="shared" ca="1" si="288"/>
        <v>Female</v>
      </c>
      <c r="E1423" t="str">
        <f t="shared" ca="1" si="289"/>
        <v>T-shirts</v>
      </c>
      <c r="F1423">
        <f t="shared" ca="1" si="290"/>
        <v>3685</v>
      </c>
      <c r="G1423">
        <f t="shared" ca="1" si="291"/>
        <v>20</v>
      </c>
      <c r="H1423">
        <f t="shared" ca="1" si="292"/>
        <v>2948</v>
      </c>
      <c r="I1423">
        <f t="shared" ca="1" si="293"/>
        <v>1</v>
      </c>
      <c r="J1423">
        <f t="shared" ca="1" si="294"/>
        <v>0</v>
      </c>
      <c r="K1423">
        <f t="shared" ca="1" si="295"/>
        <v>0</v>
      </c>
      <c r="L1423">
        <f t="shared" ca="1" si="296"/>
        <v>0</v>
      </c>
      <c r="M1423">
        <f t="shared" ca="1" si="297"/>
        <v>7</v>
      </c>
      <c r="N1423">
        <f t="shared" ca="1" si="298"/>
        <v>0</v>
      </c>
    </row>
    <row r="1424" spans="1:14" x14ac:dyDescent="0.35">
      <c r="A1424" t="s">
        <v>1441</v>
      </c>
      <c r="B1424" t="str">
        <f t="shared" si="286"/>
        <v>Test</v>
      </c>
      <c r="C1424">
        <f t="shared" ca="1" si="287"/>
        <v>18</v>
      </c>
      <c r="D1424" t="str">
        <f t="shared" ca="1" si="288"/>
        <v>Female</v>
      </c>
      <c r="E1424" t="str">
        <f t="shared" ca="1" si="289"/>
        <v>Jeans</v>
      </c>
      <c r="F1424">
        <f t="shared" ca="1" si="290"/>
        <v>1916</v>
      </c>
      <c r="G1424">
        <f t="shared" ca="1" si="291"/>
        <v>15</v>
      </c>
      <c r="H1424">
        <f t="shared" ca="1" si="292"/>
        <v>1628.6</v>
      </c>
      <c r="I1424">
        <f t="shared" ca="1" si="293"/>
        <v>1</v>
      </c>
      <c r="J1424">
        <f t="shared" ca="1" si="294"/>
        <v>0</v>
      </c>
      <c r="K1424">
        <f t="shared" ca="1" si="295"/>
        <v>0</v>
      </c>
      <c r="L1424">
        <f t="shared" ca="1" si="296"/>
        <v>0</v>
      </c>
      <c r="M1424">
        <f t="shared" ca="1" si="297"/>
        <v>7</v>
      </c>
      <c r="N1424">
        <f t="shared" ca="1" si="298"/>
        <v>0</v>
      </c>
    </row>
    <row r="1425" spans="1:14" x14ac:dyDescent="0.35">
      <c r="A1425" t="s">
        <v>1442</v>
      </c>
      <c r="B1425" t="str">
        <f t="shared" si="286"/>
        <v>Test</v>
      </c>
      <c r="C1425">
        <f t="shared" ca="1" si="287"/>
        <v>26</v>
      </c>
      <c r="D1425" t="str">
        <f t="shared" ca="1" si="288"/>
        <v>Male</v>
      </c>
      <c r="E1425" t="str">
        <f t="shared" ca="1" si="289"/>
        <v>Accessories</v>
      </c>
      <c r="F1425">
        <f t="shared" ca="1" si="290"/>
        <v>2153</v>
      </c>
      <c r="G1425">
        <f t="shared" ca="1" si="291"/>
        <v>20</v>
      </c>
      <c r="H1425">
        <f t="shared" ca="1" si="292"/>
        <v>1722.4</v>
      </c>
      <c r="I1425">
        <f t="shared" ca="1" si="293"/>
        <v>1</v>
      </c>
      <c r="J1425">
        <f t="shared" ca="1" si="294"/>
        <v>1</v>
      </c>
      <c r="K1425">
        <f t="shared" ca="1" si="295"/>
        <v>1</v>
      </c>
      <c r="L1425">
        <f t="shared" ca="1" si="296"/>
        <v>1722.4</v>
      </c>
      <c r="M1425">
        <f t="shared" ca="1" si="297"/>
        <v>5</v>
      </c>
      <c r="N1425">
        <f t="shared" ca="1" si="298"/>
        <v>1</v>
      </c>
    </row>
    <row r="1426" spans="1:14" x14ac:dyDescent="0.35">
      <c r="A1426" t="s">
        <v>1443</v>
      </c>
      <c r="B1426" t="str">
        <f t="shared" si="286"/>
        <v>Test</v>
      </c>
      <c r="C1426">
        <f t="shared" ca="1" si="287"/>
        <v>28</v>
      </c>
      <c r="D1426" t="str">
        <f t="shared" ca="1" si="288"/>
        <v>Female</v>
      </c>
      <c r="E1426" t="str">
        <f t="shared" ca="1" si="289"/>
        <v>Ethnic Wear</v>
      </c>
      <c r="F1426">
        <f t="shared" ca="1" si="290"/>
        <v>7321</v>
      </c>
      <c r="G1426">
        <f t="shared" ca="1" si="291"/>
        <v>25</v>
      </c>
      <c r="H1426">
        <f t="shared" ca="1" si="292"/>
        <v>5490.75</v>
      </c>
      <c r="I1426">
        <f t="shared" ca="1" si="293"/>
        <v>1</v>
      </c>
      <c r="J1426">
        <f t="shared" ca="1" si="294"/>
        <v>1</v>
      </c>
      <c r="K1426">
        <f t="shared" ca="1" si="295"/>
        <v>0</v>
      </c>
      <c r="L1426">
        <f t="shared" ca="1" si="296"/>
        <v>0</v>
      </c>
      <c r="M1426">
        <f t="shared" ca="1" si="297"/>
        <v>7</v>
      </c>
      <c r="N1426">
        <f t="shared" ca="1" si="298"/>
        <v>0</v>
      </c>
    </row>
    <row r="1427" spans="1:14" x14ac:dyDescent="0.35">
      <c r="A1427" t="s">
        <v>1444</v>
      </c>
      <c r="B1427" t="str">
        <f t="shared" si="286"/>
        <v>Test</v>
      </c>
      <c r="C1427">
        <f t="shared" ca="1" si="287"/>
        <v>37</v>
      </c>
      <c r="D1427" t="str">
        <f t="shared" ca="1" si="288"/>
        <v>Male</v>
      </c>
      <c r="E1427" t="str">
        <f t="shared" ca="1" si="289"/>
        <v>Ethnic Wear</v>
      </c>
      <c r="F1427">
        <f t="shared" ca="1" si="290"/>
        <v>779</v>
      </c>
      <c r="G1427">
        <f t="shared" ca="1" si="291"/>
        <v>15</v>
      </c>
      <c r="H1427">
        <f t="shared" ca="1" si="292"/>
        <v>662.15</v>
      </c>
      <c r="I1427">
        <f t="shared" ca="1" si="293"/>
        <v>1</v>
      </c>
      <c r="J1427">
        <f t="shared" ca="1" si="294"/>
        <v>1</v>
      </c>
      <c r="K1427">
        <f t="shared" ca="1" si="295"/>
        <v>0</v>
      </c>
      <c r="L1427">
        <f t="shared" ca="1" si="296"/>
        <v>0</v>
      </c>
      <c r="M1427">
        <f t="shared" ca="1" si="297"/>
        <v>6</v>
      </c>
      <c r="N1427">
        <f t="shared" ca="1" si="298"/>
        <v>0</v>
      </c>
    </row>
    <row r="1428" spans="1:14" x14ac:dyDescent="0.35">
      <c r="A1428" t="s">
        <v>1445</v>
      </c>
      <c r="B1428" t="str">
        <f t="shared" si="286"/>
        <v>Test</v>
      </c>
      <c r="C1428">
        <f t="shared" ca="1" si="287"/>
        <v>36</v>
      </c>
      <c r="D1428" t="str">
        <f t="shared" ca="1" si="288"/>
        <v>Female</v>
      </c>
      <c r="E1428" t="str">
        <f t="shared" ca="1" si="289"/>
        <v>Tops</v>
      </c>
      <c r="F1428">
        <f t="shared" ca="1" si="290"/>
        <v>548</v>
      </c>
      <c r="G1428">
        <f t="shared" ca="1" si="291"/>
        <v>15</v>
      </c>
      <c r="H1428">
        <f t="shared" ca="1" si="292"/>
        <v>465.8</v>
      </c>
      <c r="I1428">
        <f t="shared" ca="1" si="293"/>
        <v>1</v>
      </c>
      <c r="J1428">
        <f t="shared" ca="1" si="294"/>
        <v>1</v>
      </c>
      <c r="K1428">
        <f t="shared" ca="1" si="295"/>
        <v>0</v>
      </c>
      <c r="L1428">
        <f t="shared" ca="1" si="296"/>
        <v>0</v>
      </c>
      <c r="M1428">
        <f t="shared" ca="1" si="297"/>
        <v>2</v>
      </c>
      <c r="N1428">
        <f t="shared" ca="1" si="298"/>
        <v>0</v>
      </c>
    </row>
    <row r="1429" spans="1:14" x14ac:dyDescent="0.35">
      <c r="A1429" t="s">
        <v>1446</v>
      </c>
      <c r="B1429" t="str">
        <f t="shared" si="286"/>
        <v>Test</v>
      </c>
      <c r="C1429">
        <f t="shared" ca="1" si="287"/>
        <v>27</v>
      </c>
      <c r="D1429" t="str">
        <f t="shared" ca="1" si="288"/>
        <v>Female</v>
      </c>
      <c r="E1429" t="str">
        <f t="shared" ca="1" si="289"/>
        <v>T-shirts</v>
      </c>
      <c r="F1429">
        <f t="shared" ca="1" si="290"/>
        <v>5402</v>
      </c>
      <c r="G1429">
        <f t="shared" ca="1" si="291"/>
        <v>15</v>
      </c>
      <c r="H1429">
        <f t="shared" ca="1" si="292"/>
        <v>4591.7</v>
      </c>
      <c r="I1429">
        <f t="shared" ca="1" si="293"/>
        <v>1</v>
      </c>
      <c r="J1429">
        <f t="shared" ca="1" si="294"/>
        <v>1</v>
      </c>
      <c r="K1429">
        <f t="shared" ca="1" si="295"/>
        <v>1</v>
      </c>
      <c r="L1429">
        <f t="shared" ca="1" si="296"/>
        <v>4591.7</v>
      </c>
      <c r="M1429">
        <f t="shared" ca="1" si="297"/>
        <v>1</v>
      </c>
      <c r="N1429">
        <f t="shared" ca="1" si="298"/>
        <v>0</v>
      </c>
    </row>
    <row r="1430" spans="1:14" x14ac:dyDescent="0.35">
      <c r="A1430" t="s">
        <v>1447</v>
      </c>
      <c r="B1430" t="str">
        <f t="shared" si="286"/>
        <v>Test</v>
      </c>
      <c r="C1430">
        <f t="shared" ca="1" si="287"/>
        <v>26</v>
      </c>
      <c r="D1430" t="str">
        <f t="shared" ca="1" si="288"/>
        <v>Female</v>
      </c>
      <c r="E1430" t="str">
        <f t="shared" ca="1" si="289"/>
        <v>Shoes</v>
      </c>
      <c r="F1430">
        <f t="shared" ca="1" si="290"/>
        <v>411</v>
      </c>
      <c r="G1430">
        <f t="shared" ca="1" si="291"/>
        <v>15</v>
      </c>
      <c r="H1430">
        <f t="shared" ca="1" si="292"/>
        <v>349.34999999999997</v>
      </c>
      <c r="I1430">
        <f t="shared" ca="1" si="293"/>
        <v>1</v>
      </c>
      <c r="J1430">
        <f t="shared" ca="1" si="294"/>
        <v>1</v>
      </c>
      <c r="K1430">
        <f t="shared" ca="1" si="295"/>
        <v>1</v>
      </c>
      <c r="L1430">
        <f t="shared" ca="1" si="296"/>
        <v>349.34999999999997</v>
      </c>
      <c r="M1430">
        <f t="shared" ca="1" si="297"/>
        <v>2</v>
      </c>
      <c r="N1430">
        <f t="shared" ca="1" si="298"/>
        <v>1</v>
      </c>
    </row>
    <row r="1431" spans="1:14" x14ac:dyDescent="0.35">
      <c r="A1431" t="s">
        <v>1448</v>
      </c>
      <c r="B1431" t="str">
        <f t="shared" si="286"/>
        <v>Test</v>
      </c>
      <c r="C1431">
        <f t="shared" ca="1" si="287"/>
        <v>43</v>
      </c>
      <c r="D1431" t="str">
        <f t="shared" ca="1" si="288"/>
        <v>Female</v>
      </c>
      <c r="E1431" t="str">
        <f t="shared" ca="1" si="289"/>
        <v>Tops</v>
      </c>
      <c r="F1431">
        <f t="shared" ca="1" si="290"/>
        <v>7542</v>
      </c>
      <c r="G1431">
        <f t="shared" ca="1" si="291"/>
        <v>20</v>
      </c>
      <c r="H1431">
        <f t="shared" ca="1" si="292"/>
        <v>6033.6</v>
      </c>
      <c r="I1431">
        <f t="shared" ca="1" si="293"/>
        <v>1</v>
      </c>
      <c r="J1431">
        <f t="shared" ca="1" si="294"/>
        <v>1</v>
      </c>
      <c r="K1431">
        <f t="shared" ca="1" si="295"/>
        <v>0</v>
      </c>
      <c r="L1431">
        <f t="shared" ca="1" si="296"/>
        <v>0</v>
      </c>
      <c r="M1431">
        <f t="shared" ca="1" si="297"/>
        <v>2</v>
      </c>
      <c r="N1431">
        <f t="shared" ca="1" si="298"/>
        <v>0</v>
      </c>
    </row>
    <row r="1432" spans="1:14" x14ac:dyDescent="0.35">
      <c r="A1432" t="s">
        <v>1449</v>
      </c>
      <c r="B1432" t="str">
        <f t="shared" si="286"/>
        <v>Test</v>
      </c>
      <c r="C1432">
        <f t="shared" ca="1" si="287"/>
        <v>21</v>
      </c>
      <c r="D1432" t="str">
        <f t="shared" ca="1" si="288"/>
        <v>Female</v>
      </c>
      <c r="E1432" t="str">
        <f t="shared" ca="1" si="289"/>
        <v>Shoes</v>
      </c>
      <c r="F1432">
        <f t="shared" ca="1" si="290"/>
        <v>3139</v>
      </c>
      <c r="G1432">
        <f t="shared" ca="1" si="291"/>
        <v>25</v>
      </c>
      <c r="H1432">
        <f t="shared" ca="1" si="292"/>
        <v>2354.25</v>
      </c>
      <c r="I1432">
        <f t="shared" ca="1" si="293"/>
        <v>1</v>
      </c>
      <c r="J1432">
        <f t="shared" ca="1" si="294"/>
        <v>1</v>
      </c>
      <c r="K1432">
        <f t="shared" ca="1" si="295"/>
        <v>0</v>
      </c>
      <c r="L1432">
        <f t="shared" ca="1" si="296"/>
        <v>0</v>
      </c>
      <c r="M1432">
        <f t="shared" ca="1" si="297"/>
        <v>7</v>
      </c>
      <c r="N1432">
        <f t="shared" ca="1" si="298"/>
        <v>0</v>
      </c>
    </row>
    <row r="1433" spans="1:14" x14ac:dyDescent="0.35">
      <c r="A1433" t="s">
        <v>1450</v>
      </c>
      <c r="B1433" t="str">
        <f t="shared" si="286"/>
        <v>Test</v>
      </c>
      <c r="C1433">
        <f t="shared" ca="1" si="287"/>
        <v>37</v>
      </c>
      <c r="D1433" t="str">
        <f t="shared" ca="1" si="288"/>
        <v>Female</v>
      </c>
      <c r="E1433" t="str">
        <f t="shared" ca="1" si="289"/>
        <v>Shoes</v>
      </c>
      <c r="F1433">
        <f t="shared" ca="1" si="290"/>
        <v>7012</v>
      </c>
      <c r="G1433">
        <f t="shared" ca="1" si="291"/>
        <v>15</v>
      </c>
      <c r="H1433">
        <f t="shared" ca="1" si="292"/>
        <v>5960.2</v>
      </c>
      <c r="I1433">
        <f t="shared" ca="1" si="293"/>
        <v>1</v>
      </c>
      <c r="J1433">
        <f t="shared" ca="1" si="294"/>
        <v>0</v>
      </c>
      <c r="K1433">
        <f t="shared" ca="1" si="295"/>
        <v>0</v>
      </c>
      <c r="L1433">
        <f t="shared" ca="1" si="296"/>
        <v>0</v>
      </c>
      <c r="M1433">
        <f t="shared" ca="1" si="297"/>
        <v>6</v>
      </c>
      <c r="N1433">
        <f t="shared" ca="1" si="298"/>
        <v>0</v>
      </c>
    </row>
    <row r="1434" spans="1:14" x14ac:dyDescent="0.35">
      <c r="A1434" t="s">
        <v>1451</v>
      </c>
      <c r="B1434" t="str">
        <f t="shared" si="286"/>
        <v>Test</v>
      </c>
      <c r="C1434">
        <f t="shared" ca="1" si="287"/>
        <v>31</v>
      </c>
      <c r="D1434" t="str">
        <f t="shared" ca="1" si="288"/>
        <v>Female</v>
      </c>
      <c r="E1434" t="str">
        <f t="shared" ca="1" si="289"/>
        <v>Shoes</v>
      </c>
      <c r="F1434">
        <f t="shared" ca="1" si="290"/>
        <v>1896</v>
      </c>
      <c r="G1434">
        <f t="shared" ca="1" si="291"/>
        <v>25</v>
      </c>
      <c r="H1434">
        <f t="shared" ca="1" si="292"/>
        <v>1422</v>
      </c>
      <c r="I1434">
        <f t="shared" ca="1" si="293"/>
        <v>1</v>
      </c>
      <c r="J1434">
        <f t="shared" ca="1" si="294"/>
        <v>0</v>
      </c>
      <c r="K1434">
        <f t="shared" ca="1" si="295"/>
        <v>0</v>
      </c>
      <c r="L1434">
        <f t="shared" ca="1" si="296"/>
        <v>0</v>
      </c>
      <c r="M1434">
        <f t="shared" ca="1" si="297"/>
        <v>2</v>
      </c>
      <c r="N1434">
        <f t="shared" ca="1" si="298"/>
        <v>0</v>
      </c>
    </row>
    <row r="1435" spans="1:14" x14ac:dyDescent="0.35">
      <c r="A1435" t="s">
        <v>1452</v>
      </c>
      <c r="B1435" t="str">
        <f t="shared" si="286"/>
        <v>Test</v>
      </c>
      <c r="C1435">
        <f t="shared" ca="1" si="287"/>
        <v>22</v>
      </c>
      <c r="D1435" t="str">
        <f t="shared" ca="1" si="288"/>
        <v>Female</v>
      </c>
      <c r="E1435" t="str">
        <f t="shared" ca="1" si="289"/>
        <v>Ethnic Wear</v>
      </c>
      <c r="F1435">
        <f t="shared" ca="1" si="290"/>
        <v>6839</v>
      </c>
      <c r="G1435">
        <f t="shared" ca="1" si="291"/>
        <v>20</v>
      </c>
      <c r="H1435">
        <f t="shared" ca="1" si="292"/>
        <v>5471.2000000000007</v>
      </c>
      <c r="I1435">
        <f t="shared" ca="1" si="293"/>
        <v>0</v>
      </c>
      <c r="J1435">
        <f t="shared" ca="1" si="294"/>
        <v>0</v>
      </c>
      <c r="K1435">
        <f t="shared" ca="1" si="295"/>
        <v>0</v>
      </c>
      <c r="L1435">
        <f t="shared" ca="1" si="296"/>
        <v>0</v>
      </c>
      <c r="M1435">
        <f t="shared" ca="1" si="297"/>
        <v>5</v>
      </c>
      <c r="N1435">
        <f t="shared" ca="1" si="298"/>
        <v>0</v>
      </c>
    </row>
    <row r="1436" spans="1:14" x14ac:dyDescent="0.35">
      <c r="A1436" t="s">
        <v>1453</v>
      </c>
      <c r="B1436" t="str">
        <f t="shared" si="286"/>
        <v>Test</v>
      </c>
      <c r="C1436">
        <f t="shared" ca="1" si="287"/>
        <v>41</v>
      </c>
      <c r="D1436" t="str">
        <f t="shared" ca="1" si="288"/>
        <v>Male</v>
      </c>
      <c r="E1436" t="str">
        <f t="shared" ca="1" si="289"/>
        <v>Shoes</v>
      </c>
      <c r="F1436">
        <f t="shared" ca="1" si="290"/>
        <v>7650</v>
      </c>
      <c r="G1436">
        <f t="shared" ca="1" si="291"/>
        <v>15</v>
      </c>
      <c r="H1436">
        <f t="shared" ca="1" si="292"/>
        <v>6502.5</v>
      </c>
      <c r="I1436">
        <f t="shared" ca="1" si="293"/>
        <v>1</v>
      </c>
      <c r="J1436">
        <f t="shared" ca="1" si="294"/>
        <v>1</v>
      </c>
      <c r="K1436">
        <f t="shared" ca="1" si="295"/>
        <v>0</v>
      </c>
      <c r="L1436">
        <f t="shared" ca="1" si="296"/>
        <v>0</v>
      </c>
      <c r="M1436">
        <f t="shared" ca="1" si="297"/>
        <v>2</v>
      </c>
      <c r="N1436">
        <f t="shared" ca="1" si="298"/>
        <v>0</v>
      </c>
    </row>
    <row r="1437" spans="1:14" x14ac:dyDescent="0.35">
      <c r="A1437" t="s">
        <v>1454</v>
      </c>
      <c r="B1437" t="str">
        <f t="shared" si="286"/>
        <v>Test</v>
      </c>
      <c r="C1437">
        <f t="shared" ca="1" si="287"/>
        <v>37</v>
      </c>
      <c r="D1437" t="str">
        <f t="shared" ca="1" si="288"/>
        <v>Female</v>
      </c>
      <c r="E1437" t="str">
        <f t="shared" ca="1" si="289"/>
        <v>T-shirts</v>
      </c>
      <c r="F1437">
        <f t="shared" ca="1" si="290"/>
        <v>7459</v>
      </c>
      <c r="G1437">
        <f t="shared" ca="1" si="291"/>
        <v>20</v>
      </c>
      <c r="H1437">
        <f t="shared" ca="1" si="292"/>
        <v>5967.2000000000007</v>
      </c>
      <c r="I1437">
        <f t="shared" ca="1" si="293"/>
        <v>1</v>
      </c>
      <c r="J1437">
        <f t="shared" ca="1" si="294"/>
        <v>1</v>
      </c>
      <c r="K1437">
        <f t="shared" ca="1" si="295"/>
        <v>0</v>
      </c>
      <c r="L1437">
        <f t="shared" ca="1" si="296"/>
        <v>0</v>
      </c>
      <c r="M1437">
        <f t="shared" ca="1" si="297"/>
        <v>4</v>
      </c>
      <c r="N1437">
        <f t="shared" ca="1" si="298"/>
        <v>0</v>
      </c>
    </row>
    <row r="1438" spans="1:14" x14ac:dyDescent="0.35">
      <c r="A1438" t="s">
        <v>1455</v>
      </c>
      <c r="B1438" t="str">
        <f t="shared" si="286"/>
        <v>Test</v>
      </c>
      <c r="C1438">
        <f t="shared" ca="1" si="287"/>
        <v>28</v>
      </c>
      <c r="D1438" t="str">
        <f t="shared" ca="1" si="288"/>
        <v>Female</v>
      </c>
      <c r="E1438" t="str">
        <f t="shared" ca="1" si="289"/>
        <v>T-shirts</v>
      </c>
      <c r="F1438">
        <f t="shared" ca="1" si="290"/>
        <v>448</v>
      </c>
      <c r="G1438">
        <f t="shared" ca="1" si="291"/>
        <v>15</v>
      </c>
      <c r="H1438">
        <f t="shared" ca="1" si="292"/>
        <v>380.8</v>
      </c>
      <c r="I1438">
        <f t="shared" ca="1" si="293"/>
        <v>1</v>
      </c>
      <c r="J1438">
        <f t="shared" ca="1" si="294"/>
        <v>0</v>
      </c>
      <c r="K1438">
        <f t="shared" ca="1" si="295"/>
        <v>0</v>
      </c>
      <c r="L1438">
        <f t="shared" ca="1" si="296"/>
        <v>0</v>
      </c>
      <c r="M1438">
        <f t="shared" ca="1" si="297"/>
        <v>1</v>
      </c>
      <c r="N1438">
        <f t="shared" ca="1" si="298"/>
        <v>0</v>
      </c>
    </row>
    <row r="1439" spans="1:14" x14ac:dyDescent="0.35">
      <c r="A1439" t="s">
        <v>1456</v>
      </c>
      <c r="B1439" t="str">
        <f t="shared" si="286"/>
        <v>Test</v>
      </c>
      <c r="C1439">
        <f t="shared" ca="1" si="287"/>
        <v>29</v>
      </c>
      <c r="D1439" t="str">
        <f t="shared" ca="1" si="288"/>
        <v>Female</v>
      </c>
      <c r="E1439" t="str">
        <f t="shared" ca="1" si="289"/>
        <v>Dresses</v>
      </c>
      <c r="F1439">
        <f t="shared" ca="1" si="290"/>
        <v>1420</v>
      </c>
      <c r="G1439">
        <f t="shared" ca="1" si="291"/>
        <v>20</v>
      </c>
      <c r="H1439">
        <f t="shared" ca="1" si="292"/>
        <v>1136</v>
      </c>
      <c r="I1439">
        <f t="shared" ca="1" si="293"/>
        <v>0</v>
      </c>
      <c r="J1439">
        <f t="shared" ca="1" si="294"/>
        <v>0</v>
      </c>
      <c r="K1439">
        <f t="shared" ca="1" si="295"/>
        <v>0</v>
      </c>
      <c r="L1439">
        <f t="shared" ca="1" si="296"/>
        <v>0</v>
      </c>
      <c r="M1439">
        <f t="shared" ca="1" si="297"/>
        <v>7</v>
      </c>
      <c r="N1439">
        <f t="shared" ca="1" si="298"/>
        <v>0</v>
      </c>
    </row>
    <row r="1440" spans="1:14" x14ac:dyDescent="0.35">
      <c r="A1440" t="s">
        <v>1457</v>
      </c>
      <c r="B1440" t="str">
        <f t="shared" si="286"/>
        <v>Test</v>
      </c>
      <c r="C1440">
        <f t="shared" ca="1" si="287"/>
        <v>36</v>
      </c>
      <c r="D1440" t="str">
        <f t="shared" ca="1" si="288"/>
        <v>Male</v>
      </c>
      <c r="E1440" t="str">
        <f t="shared" ca="1" si="289"/>
        <v>Shoes</v>
      </c>
      <c r="F1440">
        <f t="shared" ca="1" si="290"/>
        <v>879</v>
      </c>
      <c r="G1440">
        <f t="shared" ca="1" si="291"/>
        <v>20</v>
      </c>
      <c r="H1440">
        <f t="shared" ca="1" si="292"/>
        <v>703.2</v>
      </c>
      <c r="I1440">
        <f t="shared" ca="1" si="293"/>
        <v>1</v>
      </c>
      <c r="J1440">
        <f t="shared" ca="1" si="294"/>
        <v>1</v>
      </c>
      <c r="K1440">
        <f t="shared" ca="1" si="295"/>
        <v>0</v>
      </c>
      <c r="L1440">
        <f t="shared" ca="1" si="296"/>
        <v>0</v>
      </c>
      <c r="M1440">
        <f t="shared" ca="1" si="297"/>
        <v>5</v>
      </c>
      <c r="N1440">
        <f t="shared" ca="1" si="298"/>
        <v>0</v>
      </c>
    </row>
    <row r="1441" spans="1:14" x14ac:dyDescent="0.35">
      <c r="A1441" t="s">
        <v>1458</v>
      </c>
      <c r="B1441" t="str">
        <f t="shared" si="286"/>
        <v>Test</v>
      </c>
      <c r="C1441">
        <f t="shared" ca="1" si="287"/>
        <v>25</v>
      </c>
      <c r="D1441" t="str">
        <f t="shared" ca="1" si="288"/>
        <v>Female</v>
      </c>
      <c r="E1441" t="str">
        <f t="shared" ca="1" si="289"/>
        <v>Tops</v>
      </c>
      <c r="F1441">
        <f t="shared" ca="1" si="290"/>
        <v>5156</v>
      </c>
      <c r="G1441">
        <f t="shared" ca="1" si="291"/>
        <v>25</v>
      </c>
      <c r="H1441">
        <f t="shared" ca="1" si="292"/>
        <v>3867</v>
      </c>
      <c r="I1441">
        <f t="shared" ca="1" si="293"/>
        <v>1</v>
      </c>
      <c r="J1441">
        <f t="shared" ca="1" si="294"/>
        <v>1</v>
      </c>
      <c r="K1441">
        <f t="shared" ca="1" si="295"/>
        <v>0</v>
      </c>
      <c r="L1441">
        <f t="shared" ca="1" si="296"/>
        <v>0</v>
      </c>
      <c r="M1441">
        <f t="shared" ca="1" si="297"/>
        <v>2</v>
      </c>
      <c r="N1441">
        <f t="shared" ca="1" si="298"/>
        <v>0</v>
      </c>
    </row>
    <row r="1442" spans="1:14" x14ac:dyDescent="0.35">
      <c r="A1442" t="s">
        <v>1459</v>
      </c>
      <c r="B1442" t="str">
        <f t="shared" si="286"/>
        <v>Test</v>
      </c>
      <c r="C1442">
        <f t="shared" ca="1" si="287"/>
        <v>41</v>
      </c>
      <c r="D1442" t="str">
        <f t="shared" ca="1" si="288"/>
        <v>Other</v>
      </c>
      <c r="E1442" t="str">
        <f t="shared" ca="1" si="289"/>
        <v>Dresses</v>
      </c>
      <c r="F1442">
        <f t="shared" ca="1" si="290"/>
        <v>6175</v>
      </c>
      <c r="G1442">
        <f t="shared" ca="1" si="291"/>
        <v>15</v>
      </c>
      <c r="H1442">
        <f t="shared" ca="1" si="292"/>
        <v>5248.75</v>
      </c>
      <c r="I1442">
        <f t="shared" ca="1" si="293"/>
        <v>1</v>
      </c>
      <c r="J1442">
        <f t="shared" ca="1" si="294"/>
        <v>1</v>
      </c>
      <c r="K1442">
        <f t="shared" ca="1" si="295"/>
        <v>1</v>
      </c>
      <c r="L1442">
        <f t="shared" ca="1" si="296"/>
        <v>5248.75</v>
      </c>
      <c r="M1442">
        <f t="shared" ca="1" si="297"/>
        <v>4</v>
      </c>
      <c r="N1442">
        <f t="shared" ca="1" si="298"/>
        <v>0</v>
      </c>
    </row>
    <row r="1443" spans="1:14" x14ac:dyDescent="0.35">
      <c r="A1443" t="s">
        <v>1460</v>
      </c>
      <c r="B1443" t="str">
        <f t="shared" si="286"/>
        <v>Test</v>
      </c>
      <c r="C1443">
        <f t="shared" ca="1" si="287"/>
        <v>36</v>
      </c>
      <c r="D1443" t="str">
        <f t="shared" ca="1" si="288"/>
        <v>Female</v>
      </c>
      <c r="E1443" t="str">
        <f t="shared" ca="1" si="289"/>
        <v>Ethnic Wear</v>
      </c>
      <c r="F1443">
        <f t="shared" ca="1" si="290"/>
        <v>4555</v>
      </c>
      <c r="G1443">
        <f t="shared" ca="1" si="291"/>
        <v>25</v>
      </c>
      <c r="H1443">
        <f t="shared" ca="1" si="292"/>
        <v>3416.25</v>
      </c>
      <c r="I1443">
        <f t="shared" ca="1" si="293"/>
        <v>1</v>
      </c>
      <c r="J1443">
        <f t="shared" ca="1" si="294"/>
        <v>1</v>
      </c>
      <c r="K1443">
        <f t="shared" ca="1" si="295"/>
        <v>0</v>
      </c>
      <c r="L1443">
        <f t="shared" ca="1" si="296"/>
        <v>0</v>
      </c>
      <c r="M1443">
        <f t="shared" ca="1" si="297"/>
        <v>5</v>
      </c>
      <c r="N1443">
        <f t="shared" ca="1" si="298"/>
        <v>0</v>
      </c>
    </row>
    <row r="1444" spans="1:14" x14ac:dyDescent="0.35">
      <c r="A1444" t="s">
        <v>1461</v>
      </c>
      <c r="B1444" t="str">
        <f t="shared" si="286"/>
        <v>Test</v>
      </c>
      <c r="C1444">
        <f t="shared" ca="1" si="287"/>
        <v>22</v>
      </c>
      <c r="D1444" t="str">
        <f t="shared" ca="1" si="288"/>
        <v>Female</v>
      </c>
      <c r="E1444" t="str">
        <f t="shared" ca="1" si="289"/>
        <v>Shoes</v>
      </c>
      <c r="F1444">
        <f t="shared" ca="1" si="290"/>
        <v>1431</v>
      </c>
      <c r="G1444">
        <f t="shared" ca="1" si="291"/>
        <v>25</v>
      </c>
      <c r="H1444">
        <f t="shared" ca="1" si="292"/>
        <v>1073.25</v>
      </c>
      <c r="I1444">
        <f t="shared" ca="1" si="293"/>
        <v>1</v>
      </c>
      <c r="J1444">
        <f t="shared" ca="1" si="294"/>
        <v>0</v>
      </c>
      <c r="K1444">
        <f t="shared" ca="1" si="295"/>
        <v>0</v>
      </c>
      <c r="L1444">
        <f t="shared" ca="1" si="296"/>
        <v>0</v>
      </c>
      <c r="M1444">
        <f t="shared" ca="1" si="297"/>
        <v>5</v>
      </c>
      <c r="N1444">
        <f t="shared" ca="1" si="298"/>
        <v>0</v>
      </c>
    </row>
    <row r="1445" spans="1:14" x14ac:dyDescent="0.35">
      <c r="A1445" t="s">
        <v>1462</v>
      </c>
      <c r="B1445" t="str">
        <f t="shared" si="286"/>
        <v>Test</v>
      </c>
      <c r="C1445">
        <f t="shared" ca="1" si="287"/>
        <v>26</v>
      </c>
      <c r="D1445" t="str">
        <f t="shared" ca="1" si="288"/>
        <v>Female</v>
      </c>
      <c r="E1445" t="str">
        <f t="shared" ca="1" si="289"/>
        <v>Sportswear</v>
      </c>
      <c r="F1445">
        <f t="shared" ca="1" si="290"/>
        <v>2238</v>
      </c>
      <c r="G1445">
        <f t="shared" ca="1" si="291"/>
        <v>15</v>
      </c>
      <c r="H1445">
        <f t="shared" ca="1" si="292"/>
        <v>1902.3</v>
      </c>
      <c r="I1445">
        <f t="shared" ca="1" si="293"/>
        <v>1</v>
      </c>
      <c r="J1445">
        <f t="shared" ca="1" si="294"/>
        <v>1</v>
      </c>
      <c r="K1445">
        <f t="shared" ca="1" si="295"/>
        <v>1</v>
      </c>
      <c r="L1445">
        <f t="shared" ca="1" si="296"/>
        <v>1902.3</v>
      </c>
      <c r="M1445">
        <f t="shared" ca="1" si="297"/>
        <v>1</v>
      </c>
      <c r="N1445">
        <f t="shared" ca="1" si="298"/>
        <v>0</v>
      </c>
    </row>
    <row r="1446" spans="1:14" x14ac:dyDescent="0.35">
      <c r="A1446" t="s">
        <v>1463</v>
      </c>
      <c r="B1446" t="str">
        <f t="shared" si="286"/>
        <v>Test</v>
      </c>
      <c r="C1446">
        <f t="shared" ca="1" si="287"/>
        <v>22</v>
      </c>
      <c r="D1446" t="str">
        <f t="shared" ca="1" si="288"/>
        <v>Male</v>
      </c>
      <c r="E1446" t="str">
        <f t="shared" ca="1" si="289"/>
        <v>Accessories</v>
      </c>
      <c r="F1446">
        <f t="shared" ca="1" si="290"/>
        <v>582</v>
      </c>
      <c r="G1446">
        <f t="shared" ca="1" si="291"/>
        <v>25</v>
      </c>
      <c r="H1446">
        <f t="shared" ca="1" si="292"/>
        <v>436.5</v>
      </c>
      <c r="I1446">
        <f t="shared" ca="1" si="293"/>
        <v>0</v>
      </c>
      <c r="J1446">
        <f t="shared" ca="1" si="294"/>
        <v>0</v>
      </c>
      <c r="K1446">
        <f t="shared" ca="1" si="295"/>
        <v>0</v>
      </c>
      <c r="L1446">
        <f t="shared" ca="1" si="296"/>
        <v>0</v>
      </c>
      <c r="M1446">
        <f t="shared" ca="1" si="297"/>
        <v>4</v>
      </c>
      <c r="N1446">
        <f t="shared" ca="1" si="298"/>
        <v>0</v>
      </c>
    </row>
    <row r="1447" spans="1:14" x14ac:dyDescent="0.35">
      <c r="A1447" t="s">
        <v>1464</v>
      </c>
      <c r="B1447" t="str">
        <f t="shared" si="286"/>
        <v>Test</v>
      </c>
      <c r="C1447">
        <f t="shared" ca="1" si="287"/>
        <v>26</v>
      </c>
      <c r="D1447" t="str">
        <f t="shared" ca="1" si="288"/>
        <v>Female</v>
      </c>
      <c r="E1447" t="str">
        <f t="shared" ca="1" si="289"/>
        <v>T-shirts</v>
      </c>
      <c r="F1447">
        <f t="shared" ca="1" si="290"/>
        <v>6536</v>
      </c>
      <c r="G1447">
        <f t="shared" ca="1" si="291"/>
        <v>15</v>
      </c>
      <c r="H1447">
        <f t="shared" ca="1" si="292"/>
        <v>5555.5999999999995</v>
      </c>
      <c r="I1447">
        <f t="shared" ca="1" si="293"/>
        <v>1</v>
      </c>
      <c r="J1447">
        <f t="shared" ca="1" si="294"/>
        <v>1</v>
      </c>
      <c r="K1447">
        <f t="shared" ca="1" si="295"/>
        <v>1</v>
      </c>
      <c r="L1447">
        <f t="shared" ca="1" si="296"/>
        <v>5555.5999999999995</v>
      </c>
      <c r="M1447">
        <f t="shared" ca="1" si="297"/>
        <v>2</v>
      </c>
      <c r="N1447">
        <f t="shared" ca="1" si="298"/>
        <v>0</v>
      </c>
    </row>
    <row r="1448" spans="1:14" x14ac:dyDescent="0.35">
      <c r="A1448" t="s">
        <v>1465</v>
      </c>
      <c r="B1448" t="str">
        <f t="shared" si="286"/>
        <v>Test</v>
      </c>
      <c r="C1448">
        <f t="shared" ca="1" si="287"/>
        <v>25</v>
      </c>
      <c r="D1448" t="str">
        <f t="shared" ca="1" si="288"/>
        <v>Male</v>
      </c>
      <c r="E1448" t="str">
        <f t="shared" ca="1" si="289"/>
        <v>Dresses</v>
      </c>
      <c r="F1448">
        <f t="shared" ca="1" si="290"/>
        <v>3453</v>
      </c>
      <c r="G1448">
        <f t="shared" ca="1" si="291"/>
        <v>15</v>
      </c>
      <c r="H1448">
        <f t="shared" ca="1" si="292"/>
        <v>2935.0499999999997</v>
      </c>
      <c r="I1448">
        <f t="shared" ca="1" si="293"/>
        <v>1</v>
      </c>
      <c r="J1448">
        <f t="shared" ca="1" si="294"/>
        <v>1</v>
      </c>
      <c r="K1448">
        <f t="shared" ca="1" si="295"/>
        <v>1</v>
      </c>
      <c r="L1448">
        <f t="shared" ca="1" si="296"/>
        <v>2935.0499999999997</v>
      </c>
      <c r="M1448">
        <f t="shared" ca="1" si="297"/>
        <v>4</v>
      </c>
      <c r="N1448">
        <f t="shared" ca="1" si="298"/>
        <v>1</v>
      </c>
    </row>
    <row r="1449" spans="1:14" x14ac:dyDescent="0.35">
      <c r="A1449" t="s">
        <v>1466</v>
      </c>
      <c r="B1449" t="str">
        <f t="shared" si="286"/>
        <v>Test</v>
      </c>
      <c r="C1449">
        <f t="shared" ca="1" si="287"/>
        <v>36</v>
      </c>
      <c r="D1449" t="str">
        <f t="shared" ca="1" si="288"/>
        <v>Male</v>
      </c>
      <c r="E1449" t="str">
        <f t="shared" ca="1" si="289"/>
        <v>Dresses</v>
      </c>
      <c r="F1449">
        <f t="shared" ca="1" si="290"/>
        <v>5850</v>
      </c>
      <c r="G1449">
        <f t="shared" ca="1" si="291"/>
        <v>25</v>
      </c>
      <c r="H1449">
        <f t="shared" ca="1" si="292"/>
        <v>4387.5</v>
      </c>
      <c r="I1449">
        <f t="shared" ca="1" si="293"/>
        <v>0</v>
      </c>
      <c r="J1449">
        <f t="shared" ca="1" si="294"/>
        <v>0</v>
      </c>
      <c r="K1449">
        <f t="shared" ca="1" si="295"/>
        <v>0</v>
      </c>
      <c r="L1449">
        <f t="shared" ca="1" si="296"/>
        <v>0</v>
      </c>
      <c r="M1449">
        <f t="shared" ca="1" si="297"/>
        <v>2</v>
      </c>
      <c r="N1449">
        <f t="shared" ca="1" si="298"/>
        <v>0</v>
      </c>
    </row>
    <row r="1450" spans="1:14" x14ac:dyDescent="0.35">
      <c r="A1450" t="s">
        <v>1467</v>
      </c>
      <c r="B1450" t="str">
        <f t="shared" si="286"/>
        <v>Test</v>
      </c>
      <c r="C1450">
        <f t="shared" ca="1" si="287"/>
        <v>22</v>
      </c>
      <c r="D1450" t="str">
        <f t="shared" ca="1" si="288"/>
        <v>Female</v>
      </c>
      <c r="E1450" t="str">
        <f t="shared" ca="1" si="289"/>
        <v>Dresses</v>
      </c>
      <c r="F1450">
        <f t="shared" ca="1" si="290"/>
        <v>3204</v>
      </c>
      <c r="G1450">
        <f t="shared" ca="1" si="291"/>
        <v>20</v>
      </c>
      <c r="H1450">
        <f t="shared" ca="1" si="292"/>
        <v>2563.2000000000003</v>
      </c>
      <c r="I1450">
        <f t="shared" ca="1" si="293"/>
        <v>0</v>
      </c>
      <c r="J1450">
        <f t="shared" ca="1" si="294"/>
        <v>0</v>
      </c>
      <c r="K1450">
        <f t="shared" ca="1" si="295"/>
        <v>0</v>
      </c>
      <c r="L1450">
        <f t="shared" ca="1" si="296"/>
        <v>0</v>
      </c>
      <c r="M1450">
        <f t="shared" ca="1" si="297"/>
        <v>3</v>
      </c>
      <c r="N1450">
        <f t="shared" ca="1" si="298"/>
        <v>0</v>
      </c>
    </row>
    <row r="1451" spans="1:14" x14ac:dyDescent="0.35">
      <c r="A1451" t="s">
        <v>1468</v>
      </c>
      <c r="B1451" t="str">
        <f t="shared" si="286"/>
        <v>Test</v>
      </c>
      <c r="C1451">
        <f t="shared" ca="1" si="287"/>
        <v>41</v>
      </c>
      <c r="D1451" t="str">
        <f t="shared" ca="1" si="288"/>
        <v>Female</v>
      </c>
      <c r="E1451" t="str">
        <f t="shared" ca="1" si="289"/>
        <v>Shoes</v>
      </c>
      <c r="F1451">
        <f t="shared" ca="1" si="290"/>
        <v>4684</v>
      </c>
      <c r="G1451">
        <f t="shared" ca="1" si="291"/>
        <v>15</v>
      </c>
      <c r="H1451">
        <f t="shared" ca="1" si="292"/>
        <v>3981.4</v>
      </c>
      <c r="I1451">
        <f t="shared" ca="1" si="293"/>
        <v>0</v>
      </c>
      <c r="J1451">
        <f t="shared" ca="1" si="294"/>
        <v>0</v>
      </c>
      <c r="K1451">
        <f t="shared" ca="1" si="295"/>
        <v>0</v>
      </c>
      <c r="L1451">
        <f t="shared" ca="1" si="296"/>
        <v>0</v>
      </c>
      <c r="M1451">
        <f t="shared" ca="1" si="297"/>
        <v>4</v>
      </c>
      <c r="N1451">
        <f t="shared" ca="1" si="298"/>
        <v>0</v>
      </c>
    </row>
    <row r="1452" spans="1:14" x14ac:dyDescent="0.35">
      <c r="A1452" t="s">
        <v>1469</v>
      </c>
      <c r="B1452" t="str">
        <f t="shared" si="286"/>
        <v>Test</v>
      </c>
      <c r="C1452">
        <f t="shared" ca="1" si="287"/>
        <v>18</v>
      </c>
      <c r="D1452" t="str">
        <f t="shared" ca="1" si="288"/>
        <v>Male</v>
      </c>
      <c r="E1452" t="str">
        <f t="shared" ca="1" si="289"/>
        <v>Ethnic Wear</v>
      </c>
      <c r="F1452">
        <f t="shared" ca="1" si="290"/>
        <v>6436</v>
      </c>
      <c r="G1452">
        <f t="shared" ca="1" si="291"/>
        <v>15</v>
      </c>
      <c r="H1452">
        <f t="shared" ca="1" si="292"/>
        <v>5470.5999999999995</v>
      </c>
      <c r="I1452">
        <f t="shared" ca="1" si="293"/>
        <v>1</v>
      </c>
      <c r="J1452">
        <f t="shared" ca="1" si="294"/>
        <v>0</v>
      </c>
      <c r="K1452">
        <f t="shared" ca="1" si="295"/>
        <v>0</v>
      </c>
      <c r="L1452">
        <f t="shared" ca="1" si="296"/>
        <v>0</v>
      </c>
      <c r="M1452">
        <f t="shared" ca="1" si="297"/>
        <v>1</v>
      </c>
      <c r="N1452">
        <f t="shared" ca="1" si="298"/>
        <v>0</v>
      </c>
    </row>
    <row r="1453" spans="1:14" x14ac:dyDescent="0.35">
      <c r="A1453" t="s">
        <v>1470</v>
      </c>
      <c r="B1453" t="str">
        <f t="shared" si="286"/>
        <v>Test</v>
      </c>
      <c r="C1453">
        <f t="shared" ca="1" si="287"/>
        <v>26</v>
      </c>
      <c r="D1453" t="str">
        <f t="shared" ca="1" si="288"/>
        <v>Other</v>
      </c>
      <c r="E1453" t="str">
        <f t="shared" ca="1" si="289"/>
        <v>Jeans</v>
      </c>
      <c r="F1453">
        <f t="shared" ca="1" si="290"/>
        <v>1898</v>
      </c>
      <c r="G1453">
        <f t="shared" ca="1" si="291"/>
        <v>25</v>
      </c>
      <c r="H1453">
        <f t="shared" ca="1" si="292"/>
        <v>1423.5</v>
      </c>
      <c r="I1453">
        <f t="shared" ca="1" si="293"/>
        <v>1</v>
      </c>
      <c r="J1453">
        <f t="shared" ca="1" si="294"/>
        <v>1</v>
      </c>
      <c r="K1453">
        <f t="shared" ca="1" si="295"/>
        <v>0</v>
      </c>
      <c r="L1453">
        <f t="shared" ca="1" si="296"/>
        <v>0</v>
      </c>
      <c r="M1453">
        <f t="shared" ca="1" si="297"/>
        <v>4</v>
      </c>
      <c r="N1453">
        <f t="shared" ca="1" si="298"/>
        <v>0</v>
      </c>
    </row>
    <row r="1454" spans="1:14" x14ac:dyDescent="0.35">
      <c r="A1454" t="s">
        <v>1471</v>
      </c>
      <c r="B1454" t="str">
        <f t="shared" si="286"/>
        <v>Test</v>
      </c>
      <c r="C1454">
        <f t="shared" ca="1" si="287"/>
        <v>26</v>
      </c>
      <c r="D1454" t="str">
        <f t="shared" ca="1" si="288"/>
        <v>Other</v>
      </c>
      <c r="E1454" t="str">
        <f t="shared" ca="1" si="289"/>
        <v>Sportswear</v>
      </c>
      <c r="F1454">
        <f t="shared" ca="1" si="290"/>
        <v>5545</v>
      </c>
      <c r="G1454">
        <f t="shared" ca="1" si="291"/>
        <v>15</v>
      </c>
      <c r="H1454">
        <f t="shared" ca="1" si="292"/>
        <v>4713.25</v>
      </c>
      <c r="I1454">
        <f t="shared" ca="1" si="293"/>
        <v>1</v>
      </c>
      <c r="J1454">
        <f t="shared" ca="1" si="294"/>
        <v>1</v>
      </c>
      <c r="K1454">
        <f t="shared" ca="1" si="295"/>
        <v>0</v>
      </c>
      <c r="L1454">
        <f t="shared" ca="1" si="296"/>
        <v>0</v>
      </c>
      <c r="M1454">
        <f t="shared" ca="1" si="297"/>
        <v>7</v>
      </c>
      <c r="N1454">
        <f t="shared" ca="1" si="298"/>
        <v>0</v>
      </c>
    </row>
    <row r="1455" spans="1:14" x14ac:dyDescent="0.35">
      <c r="A1455" t="s">
        <v>1472</v>
      </c>
      <c r="B1455" t="str">
        <f t="shared" si="286"/>
        <v>Test</v>
      </c>
      <c r="C1455">
        <f t="shared" ca="1" si="287"/>
        <v>38</v>
      </c>
      <c r="D1455" t="str">
        <f t="shared" ca="1" si="288"/>
        <v>Male</v>
      </c>
      <c r="E1455" t="str">
        <f t="shared" ca="1" si="289"/>
        <v>Jeans</v>
      </c>
      <c r="F1455">
        <f t="shared" ca="1" si="290"/>
        <v>2655</v>
      </c>
      <c r="G1455">
        <f t="shared" ca="1" si="291"/>
        <v>20</v>
      </c>
      <c r="H1455">
        <f t="shared" ca="1" si="292"/>
        <v>2124</v>
      </c>
      <c r="I1455">
        <f t="shared" ca="1" si="293"/>
        <v>1</v>
      </c>
      <c r="J1455">
        <f t="shared" ca="1" si="294"/>
        <v>0</v>
      </c>
      <c r="K1455">
        <f t="shared" ca="1" si="295"/>
        <v>0</v>
      </c>
      <c r="L1455">
        <f t="shared" ca="1" si="296"/>
        <v>0</v>
      </c>
      <c r="M1455">
        <f t="shared" ca="1" si="297"/>
        <v>4</v>
      </c>
      <c r="N1455">
        <f t="shared" ca="1" si="298"/>
        <v>0</v>
      </c>
    </row>
    <row r="1456" spans="1:14" x14ac:dyDescent="0.35">
      <c r="A1456" t="s">
        <v>1473</v>
      </c>
      <c r="B1456" t="str">
        <f t="shared" si="286"/>
        <v>Test</v>
      </c>
      <c r="C1456">
        <f t="shared" ca="1" si="287"/>
        <v>36</v>
      </c>
      <c r="D1456" t="str">
        <f t="shared" ca="1" si="288"/>
        <v>Female</v>
      </c>
      <c r="E1456" t="str">
        <f t="shared" ca="1" si="289"/>
        <v>Ethnic Wear</v>
      </c>
      <c r="F1456">
        <f t="shared" ca="1" si="290"/>
        <v>4427</v>
      </c>
      <c r="G1456">
        <f t="shared" ca="1" si="291"/>
        <v>15</v>
      </c>
      <c r="H1456">
        <f t="shared" ca="1" si="292"/>
        <v>3762.95</v>
      </c>
      <c r="I1456">
        <f t="shared" ca="1" si="293"/>
        <v>0</v>
      </c>
      <c r="J1456">
        <f t="shared" ca="1" si="294"/>
        <v>0</v>
      </c>
      <c r="K1456">
        <f t="shared" ca="1" si="295"/>
        <v>0</v>
      </c>
      <c r="L1456">
        <f t="shared" ca="1" si="296"/>
        <v>0</v>
      </c>
      <c r="M1456">
        <f t="shared" ca="1" si="297"/>
        <v>3</v>
      </c>
      <c r="N1456">
        <f t="shared" ca="1" si="298"/>
        <v>0</v>
      </c>
    </row>
    <row r="1457" spans="1:14" x14ac:dyDescent="0.35">
      <c r="A1457" t="s">
        <v>1474</v>
      </c>
      <c r="B1457" t="str">
        <f t="shared" si="286"/>
        <v>Test</v>
      </c>
      <c r="C1457">
        <f t="shared" ca="1" si="287"/>
        <v>36</v>
      </c>
      <c r="D1457" t="str">
        <f t="shared" ca="1" si="288"/>
        <v>Other</v>
      </c>
      <c r="E1457" t="str">
        <f t="shared" ca="1" si="289"/>
        <v>Dresses</v>
      </c>
      <c r="F1457">
        <f t="shared" ca="1" si="290"/>
        <v>4800</v>
      </c>
      <c r="G1457">
        <f t="shared" ca="1" si="291"/>
        <v>15</v>
      </c>
      <c r="H1457">
        <f t="shared" ca="1" si="292"/>
        <v>4080</v>
      </c>
      <c r="I1457">
        <f t="shared" ca="1" si="293"/>
        <v>1</v>
      </c>
      <c r="J1457">
        <f t="shared" ca="1" si="294"/>
        <v>0</v>
      </c>
      <c r="K1457">
        <f t="shared" ca="1" si="295"/>
        <v>0</v>
      </c>
      <c r="L1457">
        <f t="shared" ca="1" si="296"/>
        <v>0</v>
      </c>
      <c r="M1457">
        <f t="shared" ca="1" si="297"/>
        <v>7</v>
      </c>
      <c r="N1457">
        <f t="shared" ca="1" si="298"/>
        <v>0</v>
      </c>
    </row>
    <row r="1458" spans="1:14" x14ac:dyDescent="0.35">
      <c r="A1458" t="s">
        <v>1475</v>
      </c>
      <c r="B1458" t="str">
        <f t="shared" si="286"/>
        <v>Test</v>
      </c>
      <c r="C1458">
        <f t="shared" ca="1" si="287"/>
        <v>43</v>
      </c>
      <c r="D1458" t="str">
        <f t="shared" ca="1" si="288"/>
        <v>Male</v>
      </c>
      <c r="E1458" t="str">
        <f t="shared" ca="1" si="289"/>
        <v>Accessories</v>
      </c>
      <c r="F1458">
        <f t="shared" ca="1" si="290"/>
        <v>3366</v>
      </c>
      <c r="G1458">
        <f t="shared" ca="1" si="291"/>
        <v>20</v>
      </c>
      <c r="H1458">
        <f t="shared" ca="1" si="292"/>
        <v>2692.8</v>
      </c>
      <c r="I1458">
        <f t="shared" ca="1" si="293"/>
        <v>0</v>
      </c>
      <c r="J1458">
        <f t="shared" ca="1" si="294"/>
        <v>0</v>
      </c>
      <c r="K1458">
        <f t="shared" ca="1" si="295"/>
        <v>0</v>
      </c>
      <c r="L1458">
        <f t="shared" ca="1" si="296"/>
        <v>0</v>
      </c>
      <c r="M1458">
        <f t="shared" ca="1" si="297"/>
        <v>4</v>
      </c>
      <c r="N1458">
        <f t="shared" ca="1" si="298"/>
        <v>0</v>
      </c>
    </row>
    <row r="1459" spans="1:14" x14ac:dyDescent="0.35">
      <c r="A1459" t="s">
        <v>1476</v>
      </c>
      <c r="B1459" t="str">
        <f t="shared" si="286"/>
        <v>Test</v>
      </c>
      <c r="C1459">
        <f t="shared" ca="1" si="287"/>
        <v>27</v>
      </c>
      <c r="D1459" t="str">
        <f t="shared" ca="1" si="288"/>
        <v>Female</v>
      </c>
      <c r="E1459" t="str">
        <f t="shared" ca="1" si="289"/>
        <v>Ethnic Wear</v>
      </c>
      <c r="F1459">
        <f t="shared" ca="1" si="290"/>
        <v>5282</v>
      </c>
      <c r="G1459">
        <f t="shared" ca="1" si="291"/>
        <v>25</v>
      </c>
      <c r="H1459">
        <f t="shared" ca="1" si="292"/>
        <v>3961.5</v>
      </c>
      <c r="I1459">
        <f t="shared" ca="1" si="293"/>
        <v>1</v>
      </c>
      <c r="J1459">
        <f t="shared" ca="1" si="294"/>
        <v>1</v>
      </c>
      <c r="K1459">
        <f t="shared" ca="1" si="295"/>
        <v>0</v>
      </c>
      <c r="L1459">
        <f t="shared" ca="1" si="296"/>
        <v>0</v>
      </c>
      <c r="M1459">
        <f t="shared" ca="1" si="297"/>
        <v>7</v>
      </c>
      <c r="N1459">
        <f t="shared" ca="1" si="298"/>
        <v>0</v>
      </c>
    </row>
    <row r="1460" spans="1:14" x14ac:dyDescent="0.35">
      <c r="A1460" t="s">
        <v>1477</v>
      </c>
      <c r="B1460" t="str">
        <f t="shared" si="286"/>
        <v>Test</v>
      </c>
      <c r="C1460">
        <f t="shared" ca="1" si="287"/>
        <v>18</v>
      </c>
      <c r="D1460" t="str">
        <f t="shared" ca="1" si="288"/>
        <v>Female</v>
      </c>
      <c r="E1460" t="str">
        <f t="shared" ca="1" si="289"/>
        <v>Ethnic Wear</v>
      </c>
      <c r="F1460">
        <f t="shared" ca="1" si="290"/>
        <v>4113</v>
      </c>
      <c r="G1460">
        <f t="shared" ca="1" si="291"/>
        <v>20</v>
      </c>
      <c r="H1460">
        <f t="shared" ca="1" si="292"/>
        <v>3290.4</v>
      </c>
      <c r="I1460">
        <f t="shared" ca="1" si="293"/>
        <v>1</v>
      </c>
      <c r="J1460">
        <f t="shared" ca="1" si="294"/>
        <v>1</v>
      </c>
      <c r="K1460">
        <f t="shared" ca="1" si="295"/>
        <v>1</v>
      </c>
      <c r="L1460">
        <f t="shared" ca="1" si="296"/>
        <v>3290.4</v>
      </c>
      <c r="M1460">
        <f t="shared" ca="1" si="297"/>
        <v>1</v>
      </c>
      <c r="N1460">
        <f t="shared" ca="1" si="298"/>
        <v>0</v>
      </c>
    </row>
    <row r="1461" spans="1:14" x14ac:dyDescent="0.35">
      <c r="A1461" t="s">
        <v>1478</v>
      </c>
      <c r="B1461" t="str">
        <f t="shared" si="286"/>
        <v>Test</v>
      </c>
      <c r="C1461">
        <f t="shared" ca="1" si="287"/>
        <v>22</v>
      </c>
      <c r="D1461" t="str">
        <f t="shared" ca="1" si="288"/>
        <v>Male</v>
      </c>
      <c r="E1461" t="str">
        <f t="shared" ca="1" si="289"/>
        <v>Ethnic Wear</v>
      </c>
      <c r="F1461">
        <f t="shared" ca="1" si="290"/>
        <v>6245</v>
      </c>
      <c r="G1461">
        <f t="shared" ca="1" si="291"/>
        <v>25</v>
      </c>
      <c r="H1461">
        <f t="shared" ca="1" si="292"/>
        <v>4683.75</v>
      </c>
      <c r="I1461">
        <f t="shared" ca="1" si="293"/>
        <v>1</v>
      </c>
      <c r="J1461">
        <f t="shared" ca="1" si="294"/>
        <v>0</v>
      </c>
      <c r="K1461">
        <f t="shared" ca="1" si="295"/>
        <v>0</v>
      </c>
      <c r="L1461">
        <f t="shared" ca="1" si="296"/>
        <v>0</v>
      </c>
      <c r="M1461">
        <f t="shared" ca="1" si="297"/>
        <v>5</v>
      </c>
      <c r="N1461">
        <f t="shared" ca="1" si="298"/>
        <v>0</v>
      </c>
    </row>
    <row r="1462" spans="1:14" x14ac:dyDescent="0.35">
      <c r="A1462" t="s">
        <v>1479</v>
      </c>
      <c r="B1462" t="str">
        <f t="shared" si="286"/>
        <v>Test</v>
      </c>
      <c r="C1462">
        <f t="shared" ca="1" si="287"/>
        <v>22</v>
      </c>
      <c r="D1462" t="str">
        <f t="shared" ca="1" si="288"/>
        <v>Female</v>
      </c>
      <c r="E1462" t="str">
        <f t="shared" ca="1" si="289"/>
        <v>Ethnic Wear</v>
      </c>
      <c r="F1462">
        <f t="shared" ca="1" si="290"/>
        <v>5519</v>
      </c>
      <c r="G1462">
        <f t="shared" ca="1" si="291"/>
        <v>25</v>
      </c>
      <c r="H1462">
        <f t="shared" ca="1" si="292"/>
        <v>4139.25</v>
      </c>
      <c r="I1462">
        <f t="shared" ca="1" si="293"/>
        <v>1</v>
      </c>
      <c r="J1462">
        <f t="shared" ca="1" si="294"/>
        <v>1</v>
      </c>
      <c r="K1462">
        <f t="shared" ca="1" si="295"/>
        <v>1</v>
      </c>
      <c r="L1462">
        <f t="shared" ca="1" si="296"/>
        <v>4139.25</v>
      </c>
      <c r="M1462">
        <f t="shared" ca="1" si="297"/>
        <v>6</v>
      </c>
      <c r="N1462">
        <f t="shared" ca="1" si="298"/>
        <v>1</v>
      </c>
    </row>
    <row r="1463" spans="1:14" x14ac:dyDescent="0.35">
      <c r="A1463" t="s">
        <v>1480</v>
      </c>
      <c r="B1463" t="str">
        <f t="shared" si="286"/>
        <v>Test</v>
      </c>
      <c r="C1463">
        <f t="shared" ca="1" si="287"/>
        <v>25</v>
      </c>
      <c r="D1463" t="str">
        <f t="shared" ca="1" si="288"/>
        <v>Other</v>
      </c>
      <c r="E1463" t="str">
        <f t="shared" ca="1" si="289"/>
        <v>T-shirts</v>
      </c>
      <c r="F1463">
        <f t="shared" ca="1" si="290"/>
        <v>7878</v>
      </c>
      <c r="G1463">
        <f t="shared" ca="1" si="291"/>
        <v>20</v>
      </c>
      <c r="H1463">
        <f t="shared" ca="1" si="292"/>
        <v>6302.4000000000005</v>
      </c>
      <c r="I1463">
        <f t="shared" ca="1" si="293"/>
        <v>0</v>
      </c>
      <c r="J1463">
        <f t="shared" ca="1" si="294"/>
        <v>0</v>
      </c>
      <c r="K1463">
        <f t="shared" ca="1" si="295"/>
        <v>0</v>
      </c>
      <c r="L1463">
        <f t="shared" ca="1" si="296"/>
        <v>0</v>
      </c>
      <c r="M1463">
        <f t="shared" ca="1" si="297"/>
        <v>5</v>
      </c>
      <c r="N1463">
        <f t="shared" ca="1" si="298"/>
        <v>0</v>
      </c>
    </row>
    <row r="1464" spans="1:14" x14ac:dyDescent="0.35">
      <c r="A1464" t="s">
        <v>1481</v>
      </c>
      <c r="B1464" t="str">
        <f t="shared" si="286"/>
        <v>Test</v>
      </c>
      <c r="C1464">
        <f t="shared" ca="1" si="287"/>
        <v>22</v>
      </c>
      <c r="D1464" t="str">
        <f t="shared" ca="1" si="288"/>
        <v>Female</v>
      </c>
      <c r="E1464" t="str">
        <f t="shared" ca="1" si="289"/>
        <v>Sportswear</v>
      </c>
      <c r="F1464">
        <f t="shared" ca="1" si="290"/>
        <v>6891</v>
      </c>
      <c r="G1464">
        <f t="shared" ca="1" si="291"/>
        <v>25</v>
      </c>
      <c r="H1464">
        <f t="shared" ca="1" si="292"/>
        <v>5168.25</v>
      </c>
      <c r="I1464">
        <f t="shared" ca="1" si="293"/>
        <v>1</v>
      </c>
      <c r="J1464">
        <f t="shared" ca="1" si="294"/>
        <v>0</v>
      </c>
      <c r="K1464">
        <f t="shared" ca="1" si="295"/>
        <v>0</v>
      </c>
      <c r="L1464">
        <f t="shared" ca="1" si="296"/>
        <v>0</v>
      </c>
      <c r="M1464">
        <f t="shared" ca="1" si="297"/>
        <v>6</v>
      </c>
      <c r="N1464">
        <f t="shared" ca="1" si="298"/>
        <v>0</v>
      </c>
    </row>
    <row r="1465" spans="1:14" x14ac:dyDescent="0.35">
      <c r="A1465" t="s">
        <v>1482</v>
      </c>
      <c r="B1465" t="str">
        <f t="shared" si="286"/>
        <v>Test</v>
      </c>
      <c r="C1465">
        <f t="shared" ca="1" si="287"/>
        <v>21</v>
      </c>
      <c r="D1465" t="str">
        <f t="shared" ca="1" si="288"/>
        <v>Male</v>
      </c>
      <c r="E1465" t="str">
        <f t="shared" ca="1" si="289"/>
        <v>Ethnic Wear</v>
      </c>
      <c r="F1465">
        <f t="shared" ca="1" si="290"/>
        <v>3279</v>
      </c>
      <c r="G1465">
        <f t="shared" ca="1" si="291"/>
        <v>20</v>
      </c>
      <c r="H1465">
        <f t="shared" ca="1" si="292"/>
        <v>2623.2000000000003</v>
      </c>
      <c r="I1465">
        <f t="shared" ca="1" si="293"/>
        <v>1</v>
      </c>
      <c r="J1465">
        <f t="shared" ca="1" si="294"/>
        <v>1</v>
      </c>
      <c r="K1465">
        <f t="shared" ca="1" si="295"/>
        <v>1</v>
      </c>
      <c r="L1465">
        <f t="shared" ca="1" si="296"/>
        <v>2623.2000000000003</v>
      </c>
      <c r="M1465">
        <f t="shared" ca="1" si="297"/>
        <v>7</v>
      </c>
      <c r="N1465">
        <f t="shared" ca="1" si="298"/>
        <v>0</v>
      </c>
    </row>
    <row r="1466" spans="1:14" x14ac:dyDescent="0.35">
      <c r="A1466" t="s">
        <v>1483</v>
      </c>
      <c r="B1466" t="str">
        <f t="shared" si="286"/>
        <v>Test</v>
      </c>
      <c r="C1466">
        <f t="shared" ca="1" si="287"/>
        <v>22</v>
      </c>
      <c r="D1466" t="str">
        <f t="shared" ca="1" si="288"/>
        <v>Female</v>
      </c>
      <c r="E1466" t="str">
        <f t="shared" ca="1" si="289"/>
        <v>Sportswear</v>
      </c>
      <c r="F1466">
        <f t="shared" ca="1" si="290"/>
        <v>695</v>
      </c>
      <c r="G1466">
        <f t="shared" ca="1" si="291"/>
        <v>25</v>
      </c>
      <c r="H1466">
        <f t="shared" ca="1" si="292"/>
        <v>521.25</v>
      </c>
      <c r="I1466">
        <f t="shared" ca="1" si="293"/>
        <v>1</v>
      </c>
      <c r="J1466">
        <f t="shared" ca="1" si="294"/>
        <v>1</v>
      </c>
      <c r="K1466">
        <f t="shared" ca="1" si="295"/>
        <v>1</v>
      </c>
      <c r="L1466">
        <f t="shared" ca="1" si="296"/>
        <v>521.25</v>
      </c>
      <c r="M1466">
        <f t="shared" ca="1" si="297"/>
        <v>1</v>
      </c>
      <c r="N1466">
        <f t="shared" ca="1" si="298"/>
        <v>0</v>
      </c>
    </row>
    <row r="1467" spans="1:14" x14ac:dyDescent="0.35">
      <c r="A1467" t="s">
        <v>1484</v>
      </c>
      <c r="B1467" t="str">
        <f t="shared" si="286"/>
        <v>Test</v>
      </c>
      <c r="C1467">
        <f t="shared" ca="1" si="287"/>
        <v>31</v>
      </c>
      <c r="D1467" t="str">
        <f t="shared" ca="1" si="288"/>
        <v>Other</v>
      </c>
      <c r="E1467" t="str">
        <f t="shared" ca="1" si="289"/>
        <v>Shoes</v>
      </c>
      <c r="F1467">
        <f t="shared" ca="1" si="290"/>
        <v>7240</v>
      </c>
      <c r="G1467">
        <f t="shared" ca="1" si="291"/>
        <v>25</v>
      </c>
      <c r="H1467">
        <f t="shared" ca="1" si="292"/>
        <v>5430</v>
      </c>
      <c r="I1467">
        <f t="shared" ca="1" si="293"/>
        <v>1</v>
      </c>
      <c r="J1467">
        <f t="shared" ca="1" si="294"/>
        <v>0</v>
      </c>
      <c r="K1467">
        <f t="shared" ca="1" si="295"/>
        <v>0</v>
      </c>
      <c r="L1467">
        <f t="shared" ca="1" si="296"/>
        <v>0</v>
      </c>
      <c r="M1467">
        <f t="shared" ca="1" si="297"/>
        <v>5</v>
      </c>
      <c r="N1467">
        <f t="shared" ca="1" si="298"/>
        <v>0</v>
      </c>
    </row>
    <row r="1468" spans="1:14" x14ac:dyDescent="0.35">
      <c r="A1468" t="s">
        <v>1485</v>
      </c>
      <c r="B1468" t="str">
        <f t="shared" si="286"/>
        <v>Test</v>
      </c>
      <c r="C1468">
        <f t="shared" ca="1" si="287"/>
        <v>41</v>
      </c>
      <c r="D1468" t="str">
        <f t="shared" ca="1" si="288"/>
        <v>Male</v>
      </c>
      <c r="E1468" t="str">
        <f t="shared" ca="1" si="289"/>
        <v>Ethnic Wear</v>
      </c>
      <c r="F1468">
        <f t="shared" ca="1" si="290"/>
        <v>4361</v>
      </c>
      <c r="G1468">
        <f t="shared" ca="1" si="291"/>
        <v>20</v>
      </c>
      <c r="H1468">
        <f t="shared" ca="1" si="292"/>
        <v>3488.8</v>
      </c>
      <c r="I1468">
        <f t="shared" ca="1" si="293"/>
        <v>1</v>
      </c>
      <c r="J1468">
        <f t="shared" ca="1" si="294"/>
        <v>0</v>
      </c>
      <c r="K1468">
        <f t="shared" ca="1" si="295"/>
        <v>0</v>
      </c>
      <c r="L1468">
        <f t="shared" ca="1" si="296"/>
        <v>0</v>
      </c>
      <c r="M1468">
        <f t="shared" ca="1" si="297"/>
        <v>3</v>
      </c>
      <c r="N1468">
        <f t="shared" ca="1" si="298"/>
        <v>0</v>
      </c>
    </row>
    <row r="1469" spans="1:14" x14ac:dyDescent="0.35">
      <c r="A1469" t="s">
        <v>1486</v>
      </c>
      <c r="B1469" t="str">
        <f t="shared" si="286"/>
        <v>Test</v>
      </c>
      <c r="C1469">
        <f t="shared" ca="1" si="287"/>
        <v>28</v>
      </c>
      <c r="D1469" t="str">
        <f t="shared" ca="1" si="288"/>
        <v>Female</v>
      </c>
      <c r="E1469" t="str">
        <f t="shared" ca="1" si="289"/>
        <v>Jeans</v>
      </c>
      <c r="F1469">
        <f t="shared" ca="1" si="290"/>
        <v>6032</v>
      </c>
      <c r="G1469">
        <f t="shared" ca="1" si="291"/>
        <v>20</v>
      </c>
      <c r="H1469">
        <f t="shared" ca="1" si="292"/>
        <v>4825.6000000000004</v>
      </c>
      <c r="I1469">
        <f t="shared" ca="1" si="293"/>
        <v>0</v>
      </c>
      <c r="J1469">
        <f t="shared" ca="1" si="294"/>
        <v>0</v>
      </c>
      <c r="K1469">
        <f t="shared" ca="1" si="295"/>
        <v>0</v>
      </c>
      <c r="L1469">
        <f t="shared" ca="1" si="296"/>
        <v>0</v>
      </c>
      <c r="M1469">
        <f t="shared" ca="1" si="297"/>
        <v>3</v>
      </c>
      <c r="N1469">
        <f t="shared" ca="1" si="298"/>
        <v>0</v>
      </c>
    </row>
    <row r="1470" spans="1:14" x14ac:dyDescent="0.35">
      <c r="A1470" t="s">
        <v>1487</v>
      </c>
      <c r="B1470" t="str">
        <f t="shared" si="286"/>
        <v>Test</v>
      </c>
      <c r="C1470">
        <f t="shared" ca="1" si="287"/>
        <v>45</v>
      </c>
      <c r="D1470" t="str">
        <f t="shared" ca="1" si="288"/>
        <v>Female</v>
      </c>
      <c r="E1470" t="str">
        <f t="shared" ca="1" si="289"/>
        <v>Accessories</v>
      </c>
      <c r="F1470">
        <f t="shared" ca="1" si="290"/>
        <v>5475</v>
      </c>
      <c r="G1470">
        <f t="shared" ca="1" si="291"/>
        <v>15</v>
      </c>
      <c r="H1470">
        <f t="shared" ca="1" si="292"/>
        <v>4653.75</v>
      </c>
      <c r="I1470">
        <f t="shared" ca="1" si="293"/>
        <v>1</v>
      </c>
      <c r="J1470">
        <f t="shared" ca="1" si="294"/>
        <v>0</v>
      </c>
      <c r="K1470">
        <f t="shared" ca="1" si="295"/>
        <v>0</v>
      </c>
      <c r="L1470">
        <f t="shared" ca="1" si="296"/>
        <v>0</v>
      </c>
      <c r="M1470">
        <f t="shared" ca="1" si="297"/>
        <v>2</v>
      </c>
      <c r="N1470">
        <f t="shared" ca="1" si="298"/>
        <v>0</v>
      </c>
    </row>
    <row r="1471" spans="1:14" x14ac:dyDescent="0.35">
      <c r="A1471" t="s">
        <v>1488</v>
      </c>
      <c r="B1471" t="str">
        <f t="shared" si="286"/>
        <v>Test</v>
      </c>
      <c r="C1471">
        <f t="shared" ca="1" si="287"/>
        <v>35</v>
      </c>
      <c r="D1471" t="str">
        <f t="shared" ca="1" si="288"/>
        <v>Female</v>
      </c>
      <c r="E1471" t="str">
        <f t="shared" ca="1" si="289"/>
        <v>T-shirts</v>
      </c>
      <c r="F1471">
        <f t="shared" ca="1" si="290"/>
        <v>6449</v>
      </c>
      <c r="G1471">
        <f t="shared" ca="1" si="291"/>
        <v>20</v>
      </c>
      <c r="H1471">
        <f t="shared" ca="1" si="292"/>
        <v>5159.2000000000007</v>
      </c>
      <c r="I1471">
        <f t="shared" ca="1" si="293"/>
        <v>1</v>
      </c>
      <c r="J1471">
        <f t="shared" ca="1" si="294"/>
        <v>1</v>
      </c>
      <c r="K1471">
        <f t="shared" ca="1" si="295"/>
        <v>0</v>
      </c>
      <c r="L1471">
        <f t="shared" ca="1" si="296"/>
        <v>0</v>
      </c>
      <c r="M1471">
        <f t="shared" ca="1" si="297"/>
        <v>4</v>
      </c>
      <c r="N1471">
        <f t="shared" ca="1" si="298"/>
        <v>0</v>
      </c>
    </row>
    <row r="1472" spans="1:14" x14ac:dyDescent="0.35">
      <c r="A1472" t="s">
        <v>1489</v>
      </c>
      <c r="B1472" t="str">
        <f t="shared" si="286"/>
        <v>Test</v>
      </c>
      <c r="C1472">
        <f t="shared" ca="1" si="287"/>
        <v>44</v>
      </c>
      <c r="D1472" t="str">
        <f t="shared" ca="1" si="288"/>
        <v>Other</v>
      </c>
      <c r="E1472" t="str">
        <f t="shared" ca="1" si="289"/>
        <v>Ethnic Wear</v>
      </c>
      <c r="F1472">
        <f t="shared" ca="1" si="290"/>
        <v>1634</v>
      </c>
      <c r="G1472">
        <f t="shared" ca="1" si="291"/>
        <v>20</v>
      </c>
      <c r="H1472">
        <f t="shared" ca="1" si="292"/>
        <v>1307.2</v>
      </c>
      <c r="I1472">
        <f t="shared" ca="1" si="293"/>
        <v>1</v>
      </c>
      <c r="J1472">
        <f t="shared" ca="1" si="294"/>
        <v>1</v>
      </c>
      <c r="K1472">
        <f t="shared" ca="1" si="295"/>
        <v>1</v>
      </c>
      <c r="L1472">
        <f t="shared" ca="1" si="296"/>
        <v>1307.2</v>
      </c>
      <c r="M1472">
        <f t="shared" ca="1" si="297"/>
        <v>3</v>
      </c>
      <c r="N1472">
        <f t="shared" ca="1" si="298"/>
        <v>0</v>
      </c>
    </row>
    <row r="1473" spans="1:14" x14ac:dyDescent="0.35">
      <c r="A1473" t="s">
        <v>1490</v>
      </c>
      <c r="B1473" t="str">
        <f t="shared" si="286"/>
        <v>Test</v>
      </c>
      <c r="C1473">
        <f t="shared" ca="1" si="287"/>
        <v>21</v>
      </c>
      <c r="D1473" t="str">
        <f t="shared" ca="1" si="288"/>
        <v>Female</v>
      </c>
      <c r="E1473" t="str">
        <f t="shared" ca="1" si="289"/>
        <v>Jeans</v>
      </c>
      <c r="F1473">
        <f t="shared" ca="1" si="290"/>
        <v>5624</v>
      </c>
      <c r="G1473">
        <f t="shared" ca="1" si="291"/>
        <v>25</v>
      </c>
      <c r="H1473">
        <f t="shared" ca="1" si="292"/>
        <v>4218</v>
      </c>
      <c r="I1473">
        <f t="shared" ca="1" si="293"/>
        <v>1</v>
      </c>
      <c r="J1473">
        <f t="shared" ca="1" si="294"/>
        <v>0</v>
      </c>
      <c r="K1473">
        <f t="shared" ca="1" si="295"/>
        <v>0</v>
      </c>
      <c r="L1473">
        <f t="shared" ca="1" si="296"/>
        <v>0</v>
      </c>
      <c r="M1473">
        <f t="shared" ca="1" si="297"/>
        <v>4</v>
      </c>
      <c r="N1473">
        <f t="shared" ca="1" si="298"/>
        <v>0</v>
      </c>
    </row>
    <row r="1474" spans="1:14" x14ac:dyDescent="0.35">
      <c r="A1474" t="s">
        <v>1491</v>
      </c>
      <c r="B1474" t="str">
        <f t="shared" si="286"/>
        <v>Test</v>
      </c>
      <c r="C1474">
        <f t="shared" ca="1" si="287"/>
        <v>18</v>
      </c>
      <c r="D1474" t="str">
        <f t="shared" ca="1" si="288"/>
        <v>Female</v>
      </c>
      <c r="E1474" t="str">
        <f t="shared" ca="1" si="289"/>
        <v>Sportswear</v>
      </c>
      <c r="F1474">
        <f t="shared" ca="1" si="290"/>
        <v>3812</v>
      </c>
      <c r="G1474">
        <f t="shared" ca="1" si="291"/>
        <v>25</v>
      </c>
      <c r="H1474">
        <f t="shared" ca="1" si="292"/>
        <v>2859</v>
      </c>
      <c r="I1474">
        <f t="shared" ca="1" si="293"/>
        <v>1</v>
      </c>
      <c r="J1474">
        <f t="shared" ca="1" si="294"/>
        <v>1</v>
      </c>
      <c r="K1474">
        <f t="shared" ca="1" si="295"/>
        <v>1</v>
      </c>
      <c r="L1474">
        <f t="shared" ca="1" si="296"/>
        <v>2859</v>
      </c>
      <c r="M1474">
        <f t="shared" ca="1" si="297"/>
        <v>3</v>
      </c>
      <c r="N1474">
        <f t="shared" ca="1" si="298"/>
        <v>0</v>
      </c>
    </row>
    <row r="1475" spans="1:14" x14ac:dyDescent="0.35">
      <c r="A1475" t="s">
        <v>1492</v>
      </c>
      <c r="B1475" t="str">
        <f t="shared" si="286"/>
        <v>Test</v>
      </c>
      <c r="C1475">
        <f t="shared" ca="1" si="287"/>
        <v>40</v>
      </c>
      <c r="D1475" t="str">
        <f t="shared" ca="1" si="288"/>
        <v>Male</v>
      </c>
      <c r="E1475" t="str">
        <f t="shared" ca="1" si="289"/>
        <v>Ethnic Wear</v>
      </c>
      <c r="F1475">
        <f t="shared" ca="1" si="290"/>
        <v>1272</v>
      </c>
      <c r="G1475">
        <f t="shared" ca="1" si="291"/>
        <v>20</v>
      </c>
      <c r="H1475">
        <f t="shared" ca="1" si="292"/>
        <v>1017.6</v>
      </c>
      <c r="I1475">
        <f t="shared" ca="1" si="293"/>
        <v>1</v>
      </c>
      <c r="J1475">
        <f t="shared" ca="1" si="294"/>
        <v>1</v>
      </c>
      <c r="K1475">
        <f t="shared" ca="1" si="295"/>
        <v>1</v>
      </c>
      <c r="L1475">
        <f t="shared" ca="1" si="296"/>
        <v>1017.6</v>
      </c>
      <c r="M1475">
        <f t="shared" ca="1" si="297"/>
        <v>5</v>
      </c>
      <c r="N1475">
        <f t="shared" ca="1" si="298"/>
        <v>0</v>
      </c>
    </row>
    <row r="1476" spans="1:14" x14ac:dyDescent="0.35">
      <c r="A1476" t="s">
        <v>1493</v>
      </c>
      <c r="B1476" t="str">
        <f t="shared" si="286"/>
        <v>Test</v>
      </c>
      <c r="C1476">
        <f t="shared" ca="1" si="287"/>
        <v>18</v>
      </c>
      <c r="D1476" t="str">
        <f t="shared" ca="1" si="288"/>
        <v>Other</v>
      </c>
      <c r="E1476" t="str">
        <f t="shared" ca="1" si="289"/>
        <v>Sportswear</v>
      </c>
      <c r="F1476">
        <f t="shared" ca="1" si="290"/>
        <v>3740</v>
      </c>
      <c r="G1476">
        <f t="shared" ca="1" si="291"/>
        <v>25</v>
      </c>
      <c r="H1476">
        <f t="shared" ca="1" si="292"/>
        <v>2805</v>
      </c>
      <c r="I1476">
        <f t="shared" ca="1" si="293"/>
        <v>1</v>
      </c>
      <c r="J1476">
        <f t="shared" ca="1" si="294"/>
        <v>1</v>
      </c>
      <c r="K1476">
        <f t="shared" ca="1" si="295"/>
        <v>0</v>
      </c>
      <c r="L1476">
        <f t="shared" ca="1" si="296"/>
        <v>0</v>
      </c>
      <c r="M1476">
        <f t="shared" ca="1" si="297"/>
        <v>2</v>
      </c>
      <c r="N1476">
        <f t="shared" ca="1" si="298"/>
        <v>0</v>
      </c>
    </row>
    <row r="1477" spans="1:14" x14ac:dyDescent="0.35">
      <c r="A1477" t="s">
        <v>1494</v>
      </c>
      <c r="B1477" t="str">
        <f t="shared" ref="B1477:B1540" si="299">IF(ROW()&lt;=1001,"Control","Test")</f>
        <v>Test</v>
      </c>
      <c r="C1477">
        <f t="shared" ref="C1477:C1540" ca="1" si="300">RANDBETWEEN(18,45)</f>
        <v>45</v>
      </c>
      <c r="D1477" t="str">
        <f t="shared" ref="D1477:D1540" ca="1" si="301">CHOOSE(RANDBETWEEN(1,20),"Female","Female","Female","Female","Female","Female","Female","Female","Female","Female","Male","Male","Male","Male","Male","Male","Male","Male","Other","Other")</f>
        <v>Male</v>
      </c>
      <c r="E1477" t="str">
        <f t="shared" ref="E1477:E1540" ca="1" si="302">CHOOSE(RANDBETWEEN(1,8),"T-shirts","Dresses","Jeans","Shoes","Ethnic Wear","Tops","Sportswear","Accessories")</f>
        <v>Jeans</v>
      </c>
      <c r="F1477">
        <f t="shared" ref="F1477:F1540" ca="1" si="303">RANDBETWEEN(300,8000)</f>
        <v>2773</v>
      </c>
      <c r="G1477">
        <f t="shared" ref="G1477:G1540" ca="1" si="304">IF(B1477="Control",10,CHOOSE(RANDBETWEEN(1,3),15,20,25))</f>
        <v>25</v>
      </c>
      <c r="H1477">
        <f t="shared" ref="H1477:H1540" ca="1" si="305">F1477*(1-G1477/100)</f>
        <v>2079.75</v>
      </c>
      <c r="I1477">
        <f t="shared" ref="I1477:I1540" ca="1" si="306">IF(RAND()&lt;0.85,1,0)</f>
        <v>1</v>
      </c>
      <c r="J1477">
        <f t="shared" ref="J1477:J1540" ca="1" si="307">IF(I1477=1,IF(RAND()&lt;0.55,1,0),0)</f>
        <v>1</v>
      </c>
      <c r="K1477">
        <f t="shared" ref="K1477:K1540" ca="1" si="308">IF(J1477=1,IF(B1477="Test",IF(RAND()&lt;0.4,1,0),IF(RAND()&lt;0.34,1,0)),0)</f>
        <v>0</v>
      </c>
      <c r="L1477">
        <f t="shared" ref="L1477:L1540" ca="1" si="309">IF(K1477=1,H1477,0)</f>
        <v>0</v>
      </c>
      <c r="M1477">
        <f t="shared" ref="M1477:M1540" ca="1" si="310">RANDBETWEEN(1,7)</f>
        <v>6</v>
      </c>
      <c r="N1477">
        <f t="shared" ref="N1477:N1540" ca="1" si="311">IF(K1477=1,IF(RAND()&lt;0.15,1,0),0)</f>
        <v>0</v>
      </c>
    </row>
    <row r="1478" spans="1:14" x14ac:dyDescent="0.35">
      <c r="A1478" t="s">
        <v>1495</v>
      </c>
      <c r="B1478" t="str">
        <f t="shared" si="299"/>
        <v>Test</v>
      </c>
      <c r="C1478">
        <f t="shared" ca="1" si="300"/>
        <v>37</v>
      </c>
      <c r="D1478" t="str">
        <f t="shared" ca="1" si="301"/>
        <v>Male</v>
      </c>
      <c r="E1478" t="str">
        <f t="shared" ca="1" si="302"/>
        <v>Dresses</v>
      </c>
      <c r="F1478">
        <f t="shared" ca="1" si="303"/>
        <v>747</v>
      </c>
      <c r="G1478">
        <f t="shared" ca="1" si="304"/>
        <v>20</v>
      </c>
      <c r="H1478">
        <f t="shared" ca="1" si="305"/>
        <v>597.6</v>
      </c>
      <c r="I1478">
        <f t="shared" ca="1" si="306"/>
        <v>1</v>
      </c>
      <c r="J1478">
        <f t="shared" ca="1" si="307"/>
        <v>1</v>
      </c>
      <c r="K1478">
        <f t="shared" ca="1" si="308"/>
        <v>0</v>
      </c>
      <c r="L1478">
        <f t="shared" ca="1" si="309"/>
        <v>0</v>
      </c>
      <c r="M1478">
        <f t="shared" ca="1" si="310"/>
        <v>5</v>
      </c>
      <c r="N1478">
        <f t="shared" ca="1" si="311"/>
        <v>0</v>
      </c>
    </row>
    <row r="1479" spans="1:14" x14ac:dyDescent="0.35">
      <c r="A1479" t="s">
        <v>1496</v>
      </c>
      <c r="B1479" t="str">
        <f t="shared" si="299"/>
        <v>Test</v>
      </c>
      <c r="C1479">
        <f t="shared" ca="1" si="300"/>
        <v>39</v>
      </c>
      <c r="D1479" t="str">
        <f t="shared" ca="1" si="301"/>
        <v>Female</v>
      </c>
      <c r="E1479" t="str">
        <f t="shared" ca="1" si="302"/>
        <v>Jeans</v>
      </c>
      <c r="F1479">
        <f t="shared" ca="1" si="303"/>
        <v>1925</v>
      </c>
      <c r="G1479">
        <f t="shared" ca="1" si="304"/>
        <v>15</v>
      </c>
      <c r="H1479">
        <f t="shared" ca="1" si="305"/>
        <v>1636.25</v>
      </c>
      <c r="I1479">
        <f t="shared" ca="1" si="306"/>
        <v>1</v>
      </c>
      <c r="J1479">
        <f t="shared" ca="1" si="307"/>
        <v>0</v>
      </c>
      <c r="K1479">
        <f t="shared" ca="1" si="308"/>
        <v>0</v>
      </c>
      <c r="L1479">
        <f t="shared" ca="1" si="309"/>
        <v>0</v>
      </c>
      <c r="M1479">
        <f t="shared" ca="1" si="310"/>
        <v>6</v>
      </c>
      <c r="N1479">
        <f t="shared" ca="1" si="311"/>
        <v>0</v>
      </c>
    </row>
    <row r="1480" spans="1:14" x14ac:dyDescent="0.35">
      <c r="A1480" t="s">
        <v>1497</v>
      </c>
      <c r="B1480" t="str">
        <f t="shared" si="299"/>
        <v>Test</v>
      </c>
      <c r="C1480">
        <f t="shared" ca="1" si="300"/>
        <v>32</v>
      </c>
      <c r="D1480" t="str">
        <f t="shared" ca="1" si="301"/>
        <v>Other</v>
      </c>
      <c r="E1480" t="str">
        <f t="shared" ca="1" si="302"/>
        <v>Jeans</v>
      </c>
      <c r="F1480">
        <f t="shared" ca="1" si="303"/>
        <v>6252</v>
      </c>
      <c r="G1480">
        <f t="shared" ca="1" si="304"/>
        <v>15</v>
      </c>
      <c r="H1480">
        <f t="shared" ca="1" si="305"/>
        <v>5314.2</v>
      </c>
      <c r="I1480">
        <f t="shared" ca="1" si="306"/>
        <v>1</v>
      </c>
      <c r="J1480">
        <f t="shared" ca="1" si="307"/>
        <v>1</v>
      </c>
      <c r="K1480">
        <f t="shared" ca="1" si="308"/>
        <v>0</v>
      </c>
      <c r="L1480">
        <f t="shared" ca="1" si="309"/>
        <v>0</v>
      </c>
      <c r="M1480">
        <f t="shared" ca="1" si="310"/>
        <v>5</v>
      </c>
      <c r="N1480">
        <f t="shared" ca="1" si="311"/>
        <v>0</v>
      </c>
    </row>
    <row r="1481" spans="1:14" x14ac:dyDescent="0.35">
      <c r="A1481" t="s">
        <v>1498</v>
      </c>
      <c r="B1481" t="str">
        <f t="shared" si="299"/>
        <v>Test</v>
      </c>
      <c r="C1481">
        <f t="shared" ca="1" si="300"/>
        <v>42</v>
      </c>
      <c r="D1481" t="str">
        <f t="shared" ca="1" si="301"/>
        <v>Male</v>
      </c>
      <c r="E1481" t="str">
        <f t="shared" ca="1" si="302"/>
        <v>Dresses</v>
      </c>
      <c r="F1481">
        <f t="shared" ca="1" si="303"/>
        <v>6756</v>
      </c>
      <c r="G1481">
        <f t="shared" ca="1" si="304"/>
        <v>25</v>
      </c>
      <c r="H1481">
        <f t="shared" ca="1" si="305"/>
        <v>5067</v>
      </c>
      <c r="I1481">
        <f t="shared" ca="1" si="306"/>
        <v>1</v>
      </c>
      <c r="J1481">
        <f t="shared" ca="1" si="307"/>
        <v>1</v>
      </c>
      <c r="K1481">
        <f t="shared" ca="1" si="308"/>
        <v>0</v>
      </c>
      <c r="L1481">
        <f t="shared" ca="1" si="309"/>
        <v>0</v>
      </c>
      <c r="M1481">
        <f t="shared" ca="1" si="310"/>
        <v>5</v>
      </c>
      <c r="N1481">
        <f t="shared" ca="1" si="311"/>
        <v>0</v>
      </c>
    </row>
    <row r="1482" spans="1:14" x14ac:dyDescent="0.35">
      <c r="A1482" t="s">
        <v>1499</v>
      </c>
      <c r="B1482" t="str">
        <f t="shared" si="299"/>
        <v>Test</v>
      </c>
      <c r="C1482">
        <f t="shared" ca="1" si="300"/>
        <v>36</v>
      </c>
      <c r="D1482" t="str">
        <f t="shared" ca="1" si="301"/>
        <v>Female</v>
      </c>
      <c r="E1482" t="str">
        <f t="shared" ca="1" si="302"/>
        <v>Sportswear</v>
      </c>
      <c r="F1482">
        <f t="shared" ca="1" si="303"/>
        <v>6110</v>
      </c>
      <c r="G1482">
        <f t="shared" ca="1" si="304"/>
        <v>25</v>
      </c>
      <c r="H1482">
        <f t="shared" ca="1" si="305"/>
        <v>4582.5</v>
      </c>
      <c r="I1482">
        <f t="shared" ca="1" si="306"/>
        <v>1</v>
      </c>
      <c r="J1482">
        <f t="shared" ca="1" si="307"/>
        <v>1</v>
      </c>
      <c r="K1482">
        <f t="shared" ca="1" si="308"/>
        <v>0</v>
      </c>
      <c r="L1482">
        <f t="shared" ca="1" si="309"/>
        <v>0</v>
      </c>
      <c r="M1482">
        <f t="shared" ca="1" si="310"/>
        <v>2</v>
      </c>
      <c r="N1482">
        <f t="shared" ca="1" si="311"/>
        <v>0</v>
      </c>
    </row>
    <row r="1483" spans="1:14" x14ac:dyDescent="0.35">
      <c r="A1483" t="s">
        <v>1500</v>
      </c>
      <c r="B1483" t="str">
        <f t="shared" si="299"/>
        <v>Test</v>
      </c>
      <c r="C1483">
        <f t="shared" ca="1" si="300"/>
        <v>38</v>
      </c>
      <c r="D1483" t="str">
        <f t="shared" ca="1" si="301"/>
        <v>Male</v>
      </c>
      <c r="E1483" t="str">
        <f t="shared" ca="1" si="302"/>
        <v>Jeans</v>
      </c>
      <c r="F1483">
        <f t="shared" ca="1" si="303"/>
        <v>7325</v>
      </c>
      <c r="G1483">
        <f t="shared" ca="1" si="304"/>
        <v>20</v>
      </c>
      <c r="H1483">
        <f t="shared" ca="1" si="305"/>
        <v>5860</v>
      </c>
      <c r="I1483">
        <f t="shared" ca="1" si="306"/>
        <v>1</v>
      </c>
      <c r="J1483">
        <f t="shared" ca="1" si="307"/>
        <v>0</v>
      </c>
      <c r="K1483">
        <f t="shared" ca="1" si="308"/>
        <v>0</v>
      </c>
      <c r="L1483">
        <f t="shared" ca="1" si="309"/>
        <v>0</v>
      </c>
      <c r="M1483">
        <f t="shared" ca="1" si="310"/>
        <v>5</v>
      </c>
      <c r="N1483">
        <f t="shared" ca="1" si="311"/>
        <v>0</v>
      </c>
    </row>
    <row r="1484" spans="1:14" x14ac:dyDescent="0.35">
      <c r="A1484" t="s">
        <v>1501</v>
      </c>
      <c r="B1484" t="str">
        <f t="shared" si="299"/>
        <v>Test</v>
      </c>
      <c r="C1484">
        <f t="shared" ca="1" si="300"/>
        <v>32</v>
      </c>
      <c r="D1484" t="str">
        <f t="shared" ca="1" si="301"/>
        <v>Female</v>
      </c>
      <c r="E1484" t="str">
        <f t="shared" ca="1" si="302"/>
        <v>Ethnic Wear</v>
      </c>
      <c r="F1484">
        <f t="shared" ca="1" si="303"/>
        <v>6237</v>
      </c>
      <c r="G1484">
        <f t="shared" ca="1" si="304"/>
        <v>25</v>
      </c>
      <c r="H1484">
        <f t="shared" ca="1" si="305"/>
        <v>4677.75</v>
      </c>
      <c r="I1484">
        <f t="shared" ca="1" si="306"/>
        <v>1</v>
      </c>
      <c r="J1484">
        <f t="shared" ca="1" si="307"/>
        <v>0</v>
      </c>
      <c r="K1484">
        <f t="shared" ca="1" si="308"/>
        <v>0</v>
      </c>
      <c r="L1484">
        <f t="shared" ca="1" si="309"/>
        <v>0</v>
      </c>
      <c r="M1484">
        <f t="shared" ca="1" si="310"/>
        <v>3</v>
      </c>
      <c r="N1484">
        <f t="shared" ca="1" si="311"/>
        <v>0</v>
      </c>
    </row>
    <row r="1485" spans="1:14" x14ac:dyDescent="0.35">
      <c r="A1485" t="s">
        <v>1502</v>
      </c>
      <c r="B1485" t="str">
        <f t="shared" si="299"/>
        <v>Test</v>
      </c>
      <c r="C1485">
        <f t="shared" ca="1" si="300"/>
        <v>38</v>
      </c>
      <c r="D1485" t="str">
        <f t="shared" ca="1" si="301"/>
        <v>Male</v>
      </c>
      <c r="E1485" t="str">
        <f t="shared" ca="1" si="302"/>
        <v>T-shirts</v>
      </c>
      <c r="F1485">
        <f t="shared" ca="1" si="303"/>
        <v>7198</v>
      </c>
      <c r="G1485">
        <f t="shared" ca="1" si="304"/>
        <v>25</v>
      </c>
      <c r="H1485">
        <f t="shared" ca="1" si="305"/>
        <v>5398.5</v>
      </c>
      <c r="I1485">
        <f t="shared" ca="1" si="306"/>
        <v>1</v>
      </c>
      <c r="J1485">
        <f t="shared" ca="1" si="307"/>
        <v>1</v>
      </c>
      <c r="K1485">
        <f t="shared" ca="1" si="308"/>
        <v>0</v>
      </c>
      <c r="L1485">
        <f t="shared" ca="1" si="309"/>
        <v>0</v>
      </c>
      <c r="M1485">
        <f t="shared" ca="1" si="310"/>
        <v>5</v>
      </c>
      <c r="N1485">
        <f t="shared" ca="1" si="311"/>
        <v>0</v>
      </c>
    </row>
    <row r="1486" spans="1:14" x14ac:dyDescent="0.35">
      <c r="A1486" t="s">
        <v>1503</v>
      </c>
      <c r="B1486" t="str">
        <f t="shared" si="299"/>
        <v>Test</v>
      </c>
      <c r="C1486">
        <f t="shared" ca="1" si="300"/>
        <v>40</v>
      </c>
      <c r="D1486" t="str">
        <f t="shared" ca="1" si="301"/>
        <v>Male</v>
      </c>
      <c r="E1486" t="str">
        <f t="shared" ca="1" si="302"/>
        <v>Accessories</v>
      </c>
      <c r="F1486">
        <f t="shared" ca="1" si="303"/>
        <v>1820</v>
      </c>
      <c r="G1486">
        <f t="shared" ca="1" si="304"/>
        <v>15</v>
      </c>
      <c r="H1486">
        <f t="shared" ca="1" si="305"/>
        <v>1547</v>
      </c>
      <c r="I1486">
        <f t="shared" ca="1" si="306"/>
        <v>1</v>
      </c>
      <c r="J1486">
        <f t="shared" ca="1" si="307"/>
        <v>0</v>
      </c>
      <c r="K1486">
        <f t="shared" ca="1" si="308"/>
        <v>0</v>
      </c>
      <c r="L1486">
        <f t="shared" ca="1" si="309"/>
        <v>0</v>
      </c>
      <c r="M1486">
        <f t="shared" ca="1" si="310"/>
        <v>5</v>
      </c>
      <c r="N1486">
        <f t="shared" ca="1" si="311"/>
        <v>0</v>
      </c>
    </row>
    <row r="1487" spans="1:14" x14ac:dyDescent="0.35">
      <c r="A1487" t="s">
        <v>1504</v>
      </c>
      <c r="B1487" t="str">
        <f t="shared" si="299"/>
        <v>Test</v>
      </c>
      <c r="C1487">
        <f t="shared" ca="1" si="300"/>
        <v>29</v>
      </c>
      <c r="D1487" t="str">
        <f t="shared" ca="1" si="301"/>
        <v>Male</v>
      </c>
      <c r="E1487" t="str">
        <f t="shared" ca="1" si="302"/>
        <v>Jeans</v>
      </c>
      <c r="F1487">
        <f t="shared" ca="1" si="303"/>
        <v>4307</v>
      </c>
      <c r="G1487">
        <f t="shared" ca="1" si="304"/>
        <v>25</v>
      </c>
      <c r="H1487">
        <f t="shared" ca="1" si="305"/>
        <v>3230.25</v>
      </c>
      <c r="I1487">
        <f t="shared" ca="1" si="306"/>
        <v>1</v>
      </c>
      <c r="J1487">
        <f t="shared" ca="1" si="307"/>
        <v>0</v>
      </c>
      <c r="K1487">
        <f t="shared" ca="1" si="308"/>
        <v>0</v>
      </c>
      <c r="L1487">
        <f t="shared" ca="1" si="309"/>
        <v>0</v>
      </c>
      <c r="M1487">
        <f t="shared" ca="1" si="310"/>
        <v>5</v>
      </c>
      <c r="N1487">
        <f t="shared" ca="1" si="311"/>
        <v>0</v>
      </c>
    </row>
    <row r="1488" spans="1:14" x14ac:dyDescent="0.35">
      <c r="A1488" t="s">
        <v>1505</v>
      </c>
      <c r="B1488" t="str">
        <f t="shared" si="299"/>
        <v>Test</v>
      </c>
      <c r="C1488">
        <f t="shared" ca="1" si="300"/>
        <v>34</v>
      </c>
      <c r="D1488" t="str">
        <f t="shared" ca="1" si="301"/>
        <v>Female</v>
      </c>
      <c r="E1488" t="str">
        <f t="shared" ca="1" si="302"/>
        <v>Shoes</v>
      </c>
      <c r="F1488">
        <f t="shared" ca="1" si="303"/>
        <v>5534</v>
      </c>
      <c r="G1488">
        <f t="shared" ca="1" si="304"/>
        <v>15</v>
      </c>
      <c r="H1488">
        <f t="shared" ca="1" si="305"/>
        <v>4703.8999999999996</v>
      </c>
      <c r="I1488">
        <f t="shared" ca="1" si="306"/>
        <v>1</v>
      </c>
      <c r="J1488">
        <f t="shared" ca="1" si="307"/>
        <v>0</v>
      </c>
      <c r="K1488">
        <f t="shared" ca="1" si="308"/>
        <v>0</v>
      </c>
      <c r="L1488">
        <f t="shared" ca="1" si="309"/>
        <v>0</v>
      </c>
      <c r="M1488">
        <f t="shared" ca="1" si="310"/>
        <v>3</v>
      </c>
      <c r="N1488">
        <f t="shared" ca="1" si="311"/>
        <v>0</v>
      </c>
    </row>
    <row r="1489" spans="1:14" x14ac:dyDescent="0.35">
      <c r="A1489" t="s">
        <v>1506</v>
      </c>
      <c r="B1489" t="str">
        <f t="shared" si="299"/>
        <v>Test</v>
      </c>
      <c r="C1489">
        <f t="shared" ca="1" si="300"/>
        <v>27</v>
      </c>
      <c r="D1489" t="str">
        <f t="shared" ca="1" si="301"/>
        <v>Female</v>
      </c>
      <c r="E1489" t="str">
        <f t="shared" ca="1" si="302"/>
        <v>Shoes</v>
      </c>
      <c r="F1489">
        <f t="shared" ca="1" si="303"/>
        <v>792</v>
      </c>
      <c r="G1489">
        <f t="shared" ca="1" si="304"/>
        <v>20</v>
      </c>
      <c r="H1489">
        <f t="shared" ca="1" si="305"/>
        <v>633.6</v>
      </c>
      <c r="I1489">
        <f t="shared" ca="1" si="306"/>
        <v>1</v>
      </c>
      <c r="J1489">
        <f t="shared" ca="1" si="307"/>
        <v>0</v>
      </c>
      <c r="K1489">
        <f t="shared" ca="1" si="308"/>
        <v>0</v>
      </c>
      <c r="L1489">
        <f t="shared" ca="1" si="309"/>
        <v>0</v>
      </c>
      <c r="M1489">
        <f t="shared" ca="1" si="310"/>
        <v>2</v>
      </c>
      <c r="N1489">
        <f t="shared" ca="1" si="311"/>
        <v>0</v>
      </c>
    </row>
    <row r="1490" spans="1:14" x14ac:dyDescent="0.35">
      <c r="A1490" t="s">
        <v>1507</v>
      </c>
      <c r="B1490" t="str">
        <f t="shared" si="299"/>
        <v>Test</v>
      </c>
      <c r="C1490">
        <f t="shared" ca="1" si="300"/>
        <v>25</v>
      </c>
      <c r="D1490" t="str">
        <f t="shared" ca="1" si="301"/>
        <v>Male</v>
      </c>
      <c r="E1490" t="str">
        <f t="shared" ca="1" si="302"/>
        <v>Accessories</v>
      </c>
      <c r="F1490">
        <f t="shared" ca="1" si="303"/>
        <v>4275</v>
      </c>
      <c r="G1490">
        <f t="shared" ca="1" si="304"/>
        <v>20</v>
      </c>
      <c r="H1490">
        <f t="shared" ca="1" si="305"/>
        <v>3420</v>
      </c>
      <c r="I1490">
        <f t="shared" ca="1" si="306"/>
        <v>1</v>
      </c>
      <c r="J1490">
        <f t="shared" ca="1" si="307"/>
        <v>1</v>
      </c>
      <c r="K1490">
        <f t="shared" ca="1" si="308"/>
        <v>0</v>
      </c>
      <c r="L1490">
        <f t="shared" ca="1" si="309"/>
        <v>0</v>
      </c>
      <c r="M1490">
        <f t="shared" ca="1" si="310"/>
        <v>7</v>
      </c>
      <c r="N1490">
        <f t="shared" ca="1" si="311"/>
        <v>0</v>
      </c>
    </row>
    <row r="1491" spans="1:14" x14ac:dyDescent="0.35">
      <c r="A1491" t="s">
        <v>1508</v>
      </c>
      <c r="B1491" t="str">
        <f t="shared" si="299"/>
        <v>Test</v>
      </c>
      <c r="C1491">
        <f t="shared" ca="1" si="300"/>
        <v>36</v>
      </c>
      <c r="D1491" t="str">
        <f t="shared" ca="1" si="301"/>
        <v>Male</v>
      </c>
      <c r="E1491" t="str">
        <f t="shared" ca="1" si="302"/>
        <v>Jeans</v>
      </c>
      <c r="F1491">
        <f t="shared" ca="1" si="303"/>
        <v>4121</v>
      </c>
      <c r="G1491">
        <f t="shared" ca="1" si="304"/>
        <v>20</v>
      </c>
      <c r="H1491">
        <f t="shared" ca="1" si="305"/>
        <v>3296.8</v>
      </c>
      <c r="I1491">
        <f t="shared" ca="1" si="306"/>
        <v>0</v>
      </c>
      <c r="J1491">
        <f t="shared" ca="1" si="307"/>
        <v>0</v>
      </c>
      <c r="K1491">
        <f t="shared" ca="1" si="308"/>
        <v>0</v>
      </c>
      <c r="L1491">
        <f t="shared" ca="1" si="309"/>
        <v>0</v>
      </c>
      <c r="M1491">
        <f t="shared" ca="1" si="310"/>
        <v>4</v>
      </c>
      <c r="N1491">
        <f t="shared" ca="1" si="311"/>
        <v>0</v>
      </c>
    </row>
    <row r="1492" spans="1:14" x14ac:dyDescent="0.35">
      <c r="A1492" t="s">
        <v>1509</v>
      </c>
      <c r="B1492" t="str">
        <f t="shared" si="299"/>
        <v>Test</v>
      </c>
      <c r="C1492">
        <f t="shared" ca="1" si="300"/>
        <v>28</v>
      </c>
      <c r="D1492" t="str">
        <f t="shared" ca="1" si="301"/>
        <v>Female</v>
      </c>
      <c r="E1492" t="str">
        <f t="shared" ca="1" si="302"/>
        <v>Sportswear</v>
      </c>
      <c r="F1492">
        <f t="shared" ca="1" si="303"/>
        <v>7444</v>
      </c>
      <c r="G1492">
        <f t="shared" ca="1" si="304"/>
        <v>15</v>
      </c>
      <c r="H1492">
        <f t="shared" ca="1" si="305"/>
        <v>6327.4</v>
      </c>
      <c r="I1492">
        <f t="shared" ca="1" si="306"/>
        <v>0</v>
      </c>
      <c r="J1492">
        <f t="shared" ca="1" si="307"/>
        <v>0</v>
      </c>
      <c r="K1492">
        <f t="shared" ca="1" si="308"/>
        <v>0</v>
      </c>
      <c r="L1492">
        <f t="shared" ca="1" si="309"/>
        <v>0</v>
      </c>
      <c r="M1492">
        <f t="shared" ca="1" si="310"/>
        <v>6</v>
      </c>
      <c r="N1492">
        <f t="shared" ca="1" si="311"/>
        <v>0</v>
      </c>
    </row>
    <row r="1493" spans="1:14" x14ac:dyDescent="0.35">
      <c r="A1493" t="s">
        <v>1510</v>
      </c>
      <c r="B1493" t="str">
        <f t="shared" si="299"/>
        <v>Test</v>
      </c>
      <c r="C1493">
        <f t="shared" ca="1" si="300"/>
        <v>26</v>
      </c>
      <c r="D1493" t="str">
        <f t="shared" ca="1" si="301"/>
        <v>Other</v>
      </c>
      <c r="E1493" t="str">
        <f t="shared" ca="1" si="302"/>
        <v>Shoes</v>
      </c>
      <c r="F1493">
        <f t="shared" ca="1" si="303"/>
        <v>4686</v>
      </c>
      <c r="G1493">
        <f t="shared" ca="1" si="304"/>
        <v>15</v>
      </c>
      <c r="H1493">
        <f t="shared" ca="1" si="305"/>
        <v>3983.1</v>
      </c>
      <c r="I1493">
        <f t="shared" ca="1" si="306"/>
        <v>1</v>
      </c>
      <c r="J1493">
        <f t="shared" ca="1" si="307"/>
        <v>1</v>
      </c>
      <c r="K1493">
        <f t="shared" ca="1" si="308"/>
        <v>0</v>
      </c>
      <c r="L1493">
        <f t="shared" ca="1" si="309"/>
        <v>0</v>
      </c>
      <c r="M1493">
        <f t="shared" ca="1" si="310"/>
        <v>1</v>
      </c>
      <c r="N1493">
        <f t="shared" ca="1" si="311"/>
        <v>0</v>
      </c>
    </row>
    <row r="1494" spans="1:14" x14ac:dyDescent="0.35">
      <c r="A1494" t="s">
        <v>1511</v>
      </c>
      <c r="B1494" t="str">
        <f t="shared" si="299"/>
        <v>Test</v>
      </c>
      <c r="C1494">
        <f t="shared" ca="1" si="300"/>
        <v>32</v>
      </c>
      <c r="D1494" t="str">
        <f t="shared" ca="1" si="301"/>
        <v>Other</v>
      </c>
      <c r="E1494" t="str">
        <f t="shared" ca="1" si="302"/>
        <v>Dresses</v>
      </c>
      <c r="F1494">
        <f t="shared" ca="1" si="303"/>
        <v>6375</v>
      </c>
      <c r="G1494">
        <f t="shared" ca="1" si="304"/>
        <v>15</v>
      </c>
      <c r="H1494">
        <f t="shared" ca="1" si="305"/>
        <v>5418.75</v>
      </c>
      <c r="I1494">
        <f t="shared" ca="1" si="306"/>
        <v>1</v>
      </c>
      <c r="J1494">
        <f t="shared" ca="1" si="307"/>
        <v>1</v>
      </c>
      <c r="K1494">
        <f t="shared" ca="1" si="308"/>
        <v>0</v>
      </c>
      <c r="L1494">
        <f t="shared" ca="1" si="309"/>
        <v>0</v>
      </c>
      <c r="M1494">
        <f t="shared" ca="1" si="310"/>
        <v>1</v>
      </c>
      <c r="N1494">
        <f t="shared" ca="1" si="311"/>
        <v>0</v>
      </c>
    </row>
    <row r="1495" spans="1:14" x14ac:dyDescent="0.35">
      <c r="A1495" t="s">
        <v>1512</v>
      </c>
      <c r="B1495" t="str">
        <f t="shared" si="299"/>
        <v>Test</v>
      </c>
      <c r="C1495">
        <f t="shared" ca="1" si="300"/>
        <v>28</v>
      </c>
      <c r="D1495" t="str">
        <f t="shared" ca="1" si="301"/>
        <v>Female</v>
      </c>
      <c r="E1495" t="str">
        <f t="shared" ca="1" si="302"/>
        <v>Dresses</v>
      </c>
      <c r="F1495">
        <f t="shared" ca="1" si="303"/>
        <v>7849</v>
      </c>
      <c r="G1495">
        <f t="shared" ca="1" si="304"/>
        <v>20</v>
      </c>
      <c r="H1495">
        <f t="shared" ca="1" si="305"/>
        <v>6279.2000000000007</v>
      </c>
      <c r="I1495">
        <f t="shared" ca="1" si="306"/>
        <v>1</v>
      </c>
      <c r="J1495">
        <f t="shared" ca="1" si="307"/>
        <v>0</v>
      </c>
      <c r="K1495">
        <f t="shared" ca="1" si="308"/>
        <v>0</v>
      </c>
      <c r="L1495">
        <f t="shared" ca="1" si="309"/>
        <v>0</v>
      </c>
      <c r="M1495">
        <f t="shared" ca="1" si="310"/>
        <v>7</v>
      </c>
      <c r="N1495">
        <f t="shared" ca="1" si="311"/>
        <v>0</v>
      </c>
    </row>
    <row r="1496" spans="1:14" x14ac:dyDescent="0.35">
      <c r="A1496" t="s">
        <v>1513</v>
      </c>
      <c r="B1496" t="str">
        <f t="shared" si="299"/>
        <v>Test</v>
      </c>
      <c r="C1496">
        <f t="shared" ca="1" si="300"/>
        <v>40</v>
      </c>
      <c r="D1496" t="str">
        <f t="shared" ca="1" si="301"/>
        <v>Male</v>
      </c>
      <c r="E1496" t="str">
        <f t="shared" ca="1" si="302"/>
        <v>Jeans</v>
      </c>
      <c r="F1496">
        <f t="shared" ca="1" si="303"/>
        <v>3399</v>
      </c>
      <c r="G1496">
        <f t="shared" ca="1" si="304"/>
        <v>15</v>
      </c>
      <c r="H1496">
        <f t="shared" ca="1" si="305"/>
        <v>2889.15</v>
      </c>
      <c r="I1496">
        <f t="shared" ca="1" si="306"/>
        <v>1</v>
      </c>
      <c r="J1496">
        <f t="shared" ca="1" si="307"/>
        <v>0</v>
      </c>
      <c r="K1496">
        <f t="shared" ca="1" si="308"/>
        <v>0</v>
      </c>
      <c r="L1496">
        <f t="shared" ca="1" si="309"/>
        <v>0</v>
      </c>
      <c r="M1496">
        <f t="shared" ca="1" si="310"/>
        <v>7</v>
      </c>
      <c r="N1496">
        <f t="shared" ca="1" si="311"/>
        <v>0</v>
      </c>
    </row>
    <row r="1497" spans="1:14" x14ac:dyDescent="0.35">
      <c r="A1497" t="s">
        <v>1514</v>
      </c>
      <c r="B1497" t="str">
        <f t="shared" si="299"/>
        <v>Test</v>
      </c>
      <c r="C1497">
        <f t="shared" ca="1" si="300"/>
        <v>39</v>
      </c>
      <c r="D1497" t="str">
        <f t="shared" ca="1" si="301"/>
        <v>Other</v>
      </c>
      <c r="E1497" t="str">
        <f t="shared" ca="1" si="302"/>
        <v>Dresses</v>
      </c>
      <c r="F1497">
        <f t="shared" ca="1" si="303"/>
        <v>1781</v>
      </c>
      <c r="G1497">
        <f t="shared" ca="1" si="304"/>
        <v>25</v>
      </c>
      <c r="H1497">
        <f t="shared" ca="1" si="305"/>
        <v>1335.75</v>
      </c>
      <c r="I1497">
        <f t="shared" ca="1" si="306"/>
        <v>0</v>
      </c>
      <c r="J1497">
        <f t="shared" ca="1" si="307"/>
        <v>0</v>
      </c>
      <c r="K1497">
        <f t="shared" ca="1" si="308"/>
        <v>0</v>
      </c>
      <c r="L1497">
        <f t="shared" ca="1" si="309"/>
        <v>0</v>
      </c>
      <c r="M1497">
        <f t="shared" ca="1" si="310"/>
        <v>6</v>
      </c>
      <c r="N1497">
        <f t="shared" ca="1" si="311"/>
        <v>0</v>
      </c>
    </row>
    <row r="1498" spans="1:14" x14ac:dyDescent="0.35">
      <c r="A1498" t="s">
        <v>1515</v>
      </c>
      <c r="B1498" t="str">
        <f t="shared" si="299"/>
        <v>Test</v>
      </c>
      <c r="C1498">
        <f t="shared" ca="1" si="300"/>
        <v>39</v>
      </c>
      <c r="D1498" t="str">
        <f t="shared" ca="1" si="301"/>
        <v>Female</v>
      </c>
      <c r="E1498" t="str">
        <f t="shared" ca="1" si="302"/>
        <v>Sportswear</v>
      </c>
      <c r="F1498">
        <f t="shared" ca="1" si="303"/>
        <v>2348</v>
      </c>
      <c r="G1498">
        <f t="shared" ca="1" si="304"/>
        <v>25</v>
      </c>
      <c r="H1498">
        <f t="shared" ca="1" si="305"/>
        <v>1761</v>
      </c>
      <c r="I1498">
        <f t="shared" ca="1" si="306"/>
        <v>1</v>
      </c>
      <c r="J1498">
        <f t="shared" ca="1" si="307"/>
        <v>0</v>
      </c>
      <c r="K1498">
        <f t="shared" ca="1" si="308"/>
        <v>0</v>
      </c>
      <c r="L1498">
        <f t="shared" ca="1" si="309"/>
        <v>0</v>
      </c>
      <c r="M1498">
        <f t="shared" ca="1" si="310"/>
        <v>7</v>
      </c>
      <c r="N1498">
        <f t="shared" ca="1" si="311"/>
        <v>0</v>
      </c>
    </row>
    <row r="1499" spans="1:14" x14ac:dyDescent="0.35">
      <c r="A1499" t="s">
        <v>1516</v>
      </c>
      <c r="B1499" t="str">
        <f t="shared" si="299"/>
        <v>Test</v>
      </c>
      <c r="C1499">
        <f t="shared" ca="1" si="300"/>
        <v>26</v>
      </c>
      <c r="D1499" t="str">
        <f t="shared" ca="1" si="301"/>
        <v>Male</v>
      </c>
      <c r="E1499" t="str">
        <f t="shared" ca="1" si="302"/>
        <v>Shoes</v>
      </c>
      <c r="F1499">
        <f t="shared" ca="1" si="303"/>
        <v>5097</v>
      </c>
      <c r="G1499">
        <f t="shared" ca="1" si="304"/>
        <v>15</v>
      </c>
      <c r="H1499">
        <f t="shared" ca="1" si="305"/>
        <v>4332.45</v>
      </c>
      <c r="I1499">
        <f t="shared" ca="1" si="306"/>
        <v>1</v>
      </c>
      <c r="J1499">
        <f t="shared" ca="1" si="307"/>
        <v>1</v>
      </c>
      <c r="K1499">
        <f t="shared" ca="1" si="308"/>
        <v>0</v>
      </c>
      <c r="L1499">
        <f t="shared" ca="1" si="309"/>
        <v>0</v>
      </c>
      <c r="M1499">
        <f t="shared" ca="1" si="310"/>
        <v>6</v>
      </c>
      <c r="N1499">
        <f t="shared" ca="1" si="311"/>
        <v>0</v>
      </c>
    </row>
    <row r="1500" spans="1:14" x14ac:dyDescent="0.35">
      <c r="A1500" t="s">
        <v>1517</v>
      </c>
      <c r="B1500" t="str">
        <f t="shared" si="299"/>
        <v>Test</v>
      </c>
      <c r="C1500">
        <f t="shared" ca="1" si="300"/>
        <v>18</v>
      </c>
      <c r="D1500" t="str">
        <f t="shared" ca="1" si="301"/>
        <v>Female</v>
      </c>
      <c r="E1500" t="str">
        <f t="shared" ca="1" si="302"/>
        <v>T-shirts</v>
      </c>
      <c r="F1500">
        <f t="shared" ca="1" si="303"/>
        <v>1286</v>
      </c>
      <c r="G1500">
        <f t="shared" ca="1" si="304"/>
        <v>25</v>
      </c>
      <c r="H1500">
        <f t="shared" ca="1" si="305"/>
        <v>964.5</v>
      </c>
      <c r="I1500">
        <f t="shared" ca="1" si="306"/>
        <v>1</v>
      </c>
      <c r="J1500">
        <f t="shared" ca="1" si="307"/>
        <v>0</v>
      </c>
      <c r="K1500">
        <f t="shared" ca="1" si="308"/>
        <v>0</v>
      </c>
      <c r="L1500">
        <f t="shared" ca="1" si="309"/>
        <v>0</v>
      </c>
      <c r="M1500">
        <f t="shared" ca="1" si="310"/>
        <v>1</v>
      </c>
      <c r="N1500">
        <f t="shared" ca="1" si="311"/>
        <v>0</v>
      </c>
    </row>
    <row r="1501" spans="1:14" x14ac:dyDescent="0.35">
      <c r="A1501" t="s">
        <v>1518</v>
      </c>
      <c r="B1501" t="str">
        <f t="shared" si="299"/>
        <v>Test</v>
      </c>
      <c r="C1501">
        <f t="shared" ca="1" si="300"/>
        <v>27</v>
      </c>
      <c r="D1501" t="str">
        <f t="shared" ca="1" si="301"/>
        <v>Female</v>
      </c>
      <c r="E1501" t="str">
        <f t="shared" ca="1" si="302"/>
        <v>Dresses</v>
      </c>
      <c r="F1501">
        <f t="shared" ca="1" si="303"/>
        <v>7253</v>
      </c>
      <c r="G1501">
        <f t="shared" ca="1" si="304"/>
        <v>25</v>
      </c>
      <c r="H1501">
        <f t="shared" ca="1" si="305"/>
        <v>5439.75</v>
      </c>
      <c r="I1501">
        <f t="shared" ca="1" si="306"/>
        <v>1</v>
      </c>
      <c r="J1501">
        <f t="shared" ca="1" si="307"/>
        <v>0</v>
      </c>
      <c r="K1501">
        <f t="shared" ca="1" si="308"/>
        <v>0</v>
      </c>
      <c r="L1501">
        <f t="shared" ca="1" si="309"/>
        <v>0</v>
      </c>
      <c r="M1501">
        <f t="shared" ca="1" si="310"/>
        <v>2</v>
      </c>
      <c r="N1501">
        <f t="shared" ca="1" si="311"/>
        <v>0</v>
      </c>
    </row>
    <row r="1502" spans="1:14" x14ac:dyDescent="0.35">
      <c r="A1502" t="s">
        <v>1519</v>
      </c>
      <c r="B1502" t="str">
        <f t="shared" si="299"/>
        <v>Test</v>
      </c>
      <c r="C1502">
        <f t="shared" ca="1" si="300"/>
        <v>26</v>
      </c>
      <c r="D1502" t="str">
        <f t="shared" ca="1" si="301"/>
        <v>Male</v>
      </c>
      <c r="E1502" t="str">
        <f t="shared" ca="1" si="302"/>
        <v>Jeans</v>
      </c>
      <c r="F1502">
        <f t="shared" ca="1" si="303"/>
        <v>5886</v>
      </c>
      <c r="G1502">
        <f t="shared" ca="1" si="304"/>
        <v>15</v>
      </c>
      <c r="H1502">
        <f t="shared" ca="1" si="305"/>
        <v>5003.0999999999995</v>
      </c>
      <c r="I1502">
        <f t="shared" ca="1" si="306"/>
        <v>0</v>
      </c>
      <c r="J1502">
        <f t="shared" ca="1" si="307"/>
        <v>0</v>
      </c>
      <c r="K1502">
        <f t="shared" ca="1" si="308"/>
        <v>0</v>
      </c>
      <c r="L1502">
        <f t="shared" ca="1" si="309"/>
        <v>0</v>
      </c>
      <c r="M1502">
        <f t="shared" ca="1" si="310"/>
        <v>7</v>
      </c>
      <c r="N1502">
        <f t="shared" ca="1" si="311"/>
        <v>0</v>
      </c>
    </row>
    <row r="1503" spans="1:14" x14ac:dyDescent="0.35">
      <c r="A1503" t="s">
        <v>1520</v>
      </c>
      <c r="B1503" t="str">
        <f t="shared" si="299"/>
        <v>Test</v>
      </c>
      <c r="C1503">
        <f t="shared" ca="1" si="300"/>
        <v>23</v>
      </c>
      <c r="D1503" t="str">
        <f t="shared" ca="1" si="301"/>
        <v>Female</v>
      </c>
      <c r="E1503" t="str">
        <f t="shared" ca="1" si="302"/>
        <v>Ethnic Wear</v>
      </c>
      <c r="F1503">
        <f t="shared" ca="1" si="303"/>
        <v>4006</v>
      </c>
      <c r="G1503">
        <f t="shared" ca="1" si="304"/>
        <v>15</v>
      </c>
      <c r="H1503">
        <f t="shared" ca="1" si="305"/>
        <v>3405.1</v>
      </c>
      <c r="I1503">
        <f t="shared" ca="1" si="306"/>
        <v>1</v>
      </c>
      <c r="J1503">
        <f t="shared" ca="1" si="307"/>
        <v>0</v>
      </c>
      <c r="K1503">
        <f t="shared" ca="1" si="308"/>
        <v>0</v>
      </c>
      <c r="L1503">
        <f t="shared" ca="1" si="309"/>
        <v>0</v>
      </c>
      <c r="M1503">
        <f t="shared" ca="1" si="310"/>
        <v>7</v>
      </c>
      <c r="N1503">
        <f t="shared" ca="1" si="311"/>
        <v>0</v>
      </c>
    </row>
    <row r="1504" spans="1:14" x14ac:dyDescent="0.35">
      <c r="A1504" t="s">
        <v>1521</v>
      </c>
      <c r="B1504" t="str">
        <f t="shared" si="299"/>
        <v>Test</v>
      </c>
      <c r="C1504">
        <f t="shared" ca="1" si="300"/>
        <v>26</v>
      </c>
      <c r="D1504" t="str">
        <f t="shared" ca="1" si="301"/>
        <v>Female</v>
      </c>
      <c r="E1504" t="str">
        <f t="shared" ca="1" si="302"/>
        <v>Sportswear</v>
      </c>
      <c r="F1504">
        <f t="shared" ca="1" si="303"/>
        <v>7788</v>
      </c>
      <c r="G1504">
        <f t="shared" ca="1" si="304"/>
        <v>15</v>
      </c>
      <c r="H1504">
        <f t="shared" ca="1" si="305"/>
        <v>6619.8</v>
      </c>
      <c r="I1504">
        <f t="shared" ca="1" si="306"/>
        <v>1</v>
      </c>
      <c r="J1504">
        <f t="shared" ca="1" si="307"/>
        <v>1</v>
      </c>
      <c r="K1504">
        <f t="shared" ca="1" si="308"/>
        <v>0</v>
      </c>
      <c r="L1504">
        <f t="shared" ca="1" si="309"/>
        <v>0</v>
      </c>
      <c r="M1504">
        <f t="shared" ca="1" si="310"/>
        <v>2</v>
      </c>
      <c r="N1504">
        <f t="shared" ca="1" si="311"/>
        <v>0</v>
      </c>
    </row>
    <row r="1505" spans="1:14" x14ac:dyDescent="0.35">
      <c r="A1505" t="s">
        <v>1522</v>
      </c>
      <c r="B1505" t="str">
        <f t="shared" si="299"/>
        <v>Test</v>
      </c>
      <c r="C1505">
        <f t="shared" ca="1" si="300"/>
        <v>30</v>
      </c>
      <c r="D1505" t="str">
        <f t="shared" ca="1" si="301"/>
        <v>Male</v>
      </c>
      <c r="E1505" t="str">
        <f t="shared" ca="1" si="302"/>
        <v>Tops</v>
      </c>
      <c r="F1505">
        <f t="shared" ca="1" si="303"/>
        <v>3051</v>
      </c>
      <c r="G1505">
        <f t="shared" ca="1" si="304"/>
        <v>15</v>
      </c>
      <c r="H1505">
        <f t="shared" ca="1" si="305"/>
        <v>2593.35</v>
      </c>
      <c r="I1505">
        <f t="shared" ca="1" si="306"/>
        <v>1</v>
      </c>
      <c r="J1505">
        <f t="shared" ca="1" si="307"/>
        <v>1</v>
      </c>
      <c r="K1505">
        <f t="shared" ca="1" si="308"/>
        <v>0</v>
      </c>
      <c r="L1505">
        <f t="shared" ca="1" si="309"/>
        <v>0</v>
      </c>
      <c r="M1505">
        <f t="shared" ca="1" si="310"/>
        <v>6</v>
      </c>
      <c r="N1505">
        <f t="shared" ca="1" si="311"/>
        <v>0</v>
      </c>
    </row>
    <row r="1506" spans="1:14" x14ac:dyDescent="0.35">
      <c r="A1506" t="s">
        <v>1523</v>
      </c>
      <c r="B1506" t="str">
        <f t="shared" si="299"/>
        <v>Test</v>
      </c>
      <c r="C1506">
        <f t="shared" ca="1" si="300"/>
        <v>25</v>
      </c>
      <c r="D1506" t="str">
        <f t="shared" ca="1" si="301"/>
        <v>Male</v>
      </c>
      <c r="E1506" t="str">
        <f t="shared" ca="1" si="302"/>
        <v>Dresses</v>
      </c>
      <c r="F1506">
        <f t="shared" ca="1" si="303"/>
        <v>1841</v>
      </c>
      <c r="G1506">
        <f t="shared" ca="1" si="304"/>
        <v>25</v>
      </c>
      <c r="H1506">
        <f t="shared" ca="1" si="305"/>
        <v>1380.75</v>
      </c>
      <c r="I1506">
        <f t="shared" ca="1" si="306"/>
        <v>1</v>
      </c>
      <c r="J1506">
        <f t="shared" ca="1" si="307"/>
        <v>1</v>
      </c>
      <c r="K1506">
        <f t="shared" ca="1" si="308"/>
        <v>0</v>
      </c>
      <c r="L1506">
        <f t="shared" ca="1" si="309"/>
        <v>0</v>
      </c>
      <c r="M1506">
        <f t="shared" ca="1" si="310"/>
        <v>1</v>
      </c>
      <c r="N1506">
        <f t="shared" ca="1" si="311"/>
        <v>0</v>
      </c>
    </row>
    <row r="1507" spans="1:14" x14ac:dyDescent="0.35">
      <c r="A1507" t="s">
        <v>1524</v>
      </c>
      <c r="B1507" t="str">
        <f t="shared" si="299"/>
        <v>Test</v>
      </c>
      <c r="C1507">
        <f t="shared" ca="1" si="300"/>
        <v>28</v>
      </c>
      <c r="D1507" t="str">
        <f t="shared" ca="1" si="301"/>
        <v>Male</v>
      </c>
      <c r="E1507" t="str">
        <f t="shared" ca="1" si="302"/>
        <v>Shoes</v>
      </c>
      <c r="F1507">
        <f t="shared" ca="1" si="303"/>
        <v>6617</v>
      </c>
      <c r="G1507">
        <f t="shared" ca="1" si="304"/>
        <v>20</v>
      </c>
      <c r="H1507">
        <f t="shared" ca="1" si="305"/>
        <v>5293.6</v>
      </c>
      <c r="I1507">
        <f t="shared" ca="1" si="306"/>
        <v>0</v>
      </c>
      <c r="J1507">
        <f t="shared" ca="1" si="307"/>
        <v>0</v>
      </c>
      <c r="K1507">
        <f t="shared" ca="1" si="308"/>
        <v>0</v>
      </c>
      <c r="L1507">
        <f t="shared" ca="1" si="309"/>
        <v>0</v>
      </c>
      <c r="M1507">
        <f t="shared" ca="1" si="310"/>
        <v>5</v>
      </c>
      <c r="N1507">
        <f t="shared" ca="1" si="311"/>
        <v>0</v>
      </c>
    </row>
    <row r="1508" spans="1:14" x14ac:dyDescent="0.35">
      <c r="A1508" t="s">
        <v>1525</v>
      </c>
      <c r="B1508" t="str">
        <f t="shared" si="299"/>
        <v>Test</v>
      </c>
      <c r="C1508">
        <f t="shared" ca="1" si="300"/>
        <v>26</v>
      </c>
      <c r="D1508" t="str">
        <f t="shared" ca="1" si="301"/>
        <v>Female</v>
      </c>
      <c r="E1508" t="str">
        <f t="shared" ca="1" si="302"/>
        <v>Shoes</v>
      </c>
      <c r="F1508">
        <f t="shared" ca="1" si="303"/>
        <v>2819</v>
      </c>
      <c r="G1508">
        <f t="shared" ca="1" si="304"/>
        <v>25</v>
      </c>
      <c r="H1508">
        <f t="shared" ca="1" si="305"/>
        <v>2114.25</v>
      </c>
      <c r="I1508">
        <f t="shared" ca="1" si="306"/>
        <v>1</v>
      </c>
      <c r="J1508">
        <f t="shared" ca="1" si="307"/>
        <v>0</v>
      </c>
      <c r="K1508">
        <f t="shared" ca="1" si="308"/>
        <v>0</v>
      </c>
      <c r="L1508">
        <f t="shared" ca="1" si="309"/>
        <v>0</v>
      </c>
      <c r="M1508">
        <f t="shared" ca="1" si="310"/>
        <v>3</v>
      </c>
      <c r="N1508">
        <f t="shared" ca="1" si="311"/>
        <v>0</v>
      </c>
    </row>
    <row r="1509" spans="1:14" x14ac:dyDescent="0.35">
      <c r="A1509" t="s">
        <v>1526</v>
      </c>
      <c r="B1509" t="str">
        <f t="shared" si="299"/>
        <v>Test</v>
      </c>
      <c r="C1509">
        <f t="shared" ca="1" si="300"/>
        <v>35</v>
      </c>
      <c r="D1509" t="str">
        <f t="shared" ca="1" si="301"/>
        <v>Female</v>
      </c>
      <c r="E1509" t="str">
        <f t="shared" ca="1" si="302"/>
        <v>Accessories</v>
      </c>
      <c r="F1509">
        <f t="shared" ca="1" si="303"/>
        <v>5534</v>
      </c>
      <c r="G1509">
        <f t="shared" ca="1" si="304"/>
        <v>15</v>
      </c>
      <c r="H1509">
        <f t="shared" ca="1" si="305"/>
        <v>4703.8999999999996</v>
      </c>
      <c r="I1509">
        <f t="shared" ca="1" si="306"/>
        <v>1</v>
      </c>
      <c r="J1509">
        <f t="shared" ca="1" si="307"/>
        <v>0</v>
      </c>
      <c r="K1509">
        <f t="shared" ca="1" si="308"/>
        <v>0</v>
      </c>
      <c r="L1509">
        <f t="shared" ca="1" si="309"/>
        <v>0</v>
      </c>
      <c r="M1509">
        <f t="shared" ca="1" si="310"/>
        <v>4</v>
      </c>
      <c r="N1509">
        <f t="shared" ca="1" si="311"/>
        <v>0</v>
      </c>
    </row>
    <row r="1510" spans="1:14" x14ac:dyDescent="0.35">
      <c r="A1510" t="s">
        <v>1527</v>
      </c>
      <c r="B1510" t="str">
        <f t="shared" si="299"/>
        <v>Test</v>
      </c>
      <c r="C1510">
        <f t="shared" ca="1" si="300"/>
        <v>19</v>
      </c>
      <c r="D1510" t="str">
        <f t="shared" ca="1" si="301"/>
        <v>Female</v>
      </c>
      <c r="E1510" t="str">
        <f t="shared" ca="1" si="302"/>
        <v>T-shirts</v>
      </c>
      <c r="F1510">
        <f t="shared" ca="1" si="303"/>
        <v>5786</v>
      </c>
      <c r="G1510">
        <f t="shared" ca="1" si="304"/>
        <v>20</v>
      </c>
      <c r="H1510">
        <f t="shared" ca="1" si="305"/>
        <v>4628.8</v>
      </c>
      <c r="I1510">
        <f t="shared" ca="1" si="306"/>
        <v>1</v>
      </c>
      <c r="J1510">
        <f t="shared" ca="1" si="307"/>
        <v>1</v>
      </c>
      <c r="K1510">
        <f t="shared" ca="1" si="308"/>
        <v>0</v>
      </c>
      <c r="L1510">
        <f t="shared" ca="1" si="309"/>
        <v>0</v>
      </c>
      <c r="M1510">
        <f t="shared" ca="1" si="310"/>
        <v>3</v>
      </c>
      <c r="N1510">
        <f t="shared" ca="1" si="311"/>
        <v>0</v>
      </c>
    </row>
    <row r="1511" spans="1:14" x14ac:dyDescent="0.35">
      <c r="A1511" t="s">
        <v>1528</v>
      </c>
      <c r="B1511" t="str">
        <f t="shared" si="299"/>
        <v>Test</v>
      </c>
      <c r="C1511">
        <f t="shared" ca="1" si="300"/>
        <v>30</v>
      </c>
      <c r="D1511" t="str">
        <f t="shared" ca="1" si="301"/>
        <v>Other</v>
      </c>
      <c r="E1511" t="str">
        <f t="shared" ca="1" si="302"/>
        <v>Ethnic Wear</v>
      </c>
      <c r="F1511">
        <f t="shared" ca="1" si="303"/>
        <v>2231</v>
      </c>
      <c r="G1511">
        <f t="shared" ca="1" si="304"/>
        <v>25</v>
      </c>
      <c r="H1511">
        <f t="shared" ca="1" si="305"/>
        <v>1673.25</v>
      </c>
      <c r="I1511">
        <f t="shared" ca="1" si="306"/>
        <v>1</v>
      </c>
      <c r="J1511">
        <f t="shared" ca="1" si="307"/>
        <v>1</v>
      </c>
      <c r="K1511">
        <f t="shared" ca="1" si="308"/>
        <v>1</v>
      </c>
      <c r="L1511">
        <f t="shared" ca="1" si="309"/>
        <v>1673.25</v>
      </c>
      <c r="M1511">
        <f t="shared" ca="1" si="310"/>
        <v>1</v>
      </c>
      <c r="N1511">
        <f t="shared" ca="1" si="311"/>
        <v>0</v>
      </c>
    </row>
    <row r="1512" spans="1:14" x14ac:dyDescent="0.35">
      <c r="A1512" t="s">
        <v>1529</v>
      </c>
      <c r="B1512" t="str">
        <f t="shared" si="299"/>
        <v>Test</v>
      </c>
      <c r="C1512">
        <f t="shared" ca="1" si="300"/>
        <v>36</v>
      </c>
      <c r="D1512" t="str">
        <f t="shared" ca="1" si="301"/>
        <v>Female</v>
      </c>
      <c r="E1512" t="str">
        <f t="shared" ca="1" si="302"/>
        <v>Shoes</v>
      </c>
      <c r="F1512">
        <f t="shared" ca="1" si="303"/>
        <v>6002</v>
      </c>
      <c r="G1512">
        <f t="shared" ca="1" si="304"/>
        <v>15</v>
      </c>
      <c r="H1512">
        <f t="shared" ca="1" si="305"/>
        <v>5101.7</v>
      </c>
      <c r="I1512">
        <f t="shared" ca="1" si="306"/>
        <v>1</v>
      </c>
      <c r="J1512">
        <f t="shared" ca="1" si="307"/>
        <v>1</v>
      </c>
      <c r="K1512">
        <f t="shared" ca="1" si="308"/>
        <v>0</v>
      </c>
      <c r="L1512">
        <f t="shared" ca="1" si="309"/>
        <v>0</v>
      </c>
      <c r="M1512">
        <f t="shared" ca="1" si="310"/>
        <v>3</v>
      </c>
      <c r="N1512">
        <f t="shared" ca="1" si="311"/>
        <v>0</v>
      </c>
    </row>
    <row r="1513" spans="1:14" x14ac:dyDescent="0.35">
      <c r="A1513" t="s">
        <v>1530</v>
      </c>
      <c r="B1513" t="str">
        <f t="shared" si="299"/>
        <v>Test</v>
      </c>
      <c r="C1513">
        <f t="shared" ca="1" si="300"/>
        <v>33</v>
      </c>
      <c r="D1513" t="str">
        <f t="shared" ca="1" si="301"/>
        <v>Female</v>
      </c>
      <c r="E1513" t="str">
        <f t="shared" ca="1" si="302"/>
        <v>T-shirts</v>
      </c>
      <c r="F1513">
        <f t="shared" ca="1" si="303"/>
        <v>5638</v>
      </c>
      <c r="G1513">
        <f t="shared" ca="1" si="304"/>
        <v>15</v>
      </c>
      <c r="H1513">
        <f t="shared" ca="1" si="305"/>
        <v>4792.3</v>
      </c>
      <c r="I1513">
        <f t="shared" ca="1" si="306"/>
        <v>1</v>
      </c>
      <c r="J1513">
        <f t="shared" ca="1" si="307"/>
        <v>1</v>
      </c>
      <c r="K1513">
        <f t="shared" ca="1" si="308"/>
        <v>0</v>
      </c>
      <c r="L1513">
        <f t="shared" ca="1" si="309"/>
        <v>0</v>
      </c>
      <c r="M1513">
        <f t="shared" ca="1" si="310"/>
        <v>6</v>
      </c>
      <c r="N1513">
        <f t="shared" ca="1" si="311"/>
        <v>0</v>
      </c>
    </row>
    <row r="1514" spans="1:14" x14ac:dyDescent="0.35">
      <c r="A1514" t="s">
        <v>1531</v>
      </c>
      <c r="B1514" t="str">
        <f t="shared" si="299"/>
        <v>Test</v>
      </c>
      <c r="C1514">
        <f t="shared" ca="1" si="300"/>
        <v>44</v>
      </c>
      <c r="D1514" t="str">
        <f t="shared" ca="1" si="301"/>
        <v>Female</v>
      </c>
      <c r="E1514" t="str">
        <f t="shared" ca="1" si="302"/>
        <v>Dresses</v>
      </c>
      <c r="F1514">
        <f t="shared" ca="1" si="303"/>
        <v>1745</v>
      </c>
      <c r="G1514">
        <f t="shared" ca="1" si="304"/>
        <v>20</v>
      </c>
      <c r="H1514">
        <f t="shared" ca="1" si="305"/>
        <v>1396</v>
      </c>
      <c r="I1514">
        <f t="shared" ca="1" si="306"/>
        <v>1</v>
      </c>
      <c r="J1514">
        <f t="shared" ca="1" si="307"/>
        <v>0</v>
      </c>
      <c r="K1514">
        <f t="shared" ca="1" si="308"/>
        <v>0</v>
      </c>
      <c r="L1514">
        <f t="shared" ca="1" si="309"/>
        <v>0</v>
      </c>
      <c r="M1514">
        <f t="shared" ca="1" si="310"/>
        <v>1</v>
      </c>
      <c r="N1514">
        <f t="shared" ca="1" si="311"/>
        <v>0</v>
      </c>
    </row>
    <row r="1515" spans="1:14" x14ac:dyDescent="0.35">
      <c r="A1515" t="s">
        <v>1532</v>
      </c>
      <c r="B1515" t="str">
        <f t="shared" si="299"/>
        <v>Test</v>
      </c>
      <c r="C1515">
        <f t="shared" ca="1" si="300"/>
        <v>25</v>
      </c>
      <c r="D1515" t="str">
        <f t="shared" ca="1" si="301"/>
        <v>Other</v>
      </c>
      <c r="E1515" t="str">
        <f t="shared" ca="1" si="302"/>
        <v>Sportswear</v>
      </c>
      <c r="F1515">
        <f t="shared" ca="1" si="303"/>
        <v>5995</v>
      </c>
      <c r="G1515">
        <f t="shared" ca="1" si="304"/>
        <v>15</v>
      </c>
      <c r="H1515">
        <f t="shared" ca="1" si="305"/>
        <v>5095.75</v>
      </c>
      <c r="I1515">
        <f t="shared" ca="1" si="306"/>
        <v>1</v>
      </c>
      <c r="J1515">
        <f t="shared" ca="1" si="307"/>
        <v>0</v>
      </c>
      <c r="K1515">
        <f t="shared" ca="1" si="308"/>
        <v>0</v>
      </c>
      <c r="L1515">
        <f t="shared" ca="1" si="309"/>
        <v>0</v>
      </c>
      <c r="M1515">
        <f t="shared" ca="1" si="310"/>
        <v>7</v>
      </c>
      <c r="N1515">
        <f t="shared" ca="1" si="311"/>
        <v>0</v>
      </c>
    </row>
    <row r="1516" spans="1:14" x14ac:dyDescent="0.35">
      <c r="A1516" t="s">
        <v>1533</v>
      </c>
      <c r="B1516" t="str">
        <f t="shared" si="299"/>
        <v>Test</v>
      </c>
      <c r="C1516">
        <f t="shared" ca="1" si="300"/>
        <v>25</v>
      </c>
      <c r="D1516" t="str">
        <f t="shared" ca="1" si="301"/>
        <v>Female</v>
      </c>
      <c r="E1516" t="str">
        <f t="shared" ca="1" si="302"/>
        <v>Dresses</v>
      </c>
      <c r="F1516">
        <f t="shared" ca="1" si="303"/>
        <v>3606</v>
      </c>
      <c r="G1516">
        <f t="shared" ca="1" si="304"/>
        <v>25</v>
      </c>
      <c r="H1516">
        <f t="shared" ca="1" si="305"/>
        <v>2704.5</v>
      </c>
      <c r="I1516">
        <f t="shared" ca="1" si="306"/>
        <v>0</v>
      </c>
      <c r="J1516">
        <f t="shared" ca="1" si="307"/>
        <v>0</v>
      </c>
      <c r="K1516">
        <f t="shared" ca="1" si="308"/>
        <v>0</v>
      </c>
      <c r="L1516">
        <f t="shared" ca="1" si="309"/>
        <v>0</v>
      </c>
      <c r="M1516">
        <f t="shared" ca="1" si="310"/>
        <v>5</v>
      </c>
      <c r="N1516">
        <f t="shared" ca="1" si="311"/>
        <v>0</v>
      </c>
    </row>
    <row r="1517" spans="1:14" x14ac:dyDescent="0.35">
      <c r="A1517" t="s">
        <v>1534</v>
      </c>
      <c r="B1517" t="str">
        <f t="shared" si="299"/>
        <v>Test</v>
      </c>
      <c r="C1517">
        <f t="shared" ca="1" si="300"/>
        <v>37</v>
      </c>
      <c r="D1517" t="str">
        <f t="shared" ca="1" si="301"/>
        <v>Male</v>
      </c>
      <c r="E1517" t="str">
        <f t="shared" ca="1" si="302"/>
        <v>Dresses</v>
      </c>
      <c r="F1517">
        <f t="shared" ca="1" si="303"/>
        <v>7345</v>
      </c>
      <c r="G1517">
        <f t="shared" ca="1" si="304"/>
        <v>25</v>
      </c>
      <c r="H1517">
        <f t="shared" ca="1" si="305"/>
        <v>5508.75</v>
      </c>
      <c r="I1517">
        <f t="shared" ca="1" si="306"/>
        <v>1</v>
      </c>
      <c r="J1517">
        <f t="shared" ca="1" si="307"/>
        <v>1</v>
      </c>
      <c r="K1517">
        <f t="shared" ca="1" si="308"/>
        <v>1</v>
      </c>
      <c r="L1517">
        <f t="shared" ca="1" si="309"/>
        <v>5508.75</v>
      </c>
      <c r="M1517">
        <f t="shared" ca="1" si="310"/>
        <v>7</v>
      </c>
      <c r="N1517">
        <f t="shared" ca="1" si="311"/>
        <v>1</v>
      </c>
    </row>
    <row r="1518" spans="1:14" x14ac:dyDescent="0.35">
      <c r="A1518" t="s">
        <v>1535</v>
      </c>
      <c r="B1518" t="str">
        <f t="shared" si="299"/>
        <v>Test</v>
      </c>
      <c r="C1518">
        <f t="shared" ca="1" si="300"/>
        <v>34</v>
      </c>
      <c r="D1518" t="str">
        <f t="shared" ca="1" si="301"/>
        <v>Female</v>
      </c>
      <c r="E1518" t="str">
        <f t="shared" ca="1" si="302"/>
        <v>Jeans</v>
      </c>
      <c r="F1518">
        <f t="shared" ca="1" si="303"/>
        <v>7376</v>
      </c>
      <c r="G1518">
        <f t="shared" ca="1" si="304"/>
        <v>25</v>
      </c>
      <c r="H1518">
        <f t="shared" ca="1" si="305"/>
        <v>5532</v>
      </c>
      <c r="I1518">
        <f t="shared" ca="1" si="306"/>
        <v>1</v>
      </c>
      <c r="J1518">
        <f t="shared" ca="1" si="307"/>
        <v>1</v>
      </c>
      <c r="K1518">
        <f t="shared" ca="1" si="308"/>
        <v>1</v>
      </c>
      <c r="L1518">
        <f t="shared" ca="1" si="309"/>
        <v>5532</v>
      </c>
      <c r="M1518">
        <f t="shared" ca="1" si="310"/>
        <v>6</v>
      </c>
      <c r="N1518">
        <f t="shared" ca="1" si="311"/>
        <v>0</v>
      </c>
    </row>
    <row r="1519" spans="1:14" x14ac:dyDescent="0.35">
      <c r="A1519" t="s">
        <v>1536</v>
      </c>
      <c r="B1519" t="str">
        <f t="shared" si="299"/>
        <v>Test</v>
      </c>
      <c r="C1519">
        <f t="shared" ca="1" si="300"/>
        <v>29</v>
      </c>
      <c r="D1519" t="str">
        <f t="shared" ca="1" si="301"/>
        <v>Male</v>
      </c>
      <c r="E1519" t="str">
        <f t="shared" ca="1" si="302"/>
        <v>Dresses</v>
      </c>
      <c r="F1519">
        <f t="shared" ca="1" si="303"/>
        <v>1984</v>
      </c>
      <c r="G1519">
        <f t="shared" ca="1" si="304"/>
        <v>25</v>
      </c>
      <c r="H1519">
        <f t="shared" ca="1" si="305"/>
        <v>1488</v>
      </c>
      <c r="I1519">
        <f t="shared" ca="1" si="306"/>
        <v>1</v>
      </c>
      <c r="J1519">
        <f t="shared" ca="1" si="307"/>
        <v>1</v>
      </c>
      <c r="K1519">
        <f t="shared" ca="1" si="308"/>
        <v>0</v>
      </c>
      <c r="L1519">
        <f t="shared" ca="1" si="309"/>
        <v>0</v>
      </c>
      <c r="M1519">
        <f t="shared" ca="1" si="310"/>
        <v>6</v>
      </c>
      <c r="N1519">
        <f t="shared" ca="1" si="311"/>
        <v>0</v>
      </c>
    </row>
    <row r="1520" spans="1:14" x14ac:dyDescent="0.35">
      <c r="A1520" t="s">
        <v>1537</v>
      </c>
      <c r="B1520" t="str">
        <f t="shared" si="299"/>
        <v>Test</v>
      </c>
      <c r="C1520">
        <f t="shared" ca="1" si="300"/>
        <v>25</v>
      </c>
      <c r="D1520" t="str">
        <f t="shared" ca="1" si="301"/>
        <v>Male</v>
      </c>
      <c r="E1520" t="str">
        <f t="shared" ca="1" si="302"/>
        <v>T-shirts</v>
      </c>
      <c r="F1520">
        <f t="shared" ca="1" si="303"/>
        <v>6003</v>
      </c>
      <c r="G1520">
        <f t="shared" ca="1" si="304"/>
        <v>15</v>
      </c>
      <c r="H1520">
        <f t="shared" ca="1" si="305"/>
        <v>5102.55</v>
      </c>
      <c r="I1520">
        <f t="shared" ca="1" si="306"/>
        <v>1</v>
      </c>
      <c r="J1520">
        <f t="shared" ca="1" si="307"/>
        <v>1</v>
      </c>
      <c r="K1520">
        <f t="shared" ca="1" si="308"/>
        <v>0</v>
      </c>
      <c r="L1520">
        <f t="shared" ca="1" si="309"/>
        <v>0</v>
      </c>
      <c r="M1520">
        <f t="shared" ca="1" si="310"/>
        <v>6</v>
      </c>
      <c r="N1520">
        <f t="shared" ca="1" si="311"/>
        <v>0</v>
      </c>
    </row>
    <row r="1521" spans="1:14" x14ac:dyDescent="0.35">
      <c r="A1521" t="s">
        <v>1538</v>
      </c>
      <c r="B1521" t="str">
        <f t="shared" si="299"/>
        <v>Test</v>
      </c>
      <c r="C1521">
        <f t="shared" ca="1" si="300"/>
        <v>42</v>
      </c>
      <c r="D1521" t="str">
        <f t="shared" ca="1" si="301"/>
        <v>Male</v>
      </c>
      <c r="E1521" t="str">
        <f t="shared" ca="1" si="302"/>
        <v>Sportswear</v>
      </c>
      <c r="F1521">
        <f t="shared" ca="1" si="303"/>
        <v>6252</v>
      </c>
      <c r="G1521">
        <f t="shared" ca="1" si="304"/>
        <v>20</v>
      </c>
      <c r="H1521">
        <f t="shared" ca="1" si="305"/>
        <v>5001.6000000000004</v>
      </c>
      <c r="I1521">
        <f t="shared" ca="1" si="306"/>
        <v>1</v>
      </c>
      <c r="J1521">
        <f t="shared" ca="1" si="307"/>
        <v>1</v>
      </c>
      <c r="K1521">
        <f t="shared" ca="1" si="308"/>
        <v>1</v>
      </c>
      <c r="L1521">
        <f t="shared" ca="1" si="309"/>
        <v>5001.6000000000004</v>
      </c>
      <c r="M1521">
        <f t="shared" ca="1" si="310"/>
        <v>3</v>
      </c>
      <c r="N1521">
        <f t="shared" ca="1" si="311"/>
        <v>0</v>
      </c>
    </row>
    <row r="1522" spans="1:14" x14ac:dyDescent="0.35">
      <c r="A1522" t="s">
        <v>1539</v>
      </c>
      <c r="B1522" t="str">
        <f t="shared" si="299"/>
        <v>Test</v>
      </c>
      <c r="C1522">
        <f t="shared" ca="1" si="300"/>
        <v>18</v>
      </c>
      <c r="D1522" t="str">
        <f t="shared" ca="1" si="301"/>
        <v>Male</v>
      </c>
      <c r="E1522" t="str">
        <f t="shared" ca="1" si="302"/>
        <v>Dresses</v>
      </c>
      <c r="F1522">
        <f t="shared" ca="1" si="303"/>
        <v>751</v>
      </c>
      <c r="G1522">
        <f t="shared" ca="1" si="304"/>
        <v>20</v>
      </c>
      <c r="H1522">
        <f t="shared" ca="1" si="305"/>
        <v>600.80000000000007</v>
      </c>
      <c r="I1522">
        <f t="shared" ca="1" si="306"/>
        <v>1</v>
      </c>
      <c r="J1522">
        <f t="shared" ca="1" si="307"/>
        <v>1</v>
      </c>
      <c r="K1522">
        <f t="shared" ca="1" si="308"/>
        <v>0</v>
      </c>
      <c r="L1522">
        <f t="shared" ca="1" si="309"/>
        <v>0</v>
      </c>
      <c r="M1522">
        <f t="shared" ca="1" si="310"/>
        <v>2</v>
      </c>
      <c r="N1522">
        <f t="shared" ca="1" si="311"/>
        <v>0</v>
      </c>
    </row>
    <row r="1523" spans="1:14" x14ac:dyDescent="0.35">
      <c r="A1523" t="s">
        <v>1540</v>
      </c>
      <c r="B1523" t="str">
        <f t="shared" si="299"/>
        <v>Test</v>
      </c>
      <c r="C1523">
        <f t="shared" ca="1" si="300"/>
        <v>25</v>
      </c>
      <c r="D1523" t="str">
        <f t="shared" ca="1" si="301"/>
        <v>Female</v>
      </c>
      <c r="E1523" t="str">
        <f t="shared" ca="1" si="302"/>
        <v>Jeans</v>
      </c>
      <c r="F1523">
        <f t="shared" ca="1" si="303"/>
        <v>3877</v>
      </c>
      <c r="G1523">
        <f t="shared" ca="1" si="304"/>
        <v>25</v>
      </c>
      <c r="H1523">
        <f t="shared" ca="1" si="305"/>
        <v>2907.75</v>
      </c>
      <c r="I1523">
        <f t="shared" ca="1" si="306"/>
        <v>1</v>
      </c>
      <c r="J1523">
        <f t="shared" ca="1" si="307"/>
        <v>1</v>
      </c>
      <c r="K1523">
        <f t="shared" ca="1" si="308"/>
        <v>0</v>
      </c>
      <c r="L1523">
        <f t="shared" ca="1" si="309"/>
        <v>0</v>
      </c>
      <c r="M1523">
        <f t="shared" ca="1" si="310"/>
        <v>2</v>
      </c>
      <c r="N1523">
        <f t="shared" ca="1" si="311"/>
        <v>0</v>
      </c>
    </row>
    <row r="1524" spans="1:14" x14ac:dyDescent="0.35">
      <c r="A1524" t="s">
        <v>1541</v>
      </c>
      <c r="B1524" t="str">
        <f t="shared" si="299"/>
        <v>Test</v>
      </c>
      <c r="C1524">
        <f t="shared" ca="1" si="300"/>
        <v>37</v>
      </c>
      <c r="D1524" t="str">
        <f t="shared" ca="1" si="301"/>
        <v>Female</v>
      </c>
      <c r="E1524" t="str">
        <f t="shared" ca="1" si="302"/>
        <v>Dresses</v>
      </c>
      <c r="F1524">
        <f t="shared" ca="1" si="303"/>
        <v>6691</v>
      </c>
      <c r="G1524">
        <f t="shared" ca="1" si="304"/>
        <v>25</v>
      </c>
      <c r="H1524">
        <f t="shared" ca="1" si="305"/>
        <v>5018.25</v>
      </c>
      <c r="I1524">
        <f t="shared" ca="1" si="306"/>
        <v>0</v>
      </c>
      <c r="J1524">
        <f t="shared" ca="1" si="307"/>
        <v>0</v>
      </c>
      <c r="K1524">
        <f t="shared" ca="1" si="308"/>
        <v>0</v>
      </c>
      <c r="L1524">
        <f t="shared" ca="1" si="309"/>
        <v>0</v>
      </c>
      <c r="M1524">
        <f t="shared" ca="1" si="310"/>
        <v>6</v>
      </c>
      <c r="N1524">
        <f t="shared" ca="1" si="311"/>
        <v>0</v>
      </c>
    </row>
    <row r="1525" spans="1:14" x14ac:dyDescent="0.35">
      <c r="A1525" t="s">
        <v>1542</v>
      </c>
      <c r="B1525" t="str">
        <f t="shared" si="299"/>
        <v>Test</v>
      </c>
      <c r="C1525">
        <f t="shared" ca="1" si="300"/>
        <v>43</v>
      </c>
      <c r="D1525" t="str">
        <f t="shared" ca="1" si="301"/>
        <v>Male</v>
      </c>
      <c r="E1525" t="str">
        <f t="shared" ca="1" si="302"/>
        <v>Shoes</v>
      </c>
      <c r="F1525">
        <f t="shared" ca="1" si="303"/>
        <v>3934</v>
      </c>
      <c r="G1525">
        <f t="shared" ca="1" si="304"/>
        <v>20</v>
      </c>
      <c r="H1525">
        <f t="shared" ca="1" si="305"/>
        <v>3147.2000000000003</v>
      </c>
      <c r="I1525">
        <f t="shared" ca="1" si="306"/>
        <v>1</v>
      </c>
      <c r="J1525">
        <f t="shared" ca="1" si="307"/>
        <v>0</v>
      </c>
      <c r="K1525">
        <f t="shared" ca="1" si="308"/>
        <v>0</v>
      </c>
      <c r="L1525">
        <f t="shared" ca="1" si="309"/>
        <v>0</v>
      </c>
      <c r="M1525">
        <f t="shared" ca="1" si="310"/>
        <v>5</v>
      </c>
      <c r="N1525">
        <f t="shared" ca="1" si="311"/>
        <v>0</v>
      </c>
    </row>
    <row r="1526" spans="1:14" x14ac:dyDescent="0.35">
      <c r="A1526" t="s">
        <v>1543</v>
      </c>
      <c r="B1526" t="str">
        <f t="shared" si="299"/>
        <v>Test</v>
      </c>
      <c r="C1526">
        <f t="shared" ca="1" si="300"/>
        <v>40</v>
      </c>
      <c r="D1526" t="str">
        <f t="shared" ca="1" si="301"/>
        <v>Female</v>
      </c>
      <c r="E1526" t="str">
        <f t="shared" ca="1" si="302"/>
        <v>Tops</v>
      </c>
      <c r="F1526">
        <f t="shared" ca="1" si="303"/>
        <v>1793</v>
      </c>
      <c r="G1526">
        <f t="shared" ca="1" si="304"/>
        <v>25</v>
      </c>
      <c r="H1526">
        <f t="shared" ca="1" si="305"/>
        <v>1344.75</v>
      </c>
      <c r="I1526">
        <f t="shared" ca="1" si="306"/>
        <v>0</v>
      </c>
      <c r="J1526">
        <f t="shared" ca="1" si="307"/>
        <v>0</v>
      </c>
      <c r="K1526">
        <f t="shared" ca="1" si="308"/>
        <v>0</v>
      </c>
      <c r="L1526">
        <f t="shared" ca="1" si="309"/>
        <v>0</v>
      </c>
      <c r="M1526">
        <f t="shared" ca="1" si="310"/>
        <v>6</v>
      </c>
      <c r="N1526">
        <f t="shared" ca="1" si="311"/>
        <v>0</v>
      </c>
    </row>
    <row r="1527" spans="1:14" x14ac:dyDescent="0.35">
      <c r="A1527" t="s">
        <v>1544</v>
      </c>
      <c r="B1527" t="str">
        <f t="shared" si="299"/>
        <v>Test</v>
      </c>
      <c r="C1527">
        <f t="shared" ca="1" si="300"/>
        <v>30</v>
      </c>
      <c r="D1527" t="str">
        <f t="shared" ca="1" si="301"/>
        <v>Female</v>
      </c>
      <c r="E1527" t="str">
        <f t="shared" ca="1" si="302"/>
        <v>Tops</v>
      </c>
      <c r="F1527">
        <f t="shared" ca="1" si="303"/>
        <v>3003</v>
      </c>
      <c r="G1527">
        <f t="shared" ca="1" si="304"/>
        <v>20</v>
      </c>
      <c r="H1527">
        <f t="shared" ca="1" si="305"/>
        <v>2402.4</v>
      </c>
      <c r="I1527">
        <f t="shared" ca="1" si="306"/>
        <v>1</v>
      </c>
      <c r="J1527">
        <f t="shared" ca="1" si="307"/>
        <v>0</v>
      </c>
      <c r="K1527">
        <f t="shared" ca="1" si="308"/>
        <v>0</v>
      </c>
      <c r="L1527">
        <f t="shared" ca="1" si="309"/>
        <v>0</v>
      </c>
      <c r="M1527">
        <f t="shared" ca="1" si="310"/>
        <v>5</v>
      </c>
      <c r="N1527">
        <f t="shared" ca="1" si="311"/>
        <v>0</v>
      </c>
    </row>
    <row r="1528" spans="1:14" x14ac:dyDescent="0.35">
      <c r="A1528" t="s">
        <v>1545</v>
      </c>
      <c r="B1528" t="str">
        <f t="shared" si="299"/>
        <v>Test</v>
      </c>
      <c r="C1528">
        <f t="shared" ca="1" si="300"/>
        <v>40</v>
      </c>
      <c r="D1528" t="str">
        <f t="shared" ca="1" si="301"/>
        <v>Female</v>
      </c>
      <c r="E1528" t="str">
        <f t="shared" ca="1" si="302"/>
        <v>Sportswear</v>
      </c>
      <c r="F1528">
        <f t="shared" ca="1" si="303"/>
        <v>1053</v>
      </c>
      <c r="G1528">
        <f t="shared" ca="1" si="304"/>
        <v>20</v>
      </c>
      <c r="H1528">
        <f t="shared" ca="1" si="305"/>
        <v>842.40000000000009</v>
      </c>
      <c r="I1528">
        <f t="shared" ca="1" si="306"/>
        <v>1</v>
      </c>
      <c r="J1528">
        <f t="shared" ca="1" si="307"/>
        <v>0</v>
      </c>
      <c r="K1528">
        <f t="shared" ca="1" si="308"/>
        <v>0</v>
      </c>
      <c r="L1528">
        <f t="shared" ca="1" si="309"/>
        <v>0</v>
      </c>
      <c r="M1528">
        <f t="shared" ca="1" si="310"/>
        <v>1</v>
      </c>
      <c r="N1528">
        <f t="shared" ca="1" si="311"/>
        <v>0</v>
      </c>
    </row>
    <row r="1529" spans="1:14" x14ac:dyDescent="0.35">
      <c r="A1529" t="s">
        <v>1546</v>
      </c>
      <c r="B1529" t="str">
        <f t="shared" si="299"/>
        <v>Test</v>
      </c>
      <c r="C1529">
        <f t="shared" ca="1" si="300"/>
        <v>25</v>
      </c>
      <c r="D1529" t="str">
        <f t="shared" ca="1" si="301"/>
        <v>Female</v>
      </c>
      <c r="E1529" t="str">
        <f t="shared" ca="1" si="302"/>
        <v>Tops</v>
      </c>
      <c r="F1529">
        <f t="shared" ca="1" si="303"/>
        <v>1524</v>
      </c>
      <c r="G1529">
        <f t="shared" ca="1" si="304"/>
        <v>25</v>
      </c>
      <c r="H1529">
        <f t="shared" ca="1" si="305"/>
        <v>1143</v>
      </c>
      <c r="I1529">
        <f t="shared" ca="1" si="306"/>
        <v>1</v>
      </c>
      <c r="J1529">
        <f t="shared" ca="1" si="307"/>
        <v>1</v>
      </c>
      <c r="K1529">
        <f t="shared" ca="1" si="308"/>
        <v>1</v>
      </c>
      <c r="L1529">
        <f t="shared" ca="1" si="309"/>
        <v>1143</v>
      </c>
      <c r="M1529">
        <f t="shared" ca="1" si="310"/>
        <v>4</v>
      </c>
      <c r="N1529">
        <f t="shared" ca="1" si="311"/>
        <v>0</v>
      </c>
    </row>
    <row r="1530" spans="1:14" x14ac:dyDescent="0.35">
      <c r="A1530" t="s">
        <v>1547</v>
      </c>
      <c r="B1530" t="str">
        <f t="shared" si="299"/>
        <v>Test</v>
      </c>
      <c r="C1530">
        <f t="shared" ca="1" si="300"/>
        <v>30</v>
      </c>
      <c r="D1530" t="str">
        <f t="shared" ca="1" si="301"/>
        <v>Male</v>
      </c>
      <c r="E1530" t="str">
        <f t="shared" ca="1" si="302"/>
        <v>Accessories</v>
      </c>
      <c r="F1530">
        <f t="shared" ca="1" si="303"/>
        <v>5235</v>
      </c>
      <c r="G1530">
        <f t="shared" ca="1" si="304"/>
        <v>25</v>
      </c>
      <c r="H1530">
        <f t="shared" ca="1" si="305"/>
        <v>3926.25</v>
      </c>
      <c r="I1530">
        <f t="shared" ca="1" si="306"/>
        <v>1</v>
      </c>
      <c r="J1530">
        <f t="shared" ca="1" si="307"/>
        <v>1</v>
      </c>
      <c r="K1530">
        <f t="shared" ca="1" si="308"/>
        <v>0</v>
      </c>
      <c r="L1530">
        <f t="shared" ca="1" si="309"/>
        <v>0</v>
      </c>
      <c r="M1530">
        <f t="shared" ca="1" si="310"/>
        <v>3</v>
      </c>
      <c r="N1530">
        <f t="shared" ca="1" si="311"/>
        <v>0</v>
      </c>
    </row>
    <row r="1531" spans="1:14" x14ac:dyDescent="0.35">
      <c r="A1531" t="s">
        <v>1548</v>
      </c>
      <c r="B1531" t="str">
        <f t="shared" si="299"/>
        <v>Test</v>
      </c>
      <c r="C1531">
        <f t="shared" ca="1" si="300"/>
        <v>23</v>
      </c>
      <c r="D1531" t="str">
        <f t="shared" ca="1" si="301"/>
        <v>Other</v>
      </c>
      <c r="E1531" t="str">
        <f t="shared" ca="1" si="302"/>
        <v>Accessories</v>
      </c>
      <c r="F1531">
        <f t="shared" ca="1" si="303"/>
        <v>5698</v>
      </c>
      <c r="G1531">
        <f t="shared" ca="1" si="304"/>
        <v>20</v>
      </c>
      <c r="H1531">
        <f t="shared" ca="1" si="305"/>
        <v>4558.4000000000005</v>
      </c>
      <c r="I1531">
        <f t="shared" ca="1" si="306"/>
        <v>1</v>
      </c>
      <c r="J1531">
        <f t="shared" ca="1" si="307"/>
        <v>0</v>
      </c>
      <c r="K1531">
        <f t="shared" ca="1" si="308"/>
        <v>0</v>
      </c>
      <c r="L1531">
        <f t="shared" ca="1" si="309"/>
        <v>0</v>
      </c>
      <c r="M1531">
        <f t="shared" ca="1" si="310"/>
        <v>5</v>
      </c>
      <c r="N1531">
        <f t="shared" ca="1" si="311"/>
        <v>0</v>
      </c>
    </row>
    <row r="1532" spans="1:14" x14ac:dyDescent="0.35">
      <c r="A1532" t="s">
        <v>1549</v>
      </c>
      <c r="B1532" t="str">
        <f t="shared" si="299"/>
        <v>Test</v>
      </c>
      <c r="C1532">
        <f t="shared" ca="1" si="300"/>
        <v>20</v>
      </c>
      <c r="D1532" t="str">
        <f t="shared" ca="1" si="301"/>
        <v>Male</v>
      </c>
      <c r="E1532" t="str">
        <f t="shared" ca="1" si="302"/>
        <v>Accessories</v>
      </c>
      <c r="F1532">
        <f t="shared" ca="1" si="303"/>
        <v>4956</v>
      </c>
      <c r="G1532">
        <f t="shared" ca="1" si="304"/>
        <v>20</v>
      </c>
      <c r="H1532">
        <f t="shared" ca="1" si="305"/>
        <v>3964.8</v>
      </c>
      <c r="I1532">
        <f t="shared" ca="1" si="306"/>
        <v>0</v>
      </c>
      <c r="J1532">
        <f t="shared" ca="1" si="307"/>
        <v>0</v>
      </c>
      <c r="K1532">
        <f t="shared" ca="1" si="308"/>
        <v>0</v>
      </c>
      <c r="L1532">
        <f t="shared" ca="1" si="309"/>
        <v>0</v>
      </c>
      <c r="M1532">
        <f t="shared" ca="1" si="310"/>
        <v>7</v>
      </c>
      <c r="N1532">
        <f t="shared" ca="1" si="311"/>
        <v>0</v>
      </c>
    </row>
    <row r="1533" spans="1:14" x14ac:dyDescent="0.35">
      <c r="A1533" t="s">
        <v>1550</v>
      </c>
      <c r="B1533" t="str">
        <f t="shared" si="299"/>
        <v>Test</v>
      </c>
      <c r="C1533">
        <f t="shared" ca="1" si="300"/>
        <v>44</v>
      </c>
      <c r="D1533" t="str">
        <f t="shared" ca="1" si="301"/>
        <v>Female</v>
      </c>
      <c r="E1533" t="str">
        <f t="shared" ca="1" si="302"/>
        <v>Shoes</v>
      </c>
      <c r="F1533">
        <f t="shared" ca="1" si="303"/>
        <v>379</v>
      </c>
      <c r="G1533">
        <f t="shared" ca="1" si="304"/>
        <v>15</v>
      </c>
      <c r="H1533">
        <f t="shared" ca="1" si="305"/>
        <v>322.14999999999998</v>
      </c>
      <c r="I1533">
        <f t="shared" ca="1" si="306"/>
        <v>1</v>
      </c>
      <c r="J1533">
        <f t="shared" ca="1" si="307"/>
        <v>0</v>
      </c>
      <c r="K1533">
        <f t="shared" ca="1" si="308"/>
        <v>0</v>
      </c>
      <c r="L1533">
        <f t="shared" ca="1" si="309"/>
        <v>0</v>
      </c>
      <c r="M1533">
        <f t="shared" ca="1" si="310"/>
        <v>4</v>
      </c>
      <c r="N1533">
        <f t="shared" ca="1" si="311"/>
        <v>0</v>
      </c>
    </row>
    <row r="1534" spans="1:14" x14ac:dyDescent="0.35">
      <c r="A1534" t="s">
        <v>1551</v>
      </c>
      <c r="B1534" t="str">
        <f t="shared" si="299"/>
        <v>Test</v>
      </c>
      <c r="C1534">
        <f t="shared" ca="1" si="300"/>
        <v>39</v>
      </c>
      <c r="D1534" t="str">
        <f t="shared" ca="1" si="301"/>
        <v>Male</v>
      </c>
      <c r="E1534" t="str">
        <f t="shared" ca="1" si="302"/>
        <v>T-shirts</v>
      </c>
      <c r="F1534">
        <f t="shared" ca="1" si="303"/>
        <v>4812</v>
      </c>
      <c r="G1534">
        <f t="shared" ca="1" si="304"/>
        <v>25</v>
      </c>
      <c r="H1534">
        <f t="shared" ca="1" si="305"/>
        <v>3609</v>
      </c>
      <c r="I1534">
        <f t="shared" ca="1" si="306"/>
        <v>1</v>
      </c>
      <c r="J1534">
        <f t="shared" ca="1" si="307"/>
        <v>1</v>
      </c>
      <c r="K1534">
        <f t="shared" ca="1" si="308"/>
        <v>0</v>
      </c>
      <c r="L1534">
        <f t="shared" ca="1" si="309"/>
        <v>0</v>
      </c>
      <c r="M1534">
        <f t="shared" ca="1" si="310"/>
        <v>1</v>
      </c>
      <c r="N1534">
        <f t="shared" ca="1" si="311"/>
        <v>0</v>
      </c>
    </row>
    <row r="1535" spans="1:14" x14ac:dyDescent="0.35">
      <c r="A1535" t="s">
        <v>1552</v>
      </c>
      <c r="B1535" t="str">
        <f t="shared" si="299"/>
        <v>Test</v>
      </c>
      <c r="C1535">
        <f t="shared" ca="1" si="300"/>
        <v>31</v>
      </c>
      <c r="D1535" t="str">
        <f t="shared" ca="1" si="301"/>
        <v>Male</v>
      </c>
      <c r="E1535" t="str">
        <f t="shared" ca="1" si="302"/>
        <v>Sportswear</v>
      </c>
      <c r="F1535">
        <f t="shared" ca="1" si="303"/>
        <v>6748</v>
      </c>
      <c r="G1535">
        <f t="shared" ca="1" si="304"/>
        <v>20</v>
      </c>
      <c r="H1535">
        <f t="shared" ca="1" si="305"/>
        <v>5398.4000000000005</v>
      </c>
      <c r="I1535">
        <f t="shared" ca="1" si="306"/>
        <v>1</v>
      </c>
      <c r="J1535">
        <f t="shared" ca="1" si="307"/>
        <v>1</v>
      </c>
      <c r="K1535">
        <f t="shared" ca="1" si="308"/>
        <v>0</v>
      </c>
      <c r="L1535">
        <f t="shared" ca="1" si="309"/>
        <v>0</v>
      </c>
      <c r="M1535">
        <f t="shared" ca="1" si="310"/>
        <v>2</v>
      </c>
      <c r="N1535">
        <f t="shared" ca="1" si="311"/>
        <v>0</v>
      </c>
    </row>
    <row r="1536" spans="1:14" x14ac:dyDescent="0.35">
      <c r="A1536" t="s">
        <v>1553</v>
      </c>
      <c r="B1536" t="str">
        <f t="shared" si="299"/>
        <v>Test</v>
      </c>
      <c r="C1536">
        <f t="shared" ca="1" si="300"/>
        <v>45</v>
      </c>
      <c r="D1536" t="str">
        <f t="shared" ca="1" si="301"/>
        <v>Female</v>
      </c>
      <c r="E1536" t="str">
        <f t="shared" ca="1" si="302"/>
        <v>Accessories</v>
      </c>
      <c r="F1536">
        <f t="shared" ca="1" si="303"/>
        <v>3048</v>
      </c>
      <c r="G1536">
        <f t="shared" ca="1" si="304"/>
        <v>15</v>
      </c>
      <c r="H1536">
        <f t="shared" ca="1" si="305"/>
        <v>2590.7999999999997</v>
      </c>
      <c r="I1536">
        <f t="shared" ca="1" si="306"/>
        <v>1</v>
      </c>
      <c r="J1536">
        <f t="shared" ca="1" si="307"/>
        <v>1</v>
      </c>
      <c r="K1536">
        <f t="shared" ca="1" si="308"/>
        <v>0</v>
      </c>
      <c r="L1536">
        <f t="shared" ca="1" si="309"/>
        <v>0</v>
      </c>
      <c r="M1536">
        <f t="shared" ca="1" si="310"/>
        <v>2</v>
      </c>
      <c r="N1536">
        <f t="shared" ca="1" si="311"/>
        <v>0</v>
      </c>
    </row>
    <row r="1537" spans="1:14" x14ac:dyDescent="0.35">
      <c r="A1537" t="s">
        <v>1554</v>
      </c>
      <c r="B1537" t="str">
        <f t="shared" si="299"/>
        <v>Test</v>
      </c>
      <c r="C1537">
        <f t="shared" ca="1" si="300"/>
        <v>30</v>
      </c>
      <c r="D1537" t="str">
        <f t="shared" ca="1" si="301"/>
        <v>Female</v>
      </c>
      <c r="E1537" t="str">
        <f t="shared" ca="1" si="302"/>
        <v>Tops</v>
      </c>
      <c r="F1537">
        <f t="shared" ca="1" si="303"/>
        <v>1601</v>
      </c>
      <c r="G1537">
        <f t="shared" ca="1" si="304"/>
        <v>15</v>
      </c>
      <c r="H1537">
        <f t="shared" ca="1" si="305"/>
        <v>1360.85</v>
      </c>
      <c r="I1537">
        <f t="shared" ca="1" si="306"/>
        <v>1</v>
      </c>
      <c r="J1537">
        <f t="shared" ca="1" si="307"/>
        <v>0</v>
      </c>
      <c r="K1537">
        <f t="shared" ca="1" si="308"/>
        <v>0</v>
      </c>
      <c r="L1537">
        <f t="shared" ca="1" si="309"/>
        <v>0</v>
      </c>
      <c r="M1537">
        <f t="shared" ca="1" si="310"/>
        <v>2</v>
      </c>
      <c r="N1537">
        <f t="shared" ca="1" si="311"/>
        <v>0</v>
      </c>
    </row>
    <row r="1538" spans="1:14" x14ac:dyDescent="0.35">
      <c r="A1538" t="s">
        <v>1555</v>
      </c>
      <c r="B1538" t="str">
        <f t="shared" si="299"/>
        <v>Test</v>
      </c>
      <c r="C1538">
        <f t="shared" ca="1" si="300"/>
        <v>42</v>
      </c>
      <c r="D1538" t="str">
        <f t="shared" ca="1" si="301"/>
        <v>Female</v>
      </c>
      <c r="E1538" t="str">
        <f t="shared" ca="1" si="302"/>
        <v>Sportswear</v>
      </c>
      <c r="F1538">
        <f t="shared" ca="1" si="303"/>
        <v>7822</v>
      </c>
      <c r="G1538">
        <f t="shared" ca="1" si="304"/>
        <v>25</v>
      </c>
      <c r="H1538">
        <f t="shared" ca="1" si="305"/>
        <v>5866.5</v>
      </c>
      <c r="I1538">
        <f t="shared" ca="1" si="306"/>
        <v>1</v>
      </c>
      <c r="J1538">
        <f t="shared" ca="1" si="307"/>
        <v>0</v>
      </c>
      <c r="K1538">
        <f t="shared" ca="1" si="308"/>
        <v>0</v>
      </c>
      <c r="L1538">
        <f t="shared" ca="1" si="309"/>
        <v>0</v>
      </c>
      <c r="M1538">
        <f t="shared" ca="1" si="310"/>
        <v>4</v>
      </c>
      <c r="N1538">
        <f t="shared" ca="1" si="311"/>
        <v>0</v>
      </c>
    </row>
    <row r="1539" spans="1:14" x14ac:dyDescent="0.35">
      <c r="A1539" t="s">
        <v>1556</v>
      </c>
      <c r="B1539" t="str">
        <f t="shared" si="299"/>
        <v>Test</v>
      </c>
      <c r="C1539">
        <f t="shared" ca="1" si="300"/>
        <v>41</v>
      </c>
      <c r="D1539" t="str">
        <f t="shared" ca="1" si="301"/>
        <v>Female</v>
      </c>
      <c r="E1539" t="str">
        <f t="shared" ca="1" si="302"/>
        <v>Dresses</v>
      </c>
      <c r="F1539">
        <f t="shared" ca="1" si="303"/>
        <v>315</v>
      </c>
      <c r="G1539">
        <f t="shared" ca="1" si="304"/>
        <v>15</v>
      </c>
      <c r="H1539">
        <f t="shared" ca="1" si="305"/>
        <v>267.75</v>
      </c>
      <c r="I1539">
        <f t="shared" ca="1" si="306"/>
        <v>1</v>
      </c>
      <c r="J1539">
        <f t="shared" ca="1" si="307"/>
        <v>0</v>
      </c>
      <c r="K1539">
        <f t="shared" ca="1" si="308"/>
        <v>0</v>
      </c>
      <c r="L1539">
        <f t="shared" ca="1" si="309"/>
        <v>0</v>
      </c>
      <c r="M1539">
        <f t="shared" ca="1" si="310"/>
        <v>1</v>
      </c>
      <c r="N1539">
        <f t="shared" ca="1" si="311"/>
        <v>0</v>
      </c>
    </row>
    <row r="1540" spans="1:14" x14ac:dyDescent="0.35">
      <c r="A1540" t="s">
        <v>1557</v>
      </c>
      <c r="B1540" t="str">
        <f t="shared" si="299"/>
        <v>Test</v>
      </c>
      <c r="C1540">
        <f t="shared" ca="1" si="300"/>
        <v>22</v>
      </c>
      <c r="D1540" t="str">
        <f t="shared" ca="1" si="301"/>
        <v>Female</v>
      </c>
      <c r="E1540" t="str">
        <f t="shared" ca="1" si="302"/>
        <v>Ethnic Wear</v>
      </c>
      <c r="F1540">
        <f t="shared" ca="1" si="303"/>
        <v>5453</v>
      </c>
      <c r="G1540">
        <f t="shared" ca="1" si="304"/>
        <v>15</v>
      </c>
      <c r="H1540">
        <f t="shared" ca="1" si="305"/>
        <v>4635.05</v>
      </c>
      <c r="I1540">
        <f t="shared" ca="1" si="306"/>
        <v>1</v>
      </c>
      <c r="J1540">
        <f t="shared" ca="1" si="307"/>
        <v>1</v>
      </c>
      <c r="K1540">
        <f t="shared" ca="1" si="308"/>
        <v>0</v>
      </c>
      <c r="L1540">
        <f t="shared" ca="1" si="309"/>
        <v>0</v>
      </c>
      <c r="M1540">
        <f t="shared" ca="1" si="310"/>
        <v>7</v>
      </c>
      <c r="N1540">
        <f t="shared" ca="1" si="311"/>
        <v>0</v>
      </c>
    </row>
    <row r="1541" spans="1:14" x14ac:dyDescent="0.35">
      <c r="A1541" t="s">
        <v>1558</v>
      </c>
      <c r="B1541" t="str">
        <f t="shared" ref="B1541:B1604" si="312">IF(ROW()&lt;=1001,"Control","Test")</f>
        <v>Test</v>
      </c>
      <c r="C1541">
        <f t="shared" ref="C1541:C1604" ca="1" si="313">RANDBETWEEN(18,45)</f>
        <v>27</v>
      </c>
      <c r="D1541" t="str">
        <f t="shared" ref="D1541:D1604" ca="1" si="314">CHOOSE(RANDBETWEEN(1,20),"Female","Female","Female","Female","Female","Female","Female","Female","Female","Female","Male","Male","Male","Male","Male","Male","Male","Male","Other","Other")</f>
        <v>Female</v>
      </c>
      <c r="E1541" t="str">
        <f t="shared" ref="E1541:E1604" ca="1" si="315">CHOOSE(RANDBETWEEN(1,8),"T-shirts","Dresses","Jeans","Shoes","Ethnic Wear","Tops","Sportswear","Accessories")</f>
        <v>Jeans</v>
      </c>
      <c r="F1541">
        <f t="shared" ref="F1541:F1604" ca="1" si="316">RANDBETWEEN(300,8000)</f>
        <v>4403</v>
      </c>
      <c r="G1541">
        <f t="shared" ref="G1541:G1604" ca="1" si="317">IF(B1541="Control",10,CHOOSE(RANDBETWEEN(1,3),15,20,25))</f>
        <v>25</v>
      </c>
      <c r="H1541">
        <f t="shared" ref="H1541:H1604" ca="1" si="318">F1541*(1-G1541/100)</f>
        <v>3302.25</v>
      </c>
      <c r="I1541">
        <f t="shared" ref="I1541:I1604" ca="1" si="319">IF(RAND()&lt;0.85,1,0)</f>
        <v>1</v>
      </c>
      <c r="J1541">
        <f t="shared" ref="J1541:J1604" ca="1" si="320">IF(I1541=1,IF(RAND()&lt;0.55,1,0),0)</f>
        <v>1</v>
      </c>
      <c r="K1541">
        <f t="shared" ref="K1541:K1604" ca="1" si="321">IF(J1541=1,IF(B1541="Test",IF(RAND()&lt;0.4,1,0),IF(RAND()&lt;0.34,1,0)),0)</f>
        <v>0</v>
      </c>
      <c r="L1541">
        <f t="shared" ref="L1541:L1604" ca="1" si="322">IF(K1541=1,H1541,0)</f>
        <v>0</v>
      </c>
      <c r="M1541">
        <f t="shared" ref="M1541:M1604" ca="1" si="323">RANDBETWEEN(1,7)</f>
        <v>7</v>
      </c>
      <c r="N1541">
        <f t="shared" ref="N1541:N1604" ca="1" si="324">IF(K1541=1,IF(RAND()&lt;0.15,1,0),0)</f>
        <v>0</v>
      </c>
    </row>
    <row r="1542" spans="1:14" x14ac:dyDescent="0.35">
      <c r="A1542" t="s">
        <v>1559</v>
      </c>
      <c r="B1542" t="str">
        <f t="shared" si="312"/>
        <v>Test</v>
      </c>
      <c r="C1542">
        <f t="shared" ca="1" si="313"/>
        <v>25</v>
      </c>
      <c r="D1542" t="str">
        <f t="shared" ca="1" si="314"/>
        <v>Female</v>
      </c>
      <c r="E1542" t="str">
        <f t="shared" ca="1" si="315"/>
        <v>Jeans</v>
      </c>
      <c r="F1542">
        <f t="shared" ca="1" si="316"/>
        <v>3348</v>
      </c>
      <c r="G1542">
        <f t="shared" ca="1" si="317"/>
        <v>15</v>
      </c>
      <c r="H1542">
        <f t="shared" ca="1" si="318"/>
        <v>2845.7999999999997</v>
      </c>
      <c r="I1542">
        <f t="shared" ca="1" si="319"/>
        <v>1</v>
      </c>
      <c r="J1542">
        <f t="shared" ca="1" si="320"/>
        <v>1</v>
      </c>
      <c r="K1542">
        <f t="shared" ca="1" si="321"/>
        <v>1</v>
      </c>
      <c r="L1542">
        <f t="shared" ca="1" si="322"/>
        <v>2845.7999999999997</v>
      </c>
      <c r="M1542">
        <f t="shared" ca="1" si="323"/>
        <v>7</v>
      </c>
      <c r="N1542">
        <f t="shared" ca="1" si="324"/>
        <v>0</v>
      </c>
    </row>
    <row r="1543" spans="1:14" x14ac:dyDescent="0.35">
      <c r="A1543" t="s">
        <v>1560</v>
      </c>
      <c r="B1543" t="str">
        <f t="shared" si="312"/>
        <v>Test</v>
      </c>
      <c r="C1543">
        <f t="shared" ca="1" si="313"/>
        <v>29</v>
      </c>
      <c r="D1543" t="str">
        <f t="shared" ca="1" si="314"/>
        <v>Female</v>
      </c>
      <c r="E1543" t="str">
        <f t="shared" ca="1" si="315"/>
        <v>Shoes</v>
      </c>
      <c r="F1543">
        <f t="shared" ca="1" si="316"/>
        <v>6113</v>
      </c>
      <c r="G1543">
        <f t="shared" ca="1" si="317"/>
        <v>20</v>
      </c>
      <c r="H1543">
        <f t="shared" ca="1" si="318"/>
        <v>4890.4000000000005</v>
      </c>
      <c r="I1543">
        <f t="shared" ca="1" si="319"/>
        <v>1</v>
      </c>
      <c r="J1543">
        <f t="shared" ca="1" si="320"/>
        <v>1</v>
      </c>
      <c r="K1543">
        <f t="shared" ca="1" si="321"/>
        <v>0</v>
      </c>
      <c r="L1543">
        <f t="shared" ca="1" si="322"/>
        <v>0</v>
      </c>
      <c r="M1543">
        <f t="shared" ca="1" si="323"/>
        <v>5</v>
      </c>
      <c r="N1543">
        <f t="shared" ca="1" si="324"/>
        <v>0</v>
      </c>
    </row>
    <row r="1544" spans="1:14" x14ac:dyDescent="0.35">
      <c r="A1544" t="s">
        <v>1561</v>
      </c>
      <c r="B1544" t="str">
        <f t="shared" si="312"/>
        <v>Test</v>
      </c>
      <c r="C1544">
        <f t="shared" ca="1" si="313"/>
        <v>37</v>
      </c>
      <c r="D1544" t="str">
        <f t="shared" ca="1" si="314"/>
        <v>Other</v>
      </c>
      <c r="E1544" t="str">
        <f t="shared" ca="1" si="315"/>
        <v>Accessories</v>
      </c>
      <c r="F1544">
        <f t="shared" ca="1" si="316"/>
        <v>5794</v>
      </c>
      <c r="G1544">
        <f t="shared" ca="1" si="317"/>
        <v>15</v>
      </c>
      <c r="H1544">
        <f t="shared" ca="1" si="318"/>
        <v>4924.8999999999996</v>
      </c>
      <c r="I1544">
        <f t="shared" ca="1" si="319"/>
        <v>1</v>
      </c>
      <c r="J1544">
        <f t="shared" ca="1" si="320"/>
        <v>1</v>
      </c>
      <c r="K1544">
        <f t="shared" ca="1" si="321"/>
        <v>0</v>
      </c>
      <c r="L1544">
        <f t="shared" ca="1" si="322"/>
        <v>0</v>
      </c>
      <c r="M1544">
        <f t="shared" ca="1" si="323"/>
        <v>1</v>
      </c>
      <c r="N1544">
        <f t="shared" ca="1" si="324"/>
        <v>0</v>
      </c>
    </row>
    <row r="1545" spans="1:14" x14ac:dyDescent="0.35">
      <c r="A1545" t="s">
        <v>1562</v>
      </c>
      <c r="B1545" t="str">
        <f t="shared" si="312"/>
        <v>Test</v>
      </c>
      <c r="C1545">
        <f t="shared" ca="1" si="313"/>
        <v>21</v>
      </c>
      <c r="D1545" t="str">
        <f t="shared" ca="1" si="314"/>
        <v>Female</v>
      </c>
      <c r="E1545" t="str">
        <f t="shared" ca="1" si="315"/>
        <v>Tops</v>
      </c>
      <c r="F1545">
        <f t="shared" ca="1" si="316"/>
        <v>4492</v>
      </c>
      <c r="G1545">
        <f t="shared" ca="1" si="317"/>
        <v>25</v>
      </c>
      <c r="H1545">
        <f t="shared" ca="1" si="318"/>
        <v>3369</v>
      </c>
      <c r="I1545">
        <f t="shared" ca="1" si="319"/>
        <v>1</v>
      </c>
      <c r="J1545">
        <f t="shared" ca="1" si="320"/>
        <v>0</v>
      </c>
      <c r="K1545">
        <f t="shared" ca="1" si="321"/>
        <v>0</v>
      </c>
      <c r="L1545">
        <f t="shared" ca="1" si="322"/>
        <v>0</v>
      </c>
      <c r="M1545">
        <f t="shared" ca="1" si="323"/>
        <v>5</v>
      </c>
      <c r="N1545">
        <f t="shared" ca="1" si="324"/>
        <v>0</v>
      </c>
    </row>
    <row r="1546" spans="1:14" x14ac:dyDescent="0.35">
      <c r="A1546" t="s">
        <v>1563</v>
      </c>
      <c r="B1546" t="str">
        <f t="shared" si="312"/>
        <v>Test</v>
      </c>
      <c r="C1546">
        <f t="shared" ca="1" si="313"/>
        <v>21</v>
      </c>
      <c r="D1546" t="str">
        <f t="shared" ca="1" si="314"/>
        <v>Male</v>
      </c>
      <c r="E1546" t="str">
        <f t="shared" ca="1" si="315"/>
        <v>Accessories</v>
      </c>
      <c r="F1546">
        <f t="shared" ca="1" si="316"/>
        <v>3734</v>
      </c>
      <c r="G1546">
        <f t="shared" ca="1" si="317"/>
        <v>15</v>
      </c>
      <c r="H1546">
        <f t="shared" ca="1" si="318"/>
        <v>3173.9</v>
      </c>
      <c r="I1546">
        <f t="shared" ca="1" si="319"/>
        <v>1</v>
      </c>
      <c r="J1546">
        <f t="shared" ca="1" si="320"/>
        <v>0</v>
      </c>
      <c r="K1546">
        <f t="shared" ca="1" si="321"/>
        <v>0</v>
      </c>
      <c r="L1546">
        <f t="shared" ca="1" si="322"/>
        <v>0</v>
      </c>
      <c r="M1546">
        <f t="shared" ca="1" si="323"/>
        <v>5</v>
      </c>
      <c r="N1546">
        <f t="shared" ca="1" si="324"/>
        <v>0</v>
      </c>
    </row>
    <row r="1547" spans="1:14" x14ac:dyDescent="0.35">
      <c r="A1547" t="s">
        <v>1564</v>
      </c>
      <c r="B1547" t="str">
        <f t="shared" si="312"/>
        <v>Test</v>
      </c>
      <c r="C1547">
        <f t="shared" ca="1" si="313"/>
        <v>23</v>
      </c>
      <c r="D1547" t="str">
        <f t="shared" ca="1" si="314"/>
        <v>Female</v>
      </c>
      <c r="E1547" t="str">
        <f t="shared" ca="1" si="315"/>
        <v>Shoes</v>
      </c>
      <c r="F1547">
        <f t="shared" ca="1" si="316"/>
        <v>4815</v>
      </c>
      <c r="G1547">
        <f t="shared" ca="1" si="317"/>
        <v>25</v>
      </c>
      <c r="H1547">
        <f t="shared" ca="1" si="318"/>
        <v>3611.25</v>
      </c>
      <c r="I1547">
        <f t="shared" ca="1" si="319"/>
        <v>1</v>
      </c>
      <c r="J1547">
        <f t="shared" ca="1" si="320"/>
        <v>0</v>
      </c>
      <c r="K1547">
        <f t="shared" ca="1" si="321"/>
        <v>0</v>
      </c>
      <c r="L1547">
        <f t="shared" ca="1" si="322"/>
        <v>0</v>
      </c>
      <c r="M1547">
        <f t="shared" ca="1" si="323"/>
        <v>2</v>
      </c>
      <c r="N1547">
        <f t="shared" ca="1" si="324"/>
        <v>0</v>
      </c>
    </row>
    <row r="1548" spans="1:14" x14ac:dyDescent="0.35">
      <c r="A1548" t="s">
        <v>1565</v>
      </c>
      <c r="B1548" t="str">
        <f t="shared" si="312"/>
        <v>Test</v>
      </c>
      <c r="C1548">
        <f t="shared" ca="1" si="313"/>
        <v>21</v>
      </c>
      <c r="D1548" t="str">
        <f t="shared" ca="1" si="314"/>
        <v>Female</v>
      </c>
      <c r="E1548" t="str">
        <f t="shared" ca="1" si="315"/>
        <v>Ethnic Wear</v>
      </c>
      <c r="F1548">
        <f t="shared" ca="1" si="316"/>
        <v>2846</v>
      </c>
      <c r="G1548">
        <f t="shared" ca="1" si="317"/>
        <v>25</v>
      </c>
      <c r="H1548">
        <f t="shared" ca="1" si="318"/>
        <v>2134.5</v>
      </c>
      <c r="I1548">
        <f t="shared" ca="1" si="319"/>
        <v>1</v>
      </c>
      <c r="J1548">
        <f t="shared" ca="1" si="320"/>
        <v>0</v>
      </c>
      <c r="K1548">
        <f t="shared" ca="1" si="321"/>
        <v>0</v>
      </c>
      <c r="L1548">
        <f t="shared" ca="1" si="322"/>
        <v>0</v>
      </c>
      <c r="M1548">
        <f t="shared" ca="1" si="323"/>
        <v>5</v>
      </c>
      <c r="N1548">
        <f t="shared" ca="1" si="324"/>
        <v>0</v>
      </c>
    </row>
    <row r="1549" spans="1:14" x14ac:dyDescent="0.35">
      <c r="A1549" t="s">
        <v>1566</v>
      </c>
      <c r="B1549" t="str">
        <f t="shared" si="312"/>
        <v>Test</v>
      </c>
      <c r="C1549">
        <f t="shared" ca="1" si="313"/>
        <v>18</v>
      </c>
      <c r="D1549" t="str">
        <f t="shared" ca="1" si="314"/>
        <v>Male</v>
      </c>
      <c r="E1549" t="str">
        <f t="shared" ca="1" si="315"/>
        <v>Sportswear</v>
      </c>
      <c r="F1549">
        <f t="shared" ca="1" si="316"/>
        <v>4619</v>
      </c>
      <c r="G1549">
        <f t="shared" ca="1" si="317"/>
        <v>25</v>
      </c>
      <c r="H1549">
        <f t="shared" ca="1" si="318"/>
        <v>3464.25</v>
      </c>
      <c r="I1549">
        <f t="shared" ca="1" si="319"/>
        <v>1</v>
      </c>
      <c r="J1549">
        <f t="shared" ca="1" si="320"/>
        <v>1</v>
      </c>
      <c r="K1549">
        <f t="shared" ca="1" si="321"/>
        <v>1</v>
      </c>
      <c r="L1549">
        <f t="shared" ca="1" si="322"/>
        <v>3464.25</v>
      </c>
      <c r="M1549">
        <f t="shared" ca="1" si="323"/>
        <v>6</v>
      </c>
      <c r="N1549">
        <f t="shared" ca="1" si="324"/>
        <v>0</v>
      </c>
    </row>
    <row r="1550" spans="1:14" x14ac:dyDescent="0.35">
      <c r="A1550" t="s">
        <v>1567</v>
      </c>
      <c r="B1550" t="str">
        <f t="shared" si="312"/>
        <v>Test</v>
      </c>
      <c r="C1550">
        <f t="shared" ca="1" si="313"/>
        <v>45</v>
      </c>
      <c r="D1550" t="str">
        <f t="shared" ca="1" si="314"/>
        <v>Female</v>
      </c>
      <c r="E1550" t="str">
        <f t="shared" ca="1" si="315"/>
        <v>Ethnic Wear</v>
      </c>
      <c r="F1550">
        <f t="shared" ca="1" si="316"/>
        <v>2665</v>
      </c>
      <c r="G1550">
        <f t="shared" ca="1" si="317"/>
        <v>15</v>
      </c>
      <c r="H1550">
        <f t="shared" ca="1" si="318"/>
        <v>2265.25</v>
      </c>
      <c r="I1550">
        <f t="shared" ca="1" si="319"/>
        <v>1</v>
      </c>
      <c r="J1550">
        <f t="shared" ca="1" si="320"/>
        <v>1</v>
      </c>
      <c r="K1550">
        <f t="shared" ca="1" si="321"/>
        <v>0</v>
      </c>
      <c r="L1550">
        <f t="shared" ca="1" si="322"/>
        <v>0</v>
      </c>
      <c r="M1550">
        <f t="shared" ca="1" si="323"/>
        <v>3</v>
      </c>
      <c r="N1550">
        <f t="shared" ca="1" si="324"/>
        <v>0</v>
      </c>
    </row>
    <row r="1551" spans="1:14" x14ac:dyDescent="0.35">
      <c r="A1551" t="s">
        <v>1568</v>
      </c>
      <c r="B1551" t="str">
        <f t="shared" si="312"/>
        <v>Test</v>
      </c>
      <c r="C1551">
        <f t="shared" ca="1" si="313"/>
        <v>37</v>
      </c>
      <c r="D1551" t="str">
        <f t="shared" ca="1" si="314"/>
        <v>Male</v>
      </c>
      <c r="E1551" t="str">
        <f t="shared" ca="1" si="315"/>
        <v>T-shirts</v>
      </c>
      <c r="F1551">
        <f t="shared" ca="1" si="316"/>
        <v>505</v>
      </c>
      <c r="G1551">
        <f t="shared" ca="1" si="317"/>
        <v>15</v>
      </c>
      <c r="H1551">
        <f t="shared" ca="1" si="318"/>
        <v>429.25</v>
      </c>
      <c r="I1551">
        <f t="shared" ca="1" si="319"/>
        <v>1</v>
      </c>
      <c r="J1551">
        <f t="shared" ca="1" si="320"/>
        <v>0</v>
      </c>
      <c r="K1551">
        <f t="shared" ca="1" si="321"/>
        <v>0</v>
      </c>
      <c r="L1551">
        <f t="shared" ca="1" si="322"/>
        <v>0</v>
      </c>
      <c r="M1551">
        <f t="shared" ca="1" si="323"/>
        <v>1</v>
      </c>
      <c r="N1551">
        <f t="shared" ca="1" si="324"/>
        <v>0</v>
      </c>
    </row>
    <row r="1552" spans="1:14" x14ac:dyDescent="0.35">
      <c r="A1552" t="s">
        <v>1569</v>
      </c>
      <c r="B1552" t="str">
        <f t="shared" si="312"/>
        <v>Test</v>
      </c>
      <c r="C1552">
        <f t="shared" ca="1" si="313"/>
        <v>27</v>
      </c>
      <c r="D1552" t="str">
        <f t="shared" ca="1" si="314"/>
        <v>Other</v>
      </c>
      <c r="E1552" t="str">
        <f t="shared" ca="1" si="315"/>
        <v>T-shirts</v>
      </c>
      <c r="F1552">
        <f t="shared" ca="1" si="316"/>
        <v>7447</v>
      </c>
      <c r="G1552">
        <f t="shared" ca="1" si="317"/>
        <v>20</v>
      </c>
      <c r="H1552">
        <f t="shared" ca="1" si="318"/>
        <v>5957.6</v>
      </c>
      <c r="I1552">
        <f t="shared" ca="1" si="319"/>
        <v>1</v>
      </c>
      <c r="J1552">
        <f t="shared" ca="1" si="320"/>
        <v>1</v>
      </c>
      <c r="K1552">
        <f t="shared" ca="1" si="321"/>
        <v>0</v>
      </c>
      <c r="L1552">
        <f t="shared" ca="1" si="322"/>
        <v>0</v>
      </c>
      <c r="M1552">
        <f t="shared" ca="1" si="323"/>
        <v>2</v>
      </c>
      <c r="N1552">
        <f t="shared" ca="1" si="324"/>
        <v>0</v>
      </c>
    </row>
    <row r="1553" spans="1:14" x14ac:dyDescent="0.35">
      <c r="A1553" t="s">
        <v>1570</v>
      </c>
      <c r="B1553" t="str">
        <f t="shared" si="312"/>
        <v>Test</v>
      </c>
      <c r="C1553">
        <f t="shared" ca="1" si="313"/>
        <v>31</v>
      </c>
      <c r="D1553" t="str">
        <f t="shared" ca="1" si="314"/>
        <v>Male</v>
      </c>
      <c r="E1553" t="str">
        <f t="shared" ca="1" si="315"/>
        <v>Accessories</v>
      </c>
      <c r="F1553">
        <f t="shared" ca="1" si="316"/>
        <v>5124</v>
      </c>
      <c r="G1553">
        <f t="shared" ca="1" si="317"/>
        <v>25</v>
      </c>
      <c r="H1553">
        <f t="shared" ca="1" si="318"/>
        <v>3843</v>
      </c>
      <c r="I1553">
        <f t="shared" ca="1" si="319"/>
        <v>0</v>
      </c>
      <c r="J1553">
        <f t="shared" ca="1" si="320"/>
        <v>0</v>
      </c>
      <c r="K1553">
        <f t="shared" ca="1" si="321"/>
        <v>0</v>
      </c>
      <c r="L1553">
        <f t="shared" ca="1" si="322"/>
        <v>0</v>
      </c>
      <c r="M1553">
        <f t="shared" ca="1" si="323"/>
        <v>4</v>
      </c>
      <c r="N1553">
        <f t="shared" ca="1" si="324"/>
        <v>0</v>
      </c>
    </row>
    <row r="1554" spans="1:14" x14ac:dyDescent="0.35">
      <c r="A1554" t="s">
        <v>1571</v>
      </c>
      <c r="B1554" t="str">
        <f t="shared" si="312"/>
        <v>Test</v>
      </c>
      <c r="C1554">
        <f t="shared" ca="1" si="313"/>
        <v>26</v>
      </c>
      <c r="D1554" t="str">
        <f t="shared" ca="1" si="314"/>
        <v>Female</v>
      </c>
      <c r="E1554" t="str">
        <f t="shared" ca="1" si="315"/>
        <v>Sportswear</v>
      </c>
      <c r="F1554">
        <f t="shared" ca="1" si="316"/>
        <v>5435</v>
      </c>
      <c r="G1554">
        <f t="shared" ca="1" si="317"/>
        <v>20</v>
      </c>
      <c r="H1554">
        <f t="shared" ca="1" si="318"/>
        <v>4348</v>
      </c>
      <c r="I1554">
        <f t="shared" ca="1" si="319"/>
        <v>1</v>
      </c>
      <c r="J1554">
        <f t="shared" ca="1" si="320"/>
        <v>0</v>
      </c>
      <c r="K1554">
        <f t="shared" ca="1" si="321"/>
        <v>0</v>
      </c>
      <c r="L1554">
        <f t="shared" ca="1" si="322"/>
        <v>0</v>
      </c>
      <c r="M1554">
        <f t="shared" ca="1" si="323"/>
        <v>1</v>
      </c>
      <c r="N1554">
        <f t="shared" ca="1" si="324"/>
        <v>0</v>
      </c>
    </row>
    <row r="1555" spans="1:14" x14ac:dyDescent="0.35">
      <c r="A1555" t="s">
        <v>1572</v>
      </c>
      <c r="B1555" t="str">
        <f t="shared" si="312"/>
        <v>Test</v>
      </c>
      <c r="C1555">
        <f t="shared" ca="1" si="313"/>
        <v>34</v>
      </c>
      <c r="D1555" t="str">
        <f t="shared" ca="1" si="314"/>
        <v>Male</v>
      </c>
      <c r="E1555" t="str">
        <f t="shared" ca="1" si="315"/>
        <v>Shoes</v>
      </c>
      <c r="F1555">
        <f t="shared" ca="1" si="316"/>
        <v>7825</v>
      </c>
      <c r="G1555">
        <f t="shared" ca="1" si="317"/>
        <v>25</v>
      </c>
      <c r="H1555">
        <f t="shared" ca="1" si="318"/>
        <v>5868.75</v>
      </c>
      <c r="I1555">
        <f t="shared" ca="1" si="319"/>
        <v>1</v>
      </c>
      <c r="J1555">
        <f t="shared" ca="1" si="320"/>
        <v>0</v>
      </c>
      <c r="K1555">
        <f t="shared" ca="1" si="321"/>
        <v>0</v>
      </c>
      <c r="L1555">
        <f t="shared" ca="1" si="322"/>
        <v>0</v>
      </c>
      <c r="M1555">
        <f t="shared" ca="1" si="323"/>
        <v>1</v>
      </c>
      <c r="N1555">
        <f t="shared" ca="1" si="324"/>
        <v>0</v>
      </c>
    </row>
    <row r="1556" spans="1:14" x14ac:dyDescent="0.35">
      <c r="A1556" t="s">
        <v>1573</v>
      </c>
      <c r="B1556" t="str">
        <f t="shared" si="312"/>
        <v>Test</v>
      </c>
      <c r="C1556">
        <f t="shared" ca="1" si="313"/>
        <v>34</v>
      </c>
      <c r="D1556" t="str">
        <f t="shared" ca="1" si="314"/>
        <v>Male</v>
      </c>
      <c r="E1556" t="str">
        <f t="shared" ca="1" si="315"/>
        <v>Dresses</v>
      </c>
      <c r="F1556">
        <f t="shared" ca="1" si="316"/>
        <v>943</v>
      </c>
      <c r="G1556">
        <f t="shared" ca="1" si="317"/>
        <v>15</v>
      </c>
      <c r="H1556">
        <f t="shared" ca="1" si="318"/>
        <v>801.55</v>
      </c>
      <c r="I1556">
        <f t="shared" ca="1" si="319"/>
        <v>1</v>
      </c>
      <c r="J1556">
        <f t="shared" ca="1" si="320"/>
        <v>1</v>
      </c>
      <c r="K1556">
        <f t="shared" ca="1" si="321"/>
        <v>0</v>
      </c>
      <c r="L1556">
        <f t="shared" ca="1" si="322"/>
        <v>0</v>
      </c>
      <c r="M1556">
        <f t="shared" ca="1" si="323"/>
        <v>2</v>
      </c>
      <c r="N1556">
        <f t="shared" ca="1" si="324"/>
        <v>0</v>
      </c>
    </row>
    <row r="1557" spans="1:14" x14ac:dyDescent="0.35">
      <c r="A1557" t="s">
        <v>1574</v>
      </c>
      <c r="B1557" t="str">
        <f t="shared" si="312"/>
        <v>Test</v>
      </c>
      <c r="C1557">
        <f t="shared" ca="1" si="313"/>
        <v>18</v>
      </c>
      <c r="D1557" t="str">
        <f t="shared" ca="1" si="314"/>
        <v>Male</v>
      </c>
      <c r="E1557" t="str">
        <f t="shared" ca="1" si="315"/>
        <v>T-shirts</v>
      </c>
      <c r="F1557">
        <f t="shared" ca="1" si="316"/>
        <v>3153</v>
      </c>
      <c r="G1557">
        <f t="shared" ca="1" si="317"/>
        <v>15</v>
      </c>
      <c r="H1557">
        <f t="shared" ca="1" si="318"/>
        <v>2680.0499999999997</v>
      </c>
      <c r="I1557">
        <f t="shared" ca="1" si="319"/>
        <v>1</v>
      </c>
      <c r="J1557">
        <f t="shared" ca="1" si="320"/>
        <v>1</v>
      </c>
      <c r="K1557">
        <f t="shared" ca="1" si="321"/>
        <v>1</v>
      </c>
      <c r="L1557">
        <f t="shared" ca="1" si="322"/>
        <v>2680.0499999999997</v>
      </c>
      <c r="M1557">
        <f t="shared" ca="1" si="323"/>
        <v>5</v>
      </c>
      <c r="N1557">
        <f t="shared" ca="1" si="324"/>
        <v>0</v>
      </c>
    </row>
    <row r="1558" spans="1:14" x14ac:dyDescent="0.35">
      <c r="A1558" t="s">
        <v>1575</v>
      </c>
      <c r="B1558" t="str">
        <f t="shared" si="312"/>
        <v>Test</v>
      </c>
      <c r="C1558">
        <f t="shared" ca="1" si="313"/>
        <v>25</v>
      </c>
      <c r="D1558" t="str">
        <f t="shared" ca="1" si="314"/>
        <v>Male</v>
      </c>
      <c r="E1558" t="str">
        <f t="shared" ca="1" si="315"/>
        <v>Sportswear</v>
      </c>
      <c r="F1558">
        <f t="shared" ca="1" si="316"/>
        <v>3471</v>
      </c>
      <c r="G1558">
        <f t="shared" ca="1" si="317"/>
        <v>25</v>
      </c>
      <c r="H1558">
        <f t="shared" ca="1" si="318"/>
        <v>2603.25</v>
      </c>
      <c r="I1558">
        <f t="shared" ca="1" si="319"/>
        <v>1</v>
      </c>
      <c r="J1558">
        <f t="shared" ca="1" si="320"/>
        <v>1</v>
      </c>
      <c r="K1558">
        <f t="shared" ca="1" si="321"/>
        <v>0</v>
      </c>
      <c r="L1558">
        <f t="shared" ca="1" si="322"/>
        <v>0</v>
      </c>
      <c r="M1558">
        <f t="shared" ca="1" si="323"/>
        <v>4</v>
      </c>
      <c r="N1558">
        <f t="shared" ca="1" si="324"/>
        <v>0</v>
      </c>
    </row>
    <row r="1559" spans="1:14" x14ac:dyDescent="0.35">
      <c r="A1559" t="s">
        <v>1576</v>
      </c>
      <c r="B1559" t="str">
        <f t="shared" si="312"/>
        <v>Test</v>
      </c>
      <c r="C1559">
        <f t="shared" ca="1" si="313"/>
        <v>31</v>
      </c>
      <c r="D1559" t="str">
        <f t="shared" ca="1" si="314"/>
        <v>Male</v>
      </c>
      <c r="E1559" t="str">
        <f t="shared" ca="1" si="315"/>
        <v>Sportswear</v>
      </c>
      <c r="F1559">
        <f t="shared" ca="1" si="316"/>
        <v>3477</v>
      </c>
      <c r="G1559">
        <f t="shared" ca="1" si="317"/>
        <v>25</v>
      </c>
      <c r="H1559">
        <f t="shared" ca="1" si="318"/>
        <v>2607.75</v>
      </c>
      <c r="I1559">
        <f t="shared" ca="1" si="319"/>
        <v>1</v>
      </c>
      <c r="J1559">
        <f t="shared" ca="1" si="320"/>
        <v>0</v>
      </c>
      <c r="K1559">
        <f t="shared" ca="1" si="321"/>
        <v>0</v>
      </c>
      <c r="L1559">
        <f t="shared" ca="1" si="322"/>
        <v>0</v>
      </c>
      <c r="M1559">
        <f t="shared" ca="1" si="323"/>
        <v>1</v>
      </c>
      <c r="N1559">
        <f t="shared" ca="1" si="324"/>
        <v>0</v>
      </c>
    </row>
    <row r="1560" spans="1:14" x14ac:dyDescent="0.35">
      <c r="A1560" t="s">
        <v>1577</v>
      </c>
      <c r="B1560" t="str">
        <f t="shared" si="312"/>
        <v>Test</v>
      </c>
      <c r="C1560">
        <f t="shared" ca="1" si="313"/>
        <v>36</v>
      </c>
      <c r="D1560" t="str">
        <f t="shared" ca="1" si="314"/>
        <v>Female</v>
      </c>
      <c r="E1560" t="str">
        <f t="shared" ca="1" si="315"/>
        <v>Shoes</v>
      </c>
      <c r="F1560">
        <f t="shared" ca="1" si="316"/>
        <v>6840</v>
      </c>
      <c r="G1560">
        <f t="shared" ca="1" si="317"/>
        <v>20</v>
      </c>
      <c r="H1560">
        <f t="shared" ca="1" si="318"/>
        <v>5472</v>
      </c>
      <c r="I1560">
        <f t="shared" ca="1" si="319"/>
        <v>1</v>
      </c>
      <c r="J1560">
        <f t="shared" ca="1" si="320"/>
        <v>1</v>
      </c>
      <c r="K1560">
        <f t="shared" ca="1" si="321"/>
        <v>1</v>
      </c>
      <c r="L1560">
        <f t="shared" ca="1" si="322"/>
        <v>5472</v>
      </c>
      <c r="M1560">
        <f t="shared" ca="1" si="323"/>
        <v>6</v>
      </c>
      <c r="N1560">
        <f t="shared" ca="1" si="324"/>
        <v>1</v>
      </c>
    </row>
    <row r="1561" spans="1:14" x14ac:dyDescent="0.35">
      <c r="A1561" t="s">
        <v>1578</v>
      </c>
      <c r="B1561" t="str">
        <f t="shared" si="312"/>
        <v>Test</v>
      </c>
      <c r="C1561">
        <f t="shared" ca="1" si="313"/>
        <v>44</v>
      </c>
      <c r="D1561" t="str">
        <f t="shared" ca="1" si="314"/>
        <v>Female</v>
      </c>
      <c r="E1561" t="str">
        <f t="shared" ca="1" si="315"/>
        <v>Shoes</v>
      </c>
      <c r="F1561">
        <f t="shared" ca="1" si="316"/>
        <v>2432</v>
      </c>
      <c r="G1561">
        <f t="shared" ca="1" si="317"/>
        <v>20</v>
      </c>
      <c r="H1561">
        <f t="shared" ca="1" si="318"/>
        <v>1945.6000000000001</v>
      </c>
      <c r="I1561">
        <f t="shared" ca="1" si="319"/>
        <v>1</v>
      </c>
      <c r="J1561">
        <f t="shared" ca="1" si="320"/>
        <v>1</v>
      </c>
      <c r="K1561">
        <f t="shared" ca="1" si="321"/>
        <v>0</v>
      </c>
      <c r="L1561">
        <f t="shared" ca="1" si="322"/>
        <v>0</v>
      </c>
      <c r="M1561">
        <f t="shared" ca="1" si="323"/>
        <v>3</v>
      </c>
      <c r="N1561">
        <f t="shared" ca="1" si="324"/>
        <v>0</v>
      </c>
    </row>
    <row r="1562" spans="1:14" x14ac:dyDescent="0.35">
      <c r="A1562" t="s">
        <v>1579</v>
      </c>
      <c r="B1562" t="str">
        <f t="shared" si="312"/>
        <v>Test</v>
      </c>
      <c r="C1562">
        <f t="shared" ca="1" si="313"/>
        <v>27</v>
      </c>
      <c r="D1562" t="str">
        <f t="shared" ca="1" si="314"/>
        <v>Female</v>
      </c>
      <c r="E1562" t="str">
        <f t="shared" ca="1" si="315"/>
        <v>Dresses</v>
      </c>
      <c r="F1562">
        <f t="shared" ca="1" si="316"/>
        <v>6026</v>
      </c>
      <c r="G1562">
        <f t="shared" ca="1" si="317"/>
        <v>25</v>
      </c>
      <c r="H1562">
        <f t="shared" ca="1" si="318"/>
        <v>4519.5</v>
      </c>
      <c r="I1562">
        <f t="shared" ca="1" si="319"/>
        <v>1</v>
      </c>
      <c r="J1562">
        <f t="shared" ca="1" si="320"/>
        <v>1</v>
      </c>
      <c r="K1562">
        <f t="shared" ca="1" si="321"/>
        <v>1</v>
      </c>
      <c r="L1562">
        <f t="shared" ca="1" si="322"/>
        <v>4519.5</v>
      </c>
      <c r="M1562">
        <f t="shared" ca="1" si="323"/>
        <v>6</v>
      </c>
      <c r="N1562">
        <f t="shared" ca="1" si="324"/>
        <v>0</v>
      </c>
    </row>
    <row r="1563" spans="1:14" x14ac:dyDescent="0.35">
      <c r="A1563" t="s">
        <v>1580</v>
      </c>
      <c r="B1563" t="str">
        <f t="shared" si="312"/>
        <v>Test</v>
      </c>
      <c r="C1563">
        <f t="shared" ca="1" si="313"/>
        <v>25</v>
      </c>
      <c r="D1563" t="str">
        <f t="shared" ca="1" si="314"/>
        <v>Other</v>
      </c>
      <c r="E1563" t="str">
        <f t="shared" ca="1" si="315"/>
        <v>T-shirts</v>
      </c>
      <c r="F1563">
        <f t="shared" ca="1" si="316"/>
        <v>5846</v>
      </c>
      <c r="G1563">
        <f t="shared" ca="1" si="317"/>
        <v>20</v>
      </c>
      <c r="H1563">
        <f t="shared" ca="1" si="318"/>
        <v>4676.8</v>
      </c>
      <c r="I1563">
        <f t="shared" ca="1" si="319"/>
        <v>1</v>
      </c>
      <c r="J1563">
        <f t="shared" ca="1" si="320"/>
        <v>1</v>
      </c>
      <c r="K1563">
        <f t="shared" ca="1" si="321"/>
        <v>0</v>
      </c>
      <c r="L1563">
        <f t="shared" ca="1" si="322"/>
        <v>0</v>
      </c>
      <c r="M1563">
        <f t="shared" ca="1" si="323"/>
        <v>5</v>
      </c>
      <c r="N1563">
        <f t="shared" ca="1" si="324"/>
        <v>0</v>
      </c>
    </row>
    <row r="1564" spans="1:14" x14ac:dyDescent="0.35">
      <c r="A1564" t="s">
        <v>1581</v>
      </c>
      <c r="B1564" t="str">
        <f t="shared" si="312"/>
        <v>Test</v>
      </c>
      <c r="C1564">
        <f t="shared" ca="1" si="313"/>
        <v>25</v>
      </c>
      <c r="D1564" t="str">
        <f t="shared" ca="1" si="314"/>
        <v>Male</v>
      </c>
      <c r="E1564" t="str">
        <f t="shared" ca="1" si="315"/>
        <v>Ethnic Wear</v>
      </c>
      <c r="F1564">
        <f t="shared" ca="1" si="316"/>
        <v>7932</v>
      </c>
      <c r="G1564">
        <f t="shared" ca="1" si="317"/>
        <v>20</v>
      </c>
      <c r="H1564">
        <f t="shared" ca="1" si="318"/>
        <v>6345.6</v>
      </c>
      <c r="I1564">
        <f t="shared" ca="1" si="319"/>
        <v>1</v>
      </c>
      <c r="J1564">
        <f t="shared" ca="1" si="320"/>
        <v>0</v>
      </c>
      <c r="K1564">
        <f t="shared" ca="1" si="321"/>
        <v>0</v>
      </c>
      <c r="L1564">
        <f t="shared" ca="1" si="322"/>
        <v>0</v>
      </c>
      <c r="M1564">
        <f t="shared" ca="1" si="323"/>
        <v>3</v>
      </c>
      <c r="N1564">
        <f t="shared" ca="1" si="324"/>
        <v>0</v>
      </c>
    </row>
    <row r="1565" spans="1:14" x14ac:dyDescent="0.35">
      <c r="A1565" t="s">
        <v>1582</v>
      </c>
      <c r="B1565" t="str">
        <f t="shared" si="312"/>
        <v>Test</v>
      </c>
      <c r="C1565">
        <f t="shared" ca="1" si="313"/>
        <v>39</v>
      </c>
      <c r="D1565" t="str">
        <f t="shared" ca="1" si="314"/>
        <v>Female</v>
      </c>
      <c r="E1565" t="str">
        <f t="shared" ca="1" si="315"/>
        <v>Shoes</v>
      </c>
      <c r="F1565">
        <f t="shared" ca="1" si="316"/>
        <v>2110</v>
      </c>
      <c r="G1565">
        <f t="shared" ca="1" si="317"/>
        <v>25</v>
      </c>
      <c r="H1565">
        <f t="shared" ca="1" si="318"/>
        <v>1582.5</v>
      </c>
      <c r="I1565">
        <f t="shared" ca="1" si="319"/>
        <v>1</v>
      </c>
      <c r="J1565">
        <f t="shared" ca="1" si="320"/>
        <v>0</v>
      </c>
      <c r="K1565">
        <f t="shared" ca="1" si="321"/>
        <v>0</v>
      </c>
      <c r="L1565">
        <f t="shared" ca="1" si="322"/>
        <v>0</v>
      </c>
      <c r="M1565">
        <f t="shared" ca="1" si="323"/>
        <v>6</v>
      </c>
      <c r="N1565">
        <f t="shared" ca="1" si="324"/>
        <v>0</v>
      </c>
    </row>
    <row r="1566" spans="1:14" x14ac:dyDescent="0.35">
      <c r="A1566" t="s">
        <v>1583</v>
      </c>
      <c r="B1566" t="str">
        <f t="shared" si="312"/>
        <v>Test</v>
      </c>
      <c r="C1566">
        <f t="shared" ca="1" si="313"/>
        <v>25</v>
      </c>
      <c r="D1566" t="str">
        <f t="shared" ca="1" si="314"/>
        <v>Female</v>
      </c>
      <c r="E1566" t="str">
        <f t="shared" ca="1" si="315"/>
        <v>Sportswear</v>
      </c>
      <c r="F1566">
        <f t="shared" ca="1" si="316"/>
        <v>4882</v>
      </c>
      <c r="G1566">
        <f t="shared" ca="1" si="317"/>
        <v>20</v>
      </c>
      <c r="H1566">
        <f t="shared" ca="1" si="318"/>
        <v>3905.6000000000004</v>
      </c>
      <c r="I1566">
        <f t="shared" ca="1" si="319"/>
        <v>1</v>
      </c>
      <c r="J1566">
        <f t="shared" ca="1" si="320"/>
        <v>0</v>
      </c>
      <c r="K1566">
        <f t="shared" ca="1" si="321"/>
        <v>0</v>
      </c>
      <c r="L1566">
        <f t="shared" ca="1" si="322"/>
        <v>0</v>
      </c>
      <c r="M1566">
        <f t="shared" ca="1" si="323"/>
        <v>4</v>
      </c>
      <c r="N1566">
        <f t="shared" ca="1" si="324"/>
        <v>0</v>
      </c>
    </row>
    <row r="1567" spans="1:14" x14ac:dyDescent="0.35">
      <c r="A1567" t="s">
        <v>1584</v>
      </c>
      <c r="B1567" t="str">
        <f t="shared" si="312"/>
        <v>Test</v>
      </c>
      <c r="C1567">
        <f t="shared" ca="1" si="313"/>
        <v>38</v>
      </c>
      <c r="D1567" t="str">
        <f t="shared" ca="1" si="314"/>
        <v>Male</v>
      </c>
      <c r="E1567" t="str">
        <f t="shared" ca="1" si="315"/>
        <v>Shoes</v>
      </c>
      <c r="F1567">
        <f t="shared" ca="1" si="316"/>
        <v>3719</v>
      </c>
      <c r="G1567">
        <f t="shared" ca="1" si="317"/>
        <v>20</v>
      </c>
      <c r="H1567">
        <f t="shared" ca="1" si="318"/>
        <v>2975.2000000000003</v>
      </c>
      <c r="I1567">
        <f t="shared" ca="1" si="319"/>
        <v>1</v>
      </c>
      <c r="J1567">
        <f t="shared" ca="1" si="320"/>
        <v>1</v>
      </c>
      <c r="K1567">
        <f t="shared" ca="1" si="321"/>
        <v>0</v>
      </c>
      <c r="L1567">
        <f t="shared" ca="1" si="322"/>
        <v>0</v>
      </c>
      <c r="M1567">
        <f t="shared" ca="1" si="323"/>
        <v>3</v>
      </c>
      <c r="N1567">
        <f t="shared" ca="1" si="324"/>
        <v>0</v>
      </c>
    </row>
    <row r="1568" spans="1:14" x14ac:dyDescent="0.35">
      <c r="A1568" t="s">
        <v>1585</v>
      </c>
      <c r="B1568" t="str">
        <f t="shared" si="312"/>
        <v>Test</v>
      </c>
      <c r="C1568">
        <f t="shared" ca="1" si="313"/>
        <v>36</v>
      </c>
      <c r="D1568" t="str">
        <f t="shared" ca="1" si="314"/>
        <v>Female</v>
      </c>
      <c r="E1568" t="str">
        <f t="shared" ca="1" si="315"/>
        <v>Ethnic Wear</v>
      </c>
      <c r="F1568">
        <f t="shared" ca="1" si="316"/>
        <v>730</v>
      </c>
      <c r="G1568">
        <f t="shared" ca="1" si="317"/>
        <v>20</v>
      </c>
      <c r="H1568">
        <f t="shared" ca="1" si="318"/>
        <v>584</v>
      </c>
      <c r="I1568">
        <f t="shared" ca="1" si="319"/>
        <v>1</v>
      </c>
      <c r="J1568">
        <f t="shared" ca="1" si="320"/>
        <v>1</v>
      </c>
      <c r="K1568">
        <f t="shared" ca="1" si="321"/>
        <v>0</v>
      </c>
      <c r="L1568">
        <f t="shared" ca="1" si="322"/>
        <v>0</v>
      </c>
      <c r="M1568">
        <f t="shared" ca="1" si="323"/>
        <v>6</v>
      </c>
      <c r="N1568">
        <f t="shared" ca="1" si="324"/>
        <v>0</v>
      </c>
    </row>
    <row r="1569" spans="1:14" x14ac:dyDescent="0.35">
      <c r="A1569" t="s">
        <v>1586</v>
      </c>
      <c r="B1569" t="str">
        <f t="shared" si="312"/>
        <v>Test</v>
      </c>
      <c r="C1569">
        <f t="shared" ca="1" si="313"/>
        <v>43</v>
      </c>
      <c r="D1569" t="str">
        <f t="shared" ca="1" si="314"/>
        <v>Female</v>
      </c>
      <c r="E1569" t="str">
        <f t="shared" ca="1" si="315"/>
        <v>Shoes</v>
      </c>
      <c r="F1569">
        <f t="shared" ca="1" si="316"/>
        <v>2502</v>
      </c>
      <c r="G1569">
        <f t="shared" ca="1" si="317"/>
        <v>20</v>
      </c>
      <c r="H1569">
        <f t="shared" ca="1" si="318"/>
        <v>2001.6000000000001</v>
      </c>
      <c r="I1569">
        <f t="shared" ca="1" si="319"/>
        <v>1</v>
      </c>
      <c r="J1569">
        <f t="shared" ca="1" si="320"/>
        <v>1</v>
      </c>
      <c r="K1569">
        <f t="shared" ca="1" si="321"/>
        <v>0</v>
      </c>
      <c r="L1569">
        <f t="shared" ca="1" si="322"/>
        <v>0</v>
      </c>
      <c r="M1569">
        <f t="shared" ca="1" si="323"/>
        <v>2</v>
      </c>
      <c r="N1569">
        <f t="shared" ca="1" si="324"/>
        <v>0</v>
      </c>
    </row>
    <row r="1570" spans="1:14" x14ac:dyDescent="0.35">
      <c r="A1570" t="s">
        <v>1587</v>
      </c>
      <c r="B1570" t="str">
        <f t="shared" si="312"/>
        <v>Test</v>
      </c>
      <c r="C1570">
        <f t="shared" ca="1" si="313"/>
        <v>25</v>
      </c>
      <c r="D1570" t="str">
        <f t="shared" ca="1" si="314"/>
        <v>Female</v>
      </c>
      <c r="E1570" t="str">
        <f t="shared" ca="1" si="315"/>
        <v>Dresses</v>
      </c>
      <c r="F1570">
        <f t="shared" ca="1" si="316"/>
        <v>7397</v>
      </c>
      <c r="G1570">
        <f t="shared" ca="1" si="317"/>
        <v>20</v>
      </c>
      <c r="H1570">
        <f t="shared" ca="1" si="318"/>
        <v>5917.6</v>
      </c>
      <c r="I1570">
        <f t="shared" ca="1" si="319"/>
        <v>1</v>
      </c>
      <c r="J1570">
        <f t="shared" ca="1" si="320"/>
        <v>0</v>
      </c>
      <c r="K1570">
        <f t="shared" ca="1" si="321"/>
        <v>0</v>
      </c>
      <c r="L1570">
        <f t="shared" ca="1" si="322"/>
        <v>0</v>
      </c>
      <c r="M1570">
        <f t="shared" ca="1" si="323"/>
        <v>2</v>
      </c>
      <c r="N1570">
        <f t="shared" ca="1" si="324"/>
        <v>0</v>
      </c>
    </row>
    <row r="1571" spans="1:14" x14ac:dyDescent="0.35">
      <c r="A1571" t="s">
        <v>1588</v>
      </c>
      <c r="B1571" t="str">
        <f t="shared" si="312"/>
        <v>Test</v>
      </c>
      <c r="C1571">
        <f t="shared" ca="1" si="313"/>
        <v>43</v>
      </c>
      <c r="D1571" t="str">
        <f t="shared" ca="1" si="314"/>
        <v>Female</v>
      </c>
      <c r="E1571" t="str">
        <f t="shared" ca="1" si="315"/>
        <v>Accessories</v>
      </c>
      <c r="F1571">
        <f t="shared" ca="1" si="316"/>
        <v>2141</v>
      </c>
      <c r="G1571">
        <f t="shared" ca="1" si="317"/>
        <v>20</v>
      </c>
      <c r="H1571">
        <f t="shared" ca="1" si="318"/>
        <v>1712.8000000000002</v>
      </c>
      <c r="I1571">
        <f t="shared" ca="1" si="319"/>
        <v>1</v>
      </c>
      <c r="J1571">
        <f t="shared" ca="1" si="320"/>
        <v>0</v>
      </c>
      <c r="K1571">
        <f t="shared" ca="1" si="321"/>
        <v>0</v>
      </c>
      <c r="L1571">
        <f t="shared" ca="1" si="322"/>
        <v>0</v>
      </c>
      <c r="M1571">
        <f t="shared" ca="1" si="323"/>
        <v>3</v>
      </c>
      <c r="N1571">
        <f t="shared" ca="1" si="324"/>
        <v>0</v>
      </c>
    </row>
    <row r="1572" spans="1:14" x14ac:dyDescent="0.35">
      <c r="A1572" t="s">
        <v>1589</v>
      </c>
      <c r="B1572" t="str">
        <f t="shared" si="312"/>
        <v>Test</v>
      </c>
      <c r="C1572">
        <f t="shared" ca="1" si="313"/>
        <v>42</v>
      </c>
      <c r="D1572" t="str">
        <f t="shared" ca="1" si="314"/>
        <v>Female</v>
      </c>
      <c r="E1572" t="str">
        <f t="shared" ca="1" si="315"/>
        <v>Accessories</v>
      </c>
      <c r="F1572">
        <f t="shared" ca="1" si="316"/>
        <v>498</v>
      </c>
      <c r="G1572">
        <f t="shared" ca="1" si="317"/>
        <v>15</v>
      </c>
      <c r="H1572">
        <f t="shared" ca="1" si="318"/>
        <v>423.3</v>
      </c>
      <c r="I1572">
        <f t="shared" ca="1" si="319"/>
        <v>1</v>
      </c>
      <c r="J1572">
        <f t="shared" ca="1" si="320"/>
        <v>1</v>
      </c>
      <c r="K1572">
        <f t="shared" ca="1" si="321"/>
        <v>0</v>
      </c>
      <c r="L1572">
        <f t="shared" ca="1" si="322"/>
        <v>0</v>
      </c>
      <c r="M1572">
        <f t="shared" ca="1" si="323"/>
        <v>3</v>
      </c>
      <c r="N1572">
        <f t="shared" ca="1" si="324"/>
        <v>0</v>
      </c>
    </row>
    <row r="1573" spans="1:14" x14ac:dyDescent="0.35">
      <c r="A1573" t="s">
        <v>1590</v>
      </c>
      <c r="B1573" t="str">
        <f t="shared" si="312"/>
        <v>Test</v>
      </c>
      <c r="C1573">
        <f t="shared" ca="1" si="313"/>
        <v>23</v>
      </c>
      <c r="D1573" t="str">
        <f t="shared" ca="1" si="314"/>
        <v>Female</v>
      </c>
      <c r="E1573" t="str">
        <f t="shared" ca="1" si="315"/>
        <v>Shoes</v>
      </c>
      <c r="F1573">
        <f t="shared" ca="1" si="316"/>
        <v>1691</v>
      </c>
      <c r="G1573">
        <f t="shared" ca="1" si="317"/>
        <v>15</v>
      </c>
      <c r="H1573">
        <f t="shared" ca="1" si="318"/>
        <v>1437.35</v>
      </c>
      <c r="I1573">
        <f t="shared" ca="1" si="319"/>
        <v>0</v>
      </c>
      <c r="J1573">
        <f t="shared" ca="1" si="320"/>
        <v>0</v>
      </c>
      <c r="K1573">
        <f t="shared" ca="1" si="321"/>
        <v>0</v>
      </c>
      <c r="L1573">
        <f t="shared" ca="1" si="322"/>
        <v>0</v>
      </c>
      <c r="M1573">
        <f t="shared" ca="1" si="323"/>
        <v>4</v>
      </c>
      <c r="N1573">
        <f t="shared" ca="1" si="324"/>
        <v>0</v>
      </c>
    </row>
    <row r="1574" spans="1:14" x14ac:dyDescent="0.35">
      <c r="A1574" t="s">
        <v>1591</v>
      </c>
      <c r="B1574" t="str">
        <f t="shared" si="312"/>
        <v>Test</v>
      </c>
      <c r="C1574">
        <f t="shared" ca="1" si="313"/>
        <v>27</v>
      </c>
      <c r="D1574" t="str">
        <f t="shared" ca="1" si="314"/>
        <v>Female</v>
      </c>
      <c r="E1574" t="str">
        <f t="shared" ca="1" si="315"/>
        <v>Dresses</v>
      </c>
      <c r="F1574">
        <f t="shared" ca="1" si="316"/>
        <v>2890</v>
      </c>
      <c r="G1574">
        <f t="shared" ca="1" si="317"/>
        <v>20</v>
      </c>
      <c r="H1574">
        <f t="shared" ca="1" si="318"/>
        <v>2312</v>
      </c>
      <c r="I1574">
        <f t="shared" ca="1" si="319"/>
        <v>1</v>
      </c>
      <c r="J1574">
        <f t="shared" ca="1" si="320"/>
        <v>1</v>
      </c>
      <c r="K1574">
        <f t="shared" ca="1" si="321"/>
        <v>0</v>
      </c>
      <c r="L1574">
        <f t="shared" ca="1" si="322"/>
        <v>0</v>
      </c>
      <c r="M1574">
        <f t="shared" ca="1" si="323"/>
        <v>4</v>
      </c>
      <c r="N1574">
        <f t="shared" ca="1" si="324"/>
        <v>0</v>
      </c>
    </row>
    <row r="1575" spans="1:14" x14ac:dyDescent="0.35">
      <c r="A1575" t="s">
        <v>1592</v>
      </c>
      <c r="B1575" t="str">
        <f t="shared" si="312"/>
        <v>Test</v>
      </c>
      <c r="C1575">
        <f t="shared" ca="1" si="313"/>
        <v>40</v>
      </c>
      <c r="D1575" t="str">
        <f t="shared" ca="1" si="314"/>
        <v>Male</v>
      </c>
      <c r="E1575" t="str">
        <f t="shared" ca="1" si="315"/>
        <v>Jeans</v>
      </c>
      <c r="F1575">
        <f t="shared" ca="1" si="316"/>
        <v>7044</v>
      </c>
      <c r="G1575">
        <f t="shared" ca="1" si="317"/>
        <v>25</v>
      </c>
      <c r="H1575">
        <f t="shared" ca="1" si="318"/>
        <v>5283</v>
      </c>
      <c r="I1575">
        <f t="shared" ca="1" si="319"/>
        <v>1</v>
      </c>
      <c r="J1575">
        <f t="shared" ca="1" si="320"/>
        <v>1</v>
      </c>
      <c r="K1575">
        <f t="shared" ca="1" si="321"/>
        <v>0</v>
      </c>
      <c r="L1575">
        <f t="shared" ca="1" si="322"/>
        <v>0</v>
      </c>
      <c r="M1575">
        <f t="shared" ca="1" si="323"/>
        <v>5</v>
      </c>
      <c r="N1575">
        <f t="shared" ca="1" si="324"/>
        <v>0</v>
      </c>
    </row>
    <row r="1576" spans="1:14" x14ac:dyDescent="0.35">
      <c r="A1576" t="s">
        <v>1593</v>
      </c>
      <c r="B1576" t="str">
        <f t="shared" si="312"/>
        <v>Test</v>
      </c>
      <c r="C1576">
        <f t="shared" ca="1" si="313"/>
        <v>36</v>
      </c>
      <c r="D1576" t="str">
        <f t="shared" ca="1" si="314"/>
        <v>Male</v>
      </c>
      <c r="E1576" t="str">
        <f t="shared" ca="1" si="315"/>
        <v>Dresses</v>
      </c>
      <c r="F1576">
        <f t="shared" ca="1" si="316"/>
        <v>401</v>
      </c>
      <c r="G1576">
        <f t="shared" ca="1" si="317"/>
        <v>25</v>
      </c>
      <c r="H1576">
        <f t="shared" ca="1" si="318"/>
        <v>300.75</v>
      </c>
      <c r="I1576">
        <f t="shared" ca="1" si="319"/>
        <v>1</v>
      </c>
      <c r="J1576">
        <f t="shared" ca="1" si="320"/>
        <v>1</v>
      </c>
      <c r="K1576">
        <f t="shared" ca="1" si="321"/>
        <v>1</v>
      </c>
      <c r="L1576">
        <f t="shared" ca="1" si="322"/>
        <v>300.75</v>
      </c>
      <c r="M1576">
        <f t="shared" ca="1" si="323"/>
        <v>3</v>
      </c>
      <c r="N1576">
        <f t="shared" ca="1" si="324"/>
        <v>0</v>
      </c>
    </row>
    <row r="1577" spans="1:14" x14ac:dyDescent="0.35">
      <c r="A1577" t="s">
        <v>1594</v>
      </c>
      <c r="B1577" t="str">
        <f t="shared" si="312"/>
        <v>Test</v>
      </c>
      <c r="C1577">
        <f t="shared" ca="1" si="313"/>
        <v>41</v>
      </c>
      <c r="D1577" t="str">
        <f t="shared" ca="1" si="314"/>
        <v>Female</v>
      </c>
      <c r="E1577" t="str">
        <f t="shared" ca="1" si="315"/>
        <v>Jeans</v>
      </c>
      <c r="F1577">
        <f t="shared" ca="1" si="316"/>
        <v>6413</v>
      </c>
      <c r="G1577">
        <f t="shared" ca="1" si="317"/>
        <v>25</v>
      </c>
      <c r="H1577">
        <f t="shared" ca="1" si="318"/>
        <v>4809.75</v>
      </c>
      <c r="I1577">
        <f t="shared" ca="1" si="319"/>
        <v>0</v>
      </c>
      <c r="J1577">
        <f t="shared" ca="1" si="320"/>
        <v>0</v>
      </c>
      <c r="K1577">
        <f t="shared" ca="1" si="321"/>
        <v>0</v>
      </c>
      <c r="L1577">
        <f t="shared" ca="1" si="322"/>
        <v>0</v>
      </c>
      <c r="M1577">
        <f t="shared" ca="1" si="323"/>
        <v>6</v>
      </c>
      <c r="N1577">
        <f t="shared" ca="1" si="324"/>
        <v>0</v>
      </c>
    </row>
    <row r="1578" spans="1:14" x14ac:dyDescent="0.35">
      <c r="A1578" t="s">
        <v>1595</v>
      </c>
      <c r="B1578" t="str">
        <f t="shared" si="312"/>
        <v>Test</v>
      </c>
      <c r="C1578">
        <f t="shared" ca="1" si="313"/>
        <v>32</v>
      </c>
      <c r="D1578" t="str">
        <f t="shared" ca="1" si="314"/>
        <v>Female</v>
      </c>
      <c r="E1578" t="str">
        <f t="shared" ca="1" si="315"/>
        <v>Tops</v>
      </c>
      <c r="F1578">
        <f t="shared" ca="1" si="316"/>
        <v>3570</v>
      </c>
      <c r="G1578">
        <f t="shared" ca="1" si="317"/>
        <v>15</v>
      </c>
      <c r="H1578">
        <f t="shared" ca="1" si="318"/>
        <v>3034.5</v>
      </c>
      <c r="I1578">
        <f t="shared" ca="1" si="319"/>
        <v>1</v>
      </c>
      <c r="J1578">
        <f t="shared" ca="1" si="320"/>
        <v>0</v>
      </c>
      <c r="K1578">
        <f t="shared" ca="1" si="321"/>
        <v>0</v>
      </c>
      <c r="L1578">
        <f t="shared" ca="1" si="322"/>
        <v>0</v>
      </c>
      <c r="M1578">
        <f t="shared" ca="1" si="323"/>
        <v>6</v>
      </c>
      <c r="N1578">
        <f t="shared" ca="1" si="324"/>
        <v>0</v>
      </c>
    </row>
    <row r="1579" spans="1:14" x14ac:dyDescent="0.35">
      <c r="A1579" t="s">
        <v>1596</v>
      </c>
      <c r="B1579" t="str">
        <f t="shared" si="312"/>
        <v>Test</v>
      </c>
      <c r="C1579">
        <f t="shared" ca="1" si="313"/>
        <v>19</v>
      </c>
      <c r="D1579" t="str">
        <f t="shared" ca="1" si="314"/>
        <v>Female</v>
      </c>
      <c r="E1579" t="str">
        <f t="shared" ca="1" si="315"/>
        <v>T-shirts</v>
      </c>
      <c r="F1579">
        <f t="shared" ca="1" si="316"/>
        <v>5259</v>
      </c>
      <c r="G1579">
        <f t="shared" ca="1" si="317"/>
        <v>25</v>
      </c>
      <c r="H1579">
        <f t="shared" ca="1" si="318"/>
        <v>3944.25</v>
      </c>
      <c r="I1579">
        <f t="shared" ca="1" si="319"/>
        <v>1</v>
      </c>
      <c r="J1579">
        <f t="shared" ca="1" si="320"/>
        <v>1</v>
      </c>
      <c r="K1579">
        <f t="shared" ca="1" si="321"/>
        <v>0</v>
      </c>
      <c r="L1579">
        <f t="shared" ca="1" si="322"/>
        <v>0</v>
      </c>
      <c r="M1579">
        <f t="shared" ca="1" si="323"/>
        <v>6</v>
      </c>
      <c r="N1579">
        <f t="shared" ca="1" si="324"/>
        <v>0</v>
      </c>
    </row>
    <row r="1580" spans="1:14" x14ac:dyDescent="0.35">
      <c r="A1580" t="s">
        <v>1597</v>
      </c>
      <c r="B1580" t="str">
        <f t="shared" si="312"/>
        <v>Test</v>
      </c>
      <c r="C1580">
        <f t="shared" ca="1" si="313"/>
        <v>36</v>
      </c>
      <c r="D1580" t="str">
        <f t="shared" ca="1" si="314"/>
        <v>Female</v>
      </c>
      <c r="E1580" t="str">
        <f t="shared" ca="1" si="315"/>
        <v>Dresses</v>
      </c>
      <c r="F1580">
        <f t="shared" ca="1" si="316"/>
        <v>2110</v>
      </c>
      <c r="G1580">
        <f t="shared" ca="1" si="317"/>
        <v>20</v>
      </c>
      <c r="H1580">
        <f t="shared" ca="1" si="318"/>
        <v>1688</v>
      </c>
      <c r="I1580">
        <f t="shared" ca="1" si="319"/>
        <v>0</v>
      </c>
      <c r="J1580">
        <f t="shared" ca="1" si="320"/>
        <v>0</v>
      </c>
      <c r="K1580">
        <f t="shared" ca="1" si="321"/>
        <v>0</v>
      </c>
      <c r="L1580">
        <f t="shared" ca="1" si="322"/>
        <v>0</v>
      </c>
      <c r="M1580">
        <f t="shared" ca="1" si="323"/>
        <v>5</v>
      </c>
      <c r="N1580">
        <f t="shared" ca="1" si="324"/>
        <v>0</v>
      </c>
    </row>
    <row r="1581" spans="1:14" x14ac:dyDescent="0.35">
      <c r="A1581" t="s">
        <v>1598</v>
      </c>
      <c r="B1581" t="str">
        <f t="shared" si="312"/>
        <v>Test</v>
      </c>
      <c r="C1581">
        <f t="shared" ca="1" si="313"/>
        <v>35</v>
      </c>
      <c r="D1581" t="str">
        <f t="shared" ca="1" si="314"/>
        <v>Other</v>
      </c>
      <c r="E1581" t="str">
        <f t="shared" ca="1" si="315"/>
        <v>Accessories</v>
      </c>
      <c r="F1581">
        <f t="shared" ca="1" si="316"/>
        <v>4477</v>
      </c>
      <c r="G1581">
        <f t="shared" ca="1" si="317"/>
        <v>15</v>
      </c>
      <c r="H1581">
        <f t="shared" ca="1" si="318"/>
        <v>3805.45</v>
      </c>
      <c r="I1581">
        <f t="shared" ca="1" si="319"/>
        <v>1</v>
      </c>
      <c r="J1581">
        <f t="shared" ca="1" si="320"/>
        <v>1</v>
      </c>
      <c r="K1581">
        <f t="shared" ca="1" si="321"/>
        <v>1</v>
      </c>
      <c r="L1581">
        <f t="shared" ca="1" si="322"/>
        <v>3805.45</v>
      </c>
      <c r="M1581">
        <f t="shared" ca="1" si="323"/>
        <v>6</v>
      </c>
      <c r="N1581">
        <f t="shared" ca="1" si="324"/>
        <v>0</v>
      </c>
    </row>
    <row r="1582" spans="1:14" x14ac:dyDescent="0.35">
      <c r="A1582" t="s">
        <v>1599</v>
      </c>
      <c r="B1582" t="str">
        <f t="shared" si="312"/>
        <v>Test</v>
      </c>
      <c r="C1582">
        <f t="shared" ca="1" si="313"/>
        <v>44</v>
      </c>
      <c r="D1582" t="str">
        <f t="shared" ca="1" si="314"/>
        <v>Female</v>
      </c>
      <c r="E1582" t="str">
        <f t="shared" ca="1" si="315"/>
        <v>Ethnic Wear</v>
      </c>
      <c r="F1582">
        <f t="shared" ca="1" si="316"/>
        <v>5336</v>
      </c>
      <c r="G1582">
        <f t="shared" ca="1" si="317"/>
        <v>15</v>
      </c>
      <c r="H1582">
        <f t="shared" ca="1" si="318"/>
        <v>4535.5999999999995</v>
      </c>
      <c r="I1582">
        <f t="shared" ca="1" si="319"/>
        <v>1</v>
      </c>
      <c r="J1582">
        <f t="shared" ca="1" si="320"/>
        <v>1</v>
      </c>
      <c r="K1582">
        <f t="shared" ca="1" si="321"/>
        <v>0</v>
      </c>
      <c r="L1582">
        <f t="shared" ca="1" si="322"/>
        <v>0</v>
      </c>
      <c r="M1582">
        <f t="shared" ca="1" si="323"/>
        <v>3</v>
      </c>
      <c r="N1582">
        <f t="shared" ca="1" si="324"/>
        <v>0</v>
      </c>
    </row>
    <row r="1583" spans="1:14" x14ac:dyDescent="0.35">
      <c r="A1583" t="s">
        <v>1600</v>
      </c>
      <c r="B1583" t="str">
        <f t="shared" si="312"/>
        <v>Test</v>
      </c>
      <c r="C1583">
        <f t="shared" ca="1" si="313"/>
        <v>44</v>
      </c>
      <c r="D1583" t="str">
        <f t="shared" ca="1" si="314"/>
        <v>Female</v>
      </c>
      <c r="E1583" t="str">
        <f t="shared" ca="1" si="315"/>
        <v>Sportswear</v>
      </c>
      <c r="F1583">
        <f t="shared" ca="1" si="316"/>
        <v>3117</v>
      </c>
      <c r="G1583">
        <f t="shared" ca="1" si="317"/>
        <v>25</v>
      </c>
      <c r="H1583">
        <f t="shared" ca="1" si="318"/>
        <v>2337.75</v>
      </c>
      <c r="I1583">
        <f t="shared" ca="1" si="319"/>
        <v>1</v>
      </c>
      <c r="J1583">
        <f t="shared" ca="1" si="320"/>
        <v>0</v>
      </c>
      <c r="K1583">
        <f t="shared" ca="1" si="321"/>
        <v>0</v>
      </c>
      <c r="L1583">
        <f t="shared" ca="1" si="322"/>
        <v>0</v>
      </c>
      <c r="M1583">
        <f t="shared" ca="1" si="323"/>
        <v>5</v>
      </c>
      <c r="N1583">
        <f t="shared" ca="1" si="324"/>
        <v>0</v>
      </c>
    </row>
    <row r="1584" spans="1:14" x14ac:dyDescent="0.35">
      <c r="A1584" t="s">
        <v>1601</v>
      </c>
      <c r="B1584" t="str">
        <f t="shared" si="312"/>
        <v>Test</v>
      </c>
      <c r="C1584">
        <f t="shared" ca="1" si="313"/>
        <v>30</v>
      </c>
      <c r="D1584" t="str">
        <f t="shared" ca="1" si="314"/>
        <v>Male</v>
      </c>
      <c r="E1584" t="str">
        <f t="shared" ca="1" si="315"/>
        <v>Jeans</v>
      </c>
      <c r="F1584">
        <f t="shared" ca="1" si="316"/>
        <v>1799</v>
      </c>
      <c r="G1584">
        <f t="shared" ca="1" si="317"/>
        <v>25</v>
      </c>
      <c r="H1584">
        <f t="shared" ca="1" si="318"/>
        <v>1349.25</v>
      </c>
      <c r="I1584">
        <f t="shared" ca="1" si="319"/>
        <v>1</v>
      </c>
      <c r="J1584">
        <f t="shared" ca="1" si="320"/>
        <v>1</v>
      </c>
      <c r="K1584">
        <f t="shared" ca="1" si="321"/>
        <v>1</v>
      </c>
      <c r="L1584">
        <f t="shared" ca="1" si="322"/>
        <v>1349.25</v>
      </c>
      <c r="M1584">
        <f t="shared" ca="1" si="323"/>
        <v>3</v>
      </c>
      <c r="N1584">
        <f t="shared" ca="1" si="324"/>
        <v>0</v>
      </c>
    </row>
    <row r="1585" spans="1:14" x14ac:dyDescent="0.35">
      <c r="A1585" t="s">
        <v>1602</v>
      </c>
      <c r="B1585" t="str">
        <f t="shared" si="312"/>
        <v>Test</v>
      </c>
      <c r="C1585">
        <f t="shared" ca="1" si="313"/>
        <v>38</v>
      </c>
      <c r="D1585" t="str">
        <f t="shared" ca="1" si="314"/>
        <v>Male</v>
      </c>
      <c r="E1585" t="str">
        <f t="shared" ca="1" si="315"/>
        <v>Accessories</v>
      </c>
      <c r="F1585">
        <f t="shared" ca="1" si="316"/>
        <v>588</v>
      </c>
      <c r="G1585">
        <f t="shared" ca="1" si="317"/>
        <v>25</v>
      </c>
      <c r="H1585">
        <f t="shared" ca="1" si="318"/>
        <v>441</v>
      </c>
      <c r="I1585">
        <f t="shared" ca="1" si="319"/>
        <v>0</v>
      </c>
      <c r="J1585">
        <f t="shared" ca="1" si="320"/>
        <v>0</v>
      </c>
      <c r="K1585">
        <f t="shared" ca="1" si="321"/>
        <v>0</v>
      </c>
      <c r="L1585">
        <f t="shared" ca="1" si="322"/>
        <v>0</v>
      </c>
      <c r="M1585">
        <f t="shared" ca="1" si="323"/>
        <v>4</v>
      </c>
      <c r="N1585">
        <f t="shared" ca="1" si="324"/>
        <v>0</v>
      </c>
    </row>
    <row r="1586" spans="1:14" x14ac:dyDescent="0.35">
      <c r="A1586" t="s">
        <v>1603</v>
      </c>
      <c r="B1586" t="str">
        <f t="shared" si="312"/>
        <v>Test</v>
      </c>
      <c r="C1586">
        <f t="shared" ca="1" si="313"/>
        <v>29</v>
      </c>
      <c r="D1586" t="str">
        <f t="shared" ca="1" si="314"/>
        <v>Female</v>
      </c>
      <c r="E1586" t="str">
        <f t="shared" ca="1" si="315"/>
        <v>T-shirts</v>
      </c>
      <c r="F1586">
        <f t="shared" ca="1" si="316"/>
        <v>4217</v>
      </c>
      <c r="G1586">
        <f t="shared" ca="1" si="317"/>
        <v>25</v>
      </c>
      <c r="H1586">
        <f t="shared" ca="1" si="318"/>
        <v>3162.75</v>
      </c>
      <c r="I1586">
        <f t="shared" ca="1" si="319"/>
        <v>1</v>
      </c>
      <c r="J1586">
        <f t="shared" ca="1" si="320"/>
        <v>1</v>
      </c>
      <c r="K1586">
        <f t="shared" ca="1" si="321"/>
        <v>0</v>
      </c>
      <c r="L1586">
        <f t="shared" ca="1" si="322"/>
        <v>0</v>
      </c>
      <c r="M1586">
        <f t="shared" ca="1" si="323"/>
        <v>6</v>
      </c>
      <c r="N1586">
        <f t="shared" ca="1" si="324"/>
        <v>0</v>
      </c>
    </row>
    <row r="1587" spans="1:14" x14ac:dyDescent="0.35">
      <c r="A1587" t="s">
        <v>1604</v>
      </c>
      <c r="B1587" t="str">
        <f t="shared" si="312"/>
        <v>Test</v>
      </c>
      <c r="C1587">
        <f t="shared" ca="1" si="313"/>
        <v>40</v>
      </c>
      <c r="D1587" t="str">
        <f t="shared" ca="1" si="314"/>
        <v>Female</v>
      </c>
      <c r="E1587" t="str">
        <f t="shared" ca="1" si="315"/>
        <v>Tops</v>
      </c>
      <c r="F1587">
        <f t="shared" ca="1" si="316"/>
        <v>4124</v>
      </c>
      <c r="G1587">
        <f t="shared" ca="1" si="317"/>
        <v>15</v>
      </c>
      <c r="H1587">
        <f t="shared" ca="1" si="318"/>
        <v>3505.4</v>
      </c>
      <c r="I1587">
        <f t="shared" ca="1" si="319"/>
        <v>1</v>
      </c>
      <c r="J1587">
        <f t="shared" ca="1" si="320"/>
        <v>0</v>
      </c>
      <c r="K1587">
        <f t="shared" ca="1" si="321"/>
        <v>0</v>
      </c>
      <c r="L1587">
        <f t="shared" ca="1" si="322"/>
        <v>0</v>
      </c>
      <c r="M1587">
        <f t="shared" ca="1" si="323"/>
        <v>6</v>
      </c>
      <c r="N1587">
        <f t="shared" ca="1" si="324"/>
        <v>0</v>
      </c>
    </row>
    <row r="1588" spans="1:14" x14ac:dyDescent="0.35">
      <c r="A1588" t="s">
        <v>1605</v>
      </c>
      <c r="B1588" t="str">
        <f t="shared" si="312"/>
        <v>Test</v>
      </c>
      <c r="C1588">
        <f t="shared" ca="1" si="313"/>
        <v>19</v>
      </c>
      <c r="D1588" t="str">
        <f t="shared" ca="1" si="314"/>
        <v>Female</v>
      </c>
      <c r="E1588" t="str">
        <f t="shared" ca="1" si="315"/>
        <v>Jeans</v>
      </c>
      <c r="F1588">
        <f t="shared" ca="1" si="316"/>
        <v>4928</v>
      </c>
      <c r="G1588">
        <f t="shared" ca="1" si="317"/>
        <v>15</v>
      </c>
      <c r="H1588">
        <f t="shared" ca="1" si="318"/>
        <v>4188.8</v>
      </c>
      <c r="I1588">
        <f t="shared" ca="1" si="319"/>
        <v>1</v>
      </c>
      <c r="J1588">
        <f t="shared" ca="1" si="320"/>
        <v>0</v>
      </c>
      <c r="K1588">
        <f t="shared" ca="1" si="321"/>
        <v>0</v>
      </c>
      <c r="L1588">
        <f t="shared" ca="1" si="322"/>
        <v>0</v>
      </c>
      <c r="M1588">
        <f t="shared" ca="1" si="323"/>
        <v>7</v>
      </c>
      <c r="N1588">
        <f t="shared" ca="1" si="324"/>
        <v>0</v>
      </c>
    </row>
    <row r="1589" spans="1:14" x14ac:dyDescent="0.35">
      <c r="A1589" t="s">
        <v>1606</v>
      </c>
      <c r="B1589" t="str">
        <f t="shared" si="312"/>
        <v>Test</v>
      </c>
      <c r="C1589">
        <f t="shared" ca="1" si="313"/>
        <v>40</v>
      </c>
      <c r="D1589" t="str">
        <f t="shared" ca="1" si="314"/>
        <v>Female</v>
      </c>
      <c r="E1589" t="str">
        <f t="shared" ca="1" si="315"/>
        <v>Shoes</v>
      </c>
      <c r="F1589">
        <f t="shared" ca="1" si="316"/>
        <v>1920</v>
      </c>
      <c r="G1589">
        <f t="shared" ca="1" si="317"/>
        <v>25</v>
      </c>
      <c r="H1589">
        <f t="shared" ca="1" si="318"/>
        <v>1440</v>
      </c>
      <c r="I1589">
        <f t="shared" ca="1" si="319"/>
        <v>1</v>
      </c>
      <c r="J1589">
        <f t="shared" ca="1" si="320"/>
        <v>1</v>
      </c>
      <c r="K1589">
        <f t="shared" ca="1" si="321"/>
        <v>1</v>
      </c>
      <c r="L1589">
        <f t="shared" ca="1" si="322"/>
        <v>1440</v>
      </c>
      <c r="M1589">
        <f t="shared" ca="1" si="323"/>
        <v>5</v>
      </c>
      <c r="N1589">
        <f t="shared" ca="1" si="324"/>
        <v>0</v>
      </c>
    </row>
    <row r="1590" spans="1:14" x14ac:dyDescent="0.35">
      <c r="A1590" t="s">
        <v>1607</v>
      </c>
      <c r="B1590" t="str">
        <f t="shared" si="312"/>
        <v>Test</v>
      </c>
      <c r="C1590">
        <f t="shared" ca="1" si="313"/>
        <v>19</v>
      </c>
      <c r="D1590" t="str">
        <f t="shared" ca="1" si="314"/>
        <v>Other</v>
      </c>
      <c r="E1590" t="str">
        <f t="shared" ca="1" si="315"/>
        <v>Shoes</v>
      </c>
      <c r="F1590">
        <f t="shared" ca="1" si="316"/>
        <v>1526</v>
      </c>
      <c r="G1590">
        <f t="shared" ca="1" si="317"/>
        <v>15</v>
      </c>
      <c r="H1590">
        <f t="shared" ca="1" si="318"/>
        <v>1297.0999999999999</v>
      </c>
      <c r="I1590">
        <f t="shared" ca="1" si="319"/>
        <v>1</v>
      </c>
      <c r="J1590">
        <f t="shared" ca="1" si="320"/>
        <v>0</v>
      </c>
      <c r="K1590">
        <f t="shared" ca="1" si="321"/>
        <v>0</v>
      </c>
      <c r="L1590">
        <f t="shared" ca="1" si="322"/>
        <v>0</v>
      </c>
      <c r="M1590">
        <f t="shared" ca="1" si="323"/>
        <v>3</v>
      </c>
      <c r="N1590">
        <f t="shared" ca="1" si="324"/>
        <v>0</v>
      </c>
    </row>
    <row r="1591" spans="1:14" x14ac:dyDescent="0.35">
      <c r="A1591" t="s">
        <v>1608</v>
      </c>
      <c r="B1591" t="str">
        <f t="shared" si="312"/>
        <v>Test</v>
      </c>
      <c r="C1591">
        <f t="shared" ca="1" si="313"/>
        <v>45</v>
      </c>
      <c r="D1591" t="str">
        <f t="shared" ca="1" si="314"/>
        <v>Female</v>
      </c>
      <c r="E1591" t="str">
        <f t="shared" ca="1" si="315"/>
        <v>Dresses</v>
      </c>
      <c r="F1591">
        <f t="shared" ca="1" si="316"/>
        <v>3106</v>
      </c>
      <c r="G1591">
        <f t="shared" ca="1" si="317"/>
        <v>15</v>
      </c>
      <c r="H1591">
        <f t="shared" ca="1" si="318"/>
        <v>2640.1</v>
      </c>
      <c r="I1591">
        <f t="shared" ca="1" si="319"/>
        <v>1</v>
      </c>
      <c r="J1591">
        <f t="shared" ca="1" si="320"/>
        <v>1</v>
      </c>
      <c r="K1591">
        <f t="shared" ca="1" si="321"/>
        <v>0</v>
      </c>
      <c r="L1591">
        <f t="shared" ca="1" si="322"/>
        <v>0</v>
      </c>
      <c r="M1591">
        <f t="shared" ca="1" si="323"/>
        <v>5</v>
      </c>
      <c r="N1591">
        <f t="shared" ca="1" si="324"/>
        <v>0</v>
      </c>
    </row>
    <row r="1592" spans="1:14" x14ac:dyDescent="0.35">
      <c r="A1592" t="s">
        <v>1609</v>
      </c>
      <c r="B1592" t="str">
        <f t="shared" si="312"/>
        <v>Test</v>
      </c>
      <c r="C1592">
        <f t="shared" ca="1" si="313"/>
        <v>18</v>
      </c>
      <c r="D1592" t="str">
        <f t="shared" ca="1" si="314"/>
        <v>Male</v>
      </c>
      <c r="E1592" t="str">
        <f t="shared" ca="1" si="315"/>
        <v>Dresses</v>
      </c>
      <c r="F1592">
        <f t="shared" ca="1" si="316"/>
        <v>2832</v>
      </c>
      <c r="G1592">
        <f t="shared" ca="1" si="317"/>
        <v>20</v>
      </c>
      <c r="H1592">
        <f t="shared" ca="1" si="318"/>
        <v>2265.6</v>
      </c>
      <c r="I1592">
        <f t="shared" ca="1" si="319"/>
        <v>1</v>
      </c>
      <c r="J1592">
        <f t="shared" ca="1" si="320"/>
        <v>1</v>
      </c>
      <c r="K1592">
        <f t="shared" ca="1" si="321"/>
        <v>1</v>
      </c>
      <c r="L1592">
        <f t="shared" ca="1" si="322"/>
        <v>2265.6</v>
      </c>
      <c r="M1592">
        <f t="shared" ca="1" si="323"/>
        <v>4</v>
      </c>
      <c r="N1592">
        <f t="shared" ca="1" si="324"/>
        <v>1</v>
      </c>
    </row>
    <row r="1593" spans="1:14" x14ac:dyDescent="0.35">
      <c r="A1593" t="s">
        <v>1610</v>
      </c>
      <c r="B1593" t="str">
        <f t="shared" si="312"/>
        <v>Test</v>
      </c>
      <c r="C1593">
        <f t="shared" ca="1" si="313"/>
        <v>33</v>
      </c>
      <c r="D1593" t="str">
        <f t="shared" ca="1" si="314"/>
        <v>Male</v>
      </c>
      <c r="E1593" t="str">
        <f t="shared" ca="1" si="315"/>
        <v>Dresses</v>
      </c>
      <c r="F1593">
        <f t="shared" ca="1" si="316"/>
        <v>6296</v>
      </c>
      <c r="G1593">
        <f t="shared" ca="1" si="317"/>
        <v>25</v>
      </c>
      <c r="H1593">
        <f t="shared" ca="1" si="318"/>
        <v>4722</v>
      </c>
      <c r="I1593">
        <f t="shared" ca="1" si="319"/>
        <v>1</v>
      </c>
      <c r="J1593">
        <f t="shared" ca="1" si="320"/>
        <v>1</v>
      </c>
      <c r="K1593">
        <f t="shared" ca="1" si="321"/>
        <v>0</v>
      </c>
      <c r="L1593">
        <f t="shared" ca="1" si="322"/>
        <v>0</v>
      </c>
      <c r="M1593">
        <f t="shared" ca="1" si="323"/>
        <v>2</v>
      </c>
      <c r="N1593">
        <f t="shared" ca="1" si="324"/>
        <v>0</v>
      </c>
    </row>
    <row r="1594" spans="1:14" x14ac:dyDescent="0.35">
      <c r="A1594" t="s">
        <v>1611</v>
      </c>
      <c r="B1594" t="str">
        <f t="shared" si="312"/>
        <v>Test</v>
      </c>
      <c r="C1594">
        <f t="shared" ca="1" si="313"/>
        <v>30</v>
      </c>
      <c r="D1594" t="str">
        <f t="shared" ca="1" si="314"/>
        <v>Female</v>
      </c>
      <c r="E1594" t="str">
        <f t="shared" ca="1" si="315"/>
        <v>Ethnic Wear</v>
      </c>
      <c r="F1594">
        <f t="shared" ca="1" si="316"/>
        <v>930</v>
      </c>
      <c r="G1594">
        <f t="shared" ca="1" si="317"/>
        <v>20</v>
      </c>
      <c r="H1594">
        <f t="shared" ca="1" si="318"/>
        <v>744</v>
      </c>
      <c r="I1594">
        <f t="shared" ca="1" si="319"/>
        <v>1</v>
      </c>
      <c r="J1594">
        <f t="shared" ca="1" si="320"/>
        <v>1</v>
      </c>
      <c r="K1594">
        <f t="shared" ca="1" si="321"/>
        <v>1</v>
      </c>
      <c r="L1594">
        <f t="shared" ca="1" si="322"/>
        <v>744</v>
      </c>
      <c r="M1594">
        <f t="shared" ca="1" si="323"/>
        <v>2</v>
      </c>
      <c r="N1594">
        <f t="shared" ca="1" si="324"/>
        <v>0</v>
      </c>
    </row>
    <row r="1595" spans="1:14" x14ac:dyDescent="0.35">
      <c r="A1595" t="s">
        <v>1612</v>
      </c>
      <c r="B1595" t="str">
        <f t="shared" si="312"/>
        <v>Test</v>
      </c>
      <c r="C1595">
        <f t="shared" ca="1" si="313"/>
        <v>25</v>
      </c>
      <c r="D1595" t="str">
        <f t="shared" ca="1" si="314"/>
        <v>Female</v>
      </c>
      <c r="E1595" t="str">
        <f t="shared" ca="1" si="315"/>
        <v>Accessories</v>
      </c>
      <c r="F1595">
        <f t="shared" ca="1" si="316"/>
        <v>6108</v>
      </c>
      <c r="G1595">
        <f t="shared" ca="1" si="317"/>
        <v>25</v>
      </c>
      <c r="H1595">
        <f t="shared" ca="1" si="318"/>
        <v>4581</v>
      </c>
      <c r="I1595">
        <f t="shared" ca="1" si="319"/>
        <v>1</v>
      </c>
      <c r="J1595">
        <f t="shared" ca="1" si="320"/>
        <v>1</v>
      </c>
      <c r="K1595">
        <f t="shared" ca="1" si="321"/>
        <v>0</v>
      </c>
      <c r="L1595">
        <f t="shared" ca="1" si="322"/>
        <v>0</v>
      </c>
      <c r="M1595">
        <f t="shared" ca="1" si="323"/>
        <v>3</v>
      </c>
      <c r="N1595">
        <f t="shared" ca="1" si="324"/>
        <v>0</v>
      </c>
    </row>
    <row r="1596" spans="1:14" x14ac:dyDescent="0.35">
      <c r="A1596" t="s">
        <v>1613</v>
      </c>
      <c r="B1596" t="str">
        <f t="shared" si="312"/>
        <v>Test</v>
      </c>
      <c r="C1596">
        <f t="shared" ca="1" si="313"/>
        <v>32</v>
      </c>
      <c r="D1596" t="str">
        <f t="shared" ca="1" si="314"/>
        <v>Female</v>
      </c>
      <c r="E1596" t="str">
        <f t="shared" ca="1" si="315"/>
        <v>Sportswear</v>
      </c>
      <c r="F1596">
        <f t="shared" ca="1" si="316"/>
        <v>4933</v>
      </c>
      <c r="G1596">
        <f t="shared" ca="1" si="317"/>
        <v>20</v>
      </c>
      <c r="H1596">
        <f t="shared" ca="1" si="318"/>
        <v>3946.4</v>
      </c>
      <c r="I1596">
        <f t="shared" ca="1" si="319"/>
        <v>0</v>
      </c>
      <c r="J1596">
        <f t="shared" ca="1" si="320"/>
        <v>0</v>
      </c>
      <c r="K1596">
        <f t="shared" ca="1" si="321"/>
        <v>0</v>
      </c>
      <c r="L1596">
        <f t="shared" ca="1" si="322"/>
        <v>0</v>
      </c>
      <c r="M1596">
        <f t="shared" ca="1" si="323"/>
        <v>3</v>
      </c>
      <c r="N1596">
        <f t="shared" ca="1" si="324"/>
        <v>0</v>
      </c>
    </row>
    <row r="1597" spans="1:14" x14ac:dyDescent="0.35">
      <c r="A1597" t="s">
        <v>1614</v>
      </c>
      <c r="B1597" t="str">
        <f t="shared" si="312"/>
        <v>Test</v>
      </c>
      <c r="C1597">
        <f t="shared" ca="1" si="313"/>
        <v>34</v>
      </c>
      <c r="D1597" t="str">
        <f t="shared" ca="1" si="314"/>
        <v>Female</v>
      </c>
      <c r="E1597" t="str">
        <f t="shared" ca="1" si="315"/>
        <v>Accessories</v>
      </c>
      <c r="F1597">
        <f t="shared" ca="1" si="316"/>
        <v>4993</v>
      </c>
      <c r="G1597">
        <f t="shared" ca="1" si="317"/>
        <v>20</v>
      </c>
      <c r="H1597">
        <f t="shared" ca="1" si="318"/>
        <v>3994.4</v>
      </c>
      <c r="I1597">
        <f t="shared" ca="1" si="319"/>
        <v>1</v>
      </c>
      <c r="J1597">
        <f t="shared" ca="1" si="320"/>
        <v>0</v>
      </c>
      <c r="K1597">
        <f t="shared" ca="1" si="321"/>
        <v>0</v>
      </c>
      <c r="L1597">
        <f t="shared" ca="1" si="322"/>
        <v>0</v>
      </c>
      <c r="M1597">
        <f t="shared" ca="1" si="323"/>
        <v>5</v>
      </c>
      <c r="N1597">
        <f t="shared" ca="1" si="324"/>
        <v>0</v>
      </c>
    </row>
    <row r="1598" spans="1:14" x14ac:dyDescent="0.35">
      <c r="A1598" t="s">
        <v>1615</v>
      </c>
      <c r="B1598" t="str">
        <f t="shared" si="312"/>
        <v>Test</v>
      </c>
      <c r="C1598">
        <f t="shared" ca="1" si="313"/>
        <v>26</v>
      </c>
      <c r="D1598" t="str">
        <f t="shared" ca="1" si="314"/>
        <v>Male</v>
      </c>
      <c r="E1598" t="str">
        <f t="shared" ca="1" si="315"/>
        <v>Shoes</v>
      </c>
      <c r="F1598">
        <f t="shared" ca="1" si="316"/>
        <v>7028</v>
      </c>
      <c r="G1598">
        <f t="shared" ca="1" si="317"/>
        <v>15</v>
      </c>
      <c r="H1598">
        <f t="shared" ca="1" si="318"/>
        <v>5973.8</v>
      </c>
      <c r="I1598">
        <f t="shared" ca="1" si="319"/>
        <v>1</v>
      </c>
      <c r="J1598">
        <f t="shared" ca="1" si="320"/>
        <v>0</v>
      </c>
      <c r="K1598">
        <f t="shared" ca="1" si="321"/>
        <v>0</v>
      </c>
      <c r="L1598">
        <f t="shared" ca="1" si="322"/>
        <v>0</v>
      </c>
      <c r="M1598">
        <f t="shared" ca="1" si="323"/>
        <v>7</v>
      </c>
      <c r="N1598">
        <f t="shared" ca="1" si="324"/>
        <v>0</v>
      </c>
    </row>
    <row r="1599" spans="1:14" x14ac:dyDescent="0.35">
      <c r="A1599" t="s">
        <v>1616</v>
      </c>
      <c r="B1599" t="str">
        <f t="shared" si="312"/>
        <v>Test</v>
      </c>
      <c r="C1599">
        <f t="shared" ca="1" si="313"/>
        <v>36</v>
      </c>
      <c r="D1599" t="str">
        <f t="shared" ca="1" si="314"/>
        <v>Male</v>
      </c>
      <c r="E1599" t="str">
        <f t="shared" ca="1" si="315"/>
        <v>Tops</v>
      </c>
      <c r="F1599">
        <f t="shared" ca="1" si="316"/>
        <v>7516</v>
      </c>
      <c r="G1599">
        <f t="shared" ca="1" si="317"/>
        <v>25</v>
      </c>
      <c r="H1599">
        <f t="shared" ca="1" si="318"/>
        <v>5637</v>
      </c>
      <c r="I1599">
        <f t="shared" ca="1" si="319"/>
        <v>1</v>
      </c>
      <c r="J1599">
        <f t="shared" ca="1" si="320"/>
        <v>0</v>
      </c>
      <c r="K1599">
        <f t="shared" ca="1" si="321"/>
        <v>0</v>
      </c>
      <c r="L1599">
        <f t="shared" ca="1" si="322"/>
        <v>0</v>
      </c>
      <c r="M1599">
        <f t="shared" ca="1" si="323"/>
        <v>4</v>
      </c>
      <c r="N1599">
        <f t="shared" ca="1" si="324"/>
        <v>0</v>
      </c>
    </row>
    <row r="1600" spans="1:14" x14ac:dyDescent="0.35">
      <c r="A1600" t="s">
        <v>1617</v>
      </c>
      <c r="B1600" t="str">
        <f t="shared" si="312"/>
        <v>Test</v>
      </c>
      <c r="C1600">
        <f t="shared" ca="1" si="313"/>
        <v>32</v>
      </c>
      <c r="D1600" t="str">
        <f t="shared" ca="1" si="314"/>
        <v>Female</v>
      </c>
      <c r="E1600" t="str">
        <f t="shared" ca="1" si="315"/>
        <v>Sportswear</v>
      </c>
      <c r="F1600">
        <f t="shared" ca="1" si="316"/>
        <v>3343</v>
      </c>
      <c r="G1600">
        <f t="shared" ca="1" si="317"/>
        <v>25</v>
      </c>
      <c r="H1600">
        <f t="shared" ca="1" si="318"/>
        <v>2507.25</v>
      </c>
      <c r="I1600">
        <f t="shared" ca="1" si="319"/>
        <v>1</v>
      </c>
      <c r="J1600">
        <f t="shared" ca="1" si="320"/>
        <v>1</v>
      </c>
      <c r="K1600">
        <f t="shared" ca="1" si="321"/>
        <v>0</v>
      </c>
      <c r="L1600">
        <f t="shared" ca="1" si="322"/>
        <v>0</v>
      </c>
      <c r="M1600">
        <f t="shared" ca="1" si="323"/>
        <v>2</v>
      </c>
      <c r="N1600">
        <f t="shared" ca="1" si="324"/>
        <v>0</v>
      </c>
    </row>
    <row r="1601" spans="1:14" x14ac:dyDescent="0.35">
      <c r="A1601" t="s">
        <v>1618</v>
      </c>
      <c r="B1601" t="str">
        <f t="shared" si="312"/>
        <v>Test</v>
      </c>
      <c r="C1601">
        <f t="shared" ca="1" si="313"/>
        <v>44</v>
      </c>
      <c r="D1601" t="str">
        <f t="shared" ca="1" si="314"/>
        <v>Female</v>
      </c>
      <c r="E1601" t="str">
        <f t="shared" ca="1" si="315"/>
        <v>Ethnic Wear</v>
      </c>
      <c r="F1601">
        <f t="shared" ca="1" si="316"/>
        <v>5416</v>
      </c>
      <c r="G1601">
        <f t="shared" ca="1" si="317"/>
        <v>15</v>
      </c>
      <c r="H1601">
        <f t="shared" ca="1" si="318"/>
        <v>4603.5999999999995</v>
      </c>
      <c r="I1601">
        <f t="shared" ca="1" si="319"/>
        <v>1</v>
      </c>
      <c r="J1601">
        <f t="shared" ca="1" si="320"/>
        <v>1</v>
      </c>
      <c r="K1601">
        <f t="shared" ca="1" si="321"/>
        <v>0</v>
      </c>
      <c r="L1601">
        <f t="shared" ca="1" si="322"/>
        <v>0</v>
      </c>
      <c r="M1601">
        <f t="shared" ca="1" si="323"/>
        <v>6</v>
      </c>
      <c r="N1601">
        <f t="shared" ca="1" si="324"/>
        <v>0</v>
      </c>
    </row>
    <row r="1602" spans="1:14" x14ac:dyDescent="0.35">
      <c r="A1602" t="s">
        <v>1619</v>
      </c>
      <c r="B1602" t="str">
        <f t="shared" si="312"/>
        <v>Test</v>
      </c>
      <c r="C1602">
        <f t="shared" ca="1" si="313"/>
        <v>32</v>
      </c>
      <c r="D1602" t="str">
        <f t="shared" ca="1" si="314"/>
        <v>Female</v>
      </c>
      <c r="E1602" t="str">
        <f t="shared" ca="1" si="315"/>
        <v>Jeans</v>
      </c>
      <c r="F1602">
        <f t="shared" ca="1" si="316"/>
        <v>887</v>
      </c>
      <c r="G1602">
        <f t="shared" ca="1" si="317"/>
        <v>20</v>
      </c>
      <c r="H1602">
        <f t="shared" ca="1" si="318"/>
        <v>709.6</v>
      </c>
      <c r="I1602">
        <f t="shared" ca="1" si="319"/>
        <v>1</v>
      </c>
      <c r="J1602">
        <f t="shared" ca="1" si="320"/>
        <v>1</v>
      </c>
      <c r="K1602">
        <f t="shared" ca="1" si="321"/>
        <v>0</v>
      </c>
      <c r="L1602">
        <f t="shared" ca="1" si="322"/>
        <v>0</v>
      </c>
      <c r="M1602">
        <f t="shared" ca="1" si="323"/>
        <v>5</v>
      </c>
      <c r="N1602">
        <f t="shared" ca="1" si="324"/>
        <v>0</v>
      </c>
    </row>
    <row r="1603" spans="1:14" x14ac:dyDescent="0.35">
      <c r="A1603" t="s">
        <v>1620</v>
      </c>
      <c r="B1603" t="str">
        <f t="shared" si="312"/>
        <v>Test</v>
      </c>
      <c r="C1603">
        <f t="shared" ca="1" si="313"/>
        <v>36</v>
      </c>
      <c r="D1603" t="str">
        <f t="shared" ca="1" si="314"/>
        <v>Male</v>
      </c>
      <c r="E1603" t="str">
        <f t="shared" ca="1" si="315"/>
        <v>Sportswear</v>
      </c>
      <c r="F1603">
        <f t="shared" ca="1" si="316"/>
        <v>5528</v>
      </c>
      <c r="G1603">
        <f t="shared" ca="1" si="317"/>
        <v>25</v>
      </c>
      <c r="H1603">
        <f t="shared" ca="1" si="318"/>
        <v>4146</v>
      </c>
      <c r="I1603">
        <f t="shared" ca="1" si="319"/>
        <v>1</v>
      </c>
      <c r="J1603">
        <f t="shared" ca="1" si="320"/>
        <v>0</v>
      </c>
      <c r="K1603">
        <f t="shared" ca="1" si="321"/>
        <v>0</v>
      </c>
      <c r="L1603">
        <f t="shared" ca="1" si="322"/>
        <v>0</v>
      </c>
      <c r="M1603">
        <f t="shared" ca="1" si="323"/>
        <v>2</v>
      </c>
      <c r="N1603">
        <f t="shared" ca="1" si="324"/>
        <v>0</v>
      </c>
    </row>
    <row r="1604" spans="1:14" x14ac:dyDescent="0.35">
      <c r="A1604" t="s">
        <v>1621</v>
      </c>
      <c r="B1604" t="str">
        <f t="shared" si="312"/>
        <v>Test</v>
      </c>
      <c r="C1604">
        <f t="shared" ca="1" si="313"/>
        <v>42</v>
      </c>
      <c r="D1604" t="str">
        <f t="shared" ca="1" si="314"/>
        <v>Other</v>
      </c>
      <c r="E1604" t="str">
        <f t="shared" ca="1" si="315"/>
        <v>Sportswear</v>
      </c>
      <c r="F1604">
        <f t="shared" ca="1" si="316"/>
        <v>1735</v>
      </c>
      <c r="G1604">
        <f t="shared" ca="1" si="317"/>
        <v>20</v>
      </c>
      <c r="H1604">
        <f t="shared" ca="1" si="318"/>
        <v>1388</v>
      </c>
      <c r="I1604">
        <f t="shared" ca="1" si="319"/>
        <v>1</v>
      </c>
      <c r="J1604">
        <f t="shared" ca="1" si="320"/>
        <v>1</v>
      </c>
      <c r="K1604">
        <f t="shared" ca="1" si="321"/>
        <v>0</v>
      </c>
      <c r="L1604">
        <f t="shared" ca="1" si="322"/>
        <v>0</v>
      </c>
      <c r="M1604">
        <f t="shared" ca="1" si="323"/>
        <v>2</v>
      </c>
      <c r="N1604">
        <f t="shared" ca="1" si="324"/>
        <v>0</v>
      </c>
    </row>
    <row r="1605" spans="1:14" x14ac:dyDescent="0.35">
      <c r="A1605" t="s">
        <v>1622</v>
      </c>
      <c r="B1605" t="str">
        <f t="shared" ref="B1605:B1668" si="325">IF(ROW()&lt;=1001,"Control","Test")</f>
        <v>Test</v>
      </c>
      <c r="C1605">
        <f t="shared" ref="C1605:C1668" ca="1" si="326">RANDBETWEEN(18,45)</f>
        <v>28</v>
      </c>
      <c r="D1605" t="str">
        <f t="shared" ref="D1605:D1668" ca="1" si="327">CHOOSE(RANDBETWEEN(1,20),"Female","Female","Female","Female","Female","Female","Female","Female","Female","Female","Male","Male","Male","Male","Male","Male","Male","Male","Other","Other")</f>
        <v>Female</v>
      </c>
      <c r="E1605" t="str">
        <f t="shared" ref="E1605:E1668" ca="1" si="328">CHOOSE(RANDBETWEEN(1,8),"T-shirts","Dresses","Jeans","Shoes","Ethnic Wear","Tops","Sportswear","Accessories")</f>
        <v>Sportswear</v>
      </c>
      <c r="F1605">
        <f t="shared" ref="F1605:F1668" ca="1" si="329">RANDBETWEEN(300,8000)</f>
        <v>3004</v>
      </c>
      <c r="G1605">
        <f t="shared" ref="G1605:G1668" ca="1" si="330">IF(B1605="Control",10,CHOOSE(RANDBETWEEN(1,3),15,20,25))</f>
        <v>20</v>
      </c>
      <c r="H1605">
        <f t="shared" ref="H1605:H1668" ca="1" si="331">F1605*(1-G1605/100)</f>
        <v>2403.2000000000003</v>
      </c>
      <c r="I1605">
        <f t="shared" ref="I1605:I1668" ca="1" si="332">IF(RAND()&lt;0.85,1,0)</f>
        <v>1</v>
      </c>
      <c r="J1605">
        <f t="shared" ref="J1605:J1668" ca="1" si="333">IF(I1605=1,IF(RAND()&lt;0.55,1,0),0)</f>
        <v>1</v>
      </c>
      <c r="K1605">
        <f t="shared" ref="K1605:K1668" ca="1" si="334">IF(J1605=1,IF(B1605="Test",IF(RAND()&lt;0.4,1,0),IF(RAND()&lt;0.34,1,0)),0)</f>
        <v>0</v>
      </c>
      <c r="L1605">
        <f t="shared" ref="L1605:L1668" ca="1" si="335">IF(K1605=1,H1605,0)</f>
        <v>0</v>
      </c>
      <c r="M1605">
        <f t="shared" ref="M1605:M1668" ca="1" si="336">RANDBETWEEN(1,7)</f>
        <v>5</v>
      </c>
      <c r="N1605">
        <f t="shared" ref="N1605:N1668" ca="1" si="337">IF(K1605=1,IF(RAND()&lt;0.15,1,0),0)</f>
        <v>0</v>
      </c>
    </row>
    <row r="1606" spans="1:14" x14ac:dyDescent="0.35">
      <c r="A1606" t="s">
        <v>1623</v>
      </c>
      <c r="B1606" t="str">
        <f t="shared" si="325"/>
        <v>Test</v>
      </c>
      <c r="C1606">
        <f t="shared" ca="1" si="326"/>
        <v>37</v>
      </c>
      <c r="D1606" t="str">
        <f t="shared" ca="1" si="327"/>
        <v>Female</v>
      </c>
      <c r="E1606" t="str">
        <f t="shared" ca="1" si="328"/>
        <v>Jeans</v>
      </c>
      <c r="F1606">
        <f t="shared" ca="1" si="329"/>
        <v>2266</v>
      </c>
      <c r="G1606">
        <f t="shared" ca="1" si="330"/>
        <v>15</v>
      </c>
      <c r="H1606">
        <f t="shared" ca="1" si="331"/>
        <v>1926.1</v>
      </c>
      <c r="I1606">
        <f t="shared" ca="1" si="332"/>
        <v>1</v>
      </c>
      <c r="J1606">
        <f t="shared" ca="1" si="333"/>
        <v>1</v>
      </c>
      <c r="K1606">
        <f t="shared" ca="1" si="334"/>
        <v>1</v>
      </c>
      <c r="L1606">
        <f t="shared" ca="1" si="335"/>
        <v>1926.1</v>
      </c>
      <c r="M1606">
        <f t="shared" ca="1" si="336"/>
        <v>3</v>
      </c>
      <c r="N1606">
        <f t="shared" ca="1" si="337"/>
        <v>0</v>
      </c>
    </row>
    <row r="1607" spans="1:14" x14ac:dyDescent="0.35">
      <c r="A1607" t="s">
        <v>1624</v>
      </c>
      <c r="B1607" t="str">
        <f t="shared" si="325"/>
        <v>Test</v>
      </c>
      <c r="C1607">
        <f t="shared" ca="1" si="326"/>
        <v>44</v>
      </c>
      <c r="D1607" t="str">
        <f t="shared" ca="1" si="327"/>
        <v>Male</v>
      </c>
      <c r="E1607" t="str">
        <f t="shared" ca="1" si="328"/>
        <v>Tops</v>
      </c>
      <c r="F1607">
        <f t="shared" ca="1" si="329"/>
        <v>6151</v>
      </c>
      <c r="G1607">
        <f t="shared" ca="1" si="330"/>
        <v>20</v>
      </c>
      <c r="H1607">
        <f t="shared" ca="1" si="331"/>
        <v>4920.8</v>
      </c>
      <c r="I1607">
        <f t="shared" ca="1" si="332"/>
        <v>1</v>
      </c>
      <c r="J1607">
        <f t="shared" ca="1" si="333"/>
        <v>1</v>
      </c>
      <c r="K1607">
        <f t="shared" ca="1" si="334"/>
        <v>0</v>
      </c>
      <c r="L1607">
        <f t="shared" ca="1" si="335"/>
        <v>0</v>
      </c>
      <c r="M1607">
        <f t="shared" ca="1" si="336"/>
        <v>6</v>
      </c>
      <c r="N1607">
        <f t="shared" ca="1" si="337"/>
        <v>0</v>
      </c>
    </row>
    <row r="1608" spans="1:14" x14ac:dyDescent="0.35">
      <c r="A1608" t="s">
        <v>1625</v>
      </c>
      <c r="B1608" t="str">
        <f t="shared" si="325"/>
        <v>Test</v>
      </c>
      <c r="C1608">
        <f t="shared" ca="1" si="326"/>
        <v>23</v>
      </c>
      <c r="D1608" t="str">
        <f t="shared" ca="1" si="327"/>
        <v>Male</v>
      </c>
      <c r="E1608" t="str">
        <f t="shared" ca="1" si="328"/>
        <v>T-shirts</v>
      </c>
      <c r="F1608">
        <f t="shared" ca="1" si="329"/>
        <v>3888</v>
      </c>
      <c r="G1608">
        <f t="shared" ca="1" si="330"/>
        <v>20</v>
      </c>
      <c r="H1608">
        <f t="shared" ca="1" si="331"/>
        <v>3110.4</v>
      </c>
      <c r="I1608">
        <f t="shared" ca="1" si="332"/>
        <v>0</v>
      </c>
      <c r="J1608">
        <f t="shared" ca="1" si="333"/>
        <v>0</v>
      </c>
      <c r="K1608">
        <f t="shared" ca="1" si="334"/>
        <v>0</v>
      </c>
      <c r="L1608">
        <f t="shared" ca="1" si="335"/>
        <v>0</v>
      </c>
      <c r="M1608">
        <f t="shared" ca="1" si="336"/>
        <v>5</v>
      </c>
      <c r="N1608">
        <f t="shared" ca="1" si="337"/>
        <v>0</v>
      </c>
    </row>
    <row r="1609" spans="1:14" x14ac:dyDescent="0.35">
      <c r="A1609" t="s">
        <v>1626</v>
      </c>
      <c r="B1609" t="str">
        <f t="shared" si="325"/>
        <v>Test</v>
      </c>
      <c r="C1609">
        <f t="shared" ca="1" si="326"/>
        <v>44</v>
      </c>
      <c r="D1609" t="str">
        <f t="shared" ca="1" si="327"/>
        <v>Other</v>
      </c>
      <c r="E1609" t="str">
        <f t="shared" ca="1" si="328"/>
        <v>T-shirts</v>
      </c>
      <c r="F1609">
        <f t="shared" ca="1" si="329"/>
        <v>2531</v>
      </c>
      <c r="G1609">
        <f t="shared" ca="1" si="330"/>
        <v>20</v>
      </c>
      <c r="H1609">
        <f t="shared" ca="1" si="331"/>
        <v>2024.8000000000002</v>
      </c>
      <c r="I1609">
        <f t="shared" ca="1" si="332"/>
        <v>1</v>
      </c>
      <c r="J1609">
        <f t="shared" ca="1" si="333"/>
        <v>1</v>
      </c>
      <c r="K1609">
        <f t="shared" ca="1" si="334"/>
        <v>0</v>
      </c>
      <c r="L1609">
        <f t="shared" ca="1" si="335"/>
        <v>0</v>
      </c>
      <c r="M1609">
        <f t="shared" ca="1" si="336"/>
        <v>2</v>
      </c>
      <c r="N1609">
        <f t="shared" ca="1" si="337"/>
        <v>0</v>
      </c>
    </row>
    <row r="1610" spans="1:14" x14ac:dyDescent="0.35">
      <c r="A1610" t="s">
        <v>1627</v>
      </c>
      <c r="B1610" t="str">
        <f t="shared" si="325"/>
        <v>Test</v>
      </c>
      <c r="C1610">
        <f t="shared" ca="1" si="326"/>
        <v>32</v>
      </c>
      <c r="D1610" t="str">
        <f t="shared" ca="1" si="327"/>
        <v>Male</v>
      </c>
      <c r="E1610" t="str">
        <f t="shared" ca="1" si="328"/>
        <v>Jeans</v>
      </c>
      <c r="F1610">
        <f t="shared" ca="1" si="329"/>
        <v>2607</v>
      </c>
      <c r="G1610">
        <f t="shared" ca="1" si="330"/>
        <v>15</v>
      </c>
      <c r="H1610">
        <f t="shared" ca="1" si="331"/>
        <v>2215.9499999999998</v>
      </c>
      <c r="I1610">
        <f t="shared" ca="1" si="332"/>
        <v>1</v>
      </c>
      <c r="J1610">
        <f t="shared" ca="1" si="333"/>
        <v>1</v>
      </c>
      <c r="K1610">
        <f t="shared" ca="1" si="334"/>
        <v>0</v>
      </c>
      <c r="L1610">
        <f t="shared" ca="1" si="335"/>
        <v>0</v>
      </c>
      <c r="M1610">
        <f t="shared" ca="1" si="336"/>
        <v>4</v>
      </c>
      <c r="N1610">
        <f t="shared" ca="1" si="337"/>
        <v>0</v>
      </c>
    </row>
    <row r="1611" spans="1:14" x14ac:dyDescent="0.35">
      <c r="A1611" t="s">
        <v>1628</v>
      </c>
      <c r="B1611" t="str">
        <f t="shared" si="325"/>
        <v>Test</v>
      </c>
      <c r="C1611">
        <f t="shared" ca="1" si="326"/>
        <v>27</v>
      </c>
      <c r="D1611" t="str">
        <f t="shared" ca="1" si="327"/>
        <v>Female</v>
      </c>
      <c r="E1611" t="str">
        <f t="shared" ca="1" si="328"/>
        <v>Dresses</v>
      </c>
      <c r="F1611">
        <f t="shared" ca="1" si="329"/>
        <v>3907</v>
      </c>
      <c r="G1611">
        <f t="shared" ca="1" si="330"/>
        <v>20</v>
      </c>
      <c r="H1611">
        <f t="shared" ca="1" si="331"/>
        <v>3125.6000000000004</v>
      </c>
      <c r="I1611">
        <f t="shared" ca="1" si="332"/>
        <v>1</v>
      </c>
      <c r="J1611">
        <f t="shared" ca="1" si="333"/>
        <v>1</v>
      </c>
      <c r="K1611">
        <f t="shared" ca="1" si="334"/>
        <v>0</v>
      </c>
      <c r="L1611">
        <f t="shared" ca="1" si="335"/>
        <v>0</v>
      </c>
      <c r="M1611">
        <f t="shared" ca="1" si="336"/>
        <v>5</v>
      </c>
      <c r="N1611">
        <f t="shared" ca="1" si="337"/>
        <v>0</v>
      </c>
    </row>
    <row r="1612" spans="1:14" x14ac:dyDescent="0.35">
      <c r="A1612" t="s">
        <v>1629</v>
      </c>
      <c r="B1612" t="str">
        <f t="shared" si="325"/>
        <v>Test</v>
      </c>
      <c r="C1612">
        <f t="shared" ca="1" si="326"/>
        <v>18</v>
      </c>
      <c r="D1612" t="str">
        <f t="shared" ca="1" si="327"/>
        <v>Male</v>
      </c>
      <c r="E1612" t="str">
        <f t="shared" ca="1" si="328"/>
        <v>Accessories</v>
      </c>
      <c r="F1612">
        <f t="shared" ca="1" si="329"/>
        <v>7714</v>
      </c>
      <c r="G1612">
        <f t="shared" ca="1" si="330"/>
        <v>15</v>
      </c>
      <c r="H1612">
        <f t="shared" ca="1" si="331"/>
        <v>6556.9</v>
      </c>
      <c r="I1612">
        <f t="shared" ca="1" si="332"/>
        <v>1</v>
      </c>
      <c r="J1612">
        <f t="shared" ca="1" si="333"/>
        <v>1</v>
      </c>
      <c r="K1612">
        <f t="shared" ca="1" si="334"/>
        <v>1</v>
      </c>
      <c r="L1612">
        <f t="shared" ca="1" si="335"/>
        <v>6556.9</v>
      </c>
      <c r="M1612">
        <f t="shared" ca="1" si="336"/>
        <v>3</v>
      </c>
      <c r="N1612">
        <f t="shared" ca="1" si="337"/>
        <v>0</v>
      </c>
    </row>
    <row r="1613" spans="1:14" x14ac:dyDescent="0.35">
      <c r="A1613" t="s">
        <v>1630</v>
      </c>
      <c r="B1613" t="str">
        <f t="shared" si="325"/>
        <v>Test</v>
      </c>
      <c r="C1613">
        <f t="shared" ca="1" si="326"/>
        <v>34</v>
      </c>
      <c r="D1613" t="str">
        <f t="shared" ca="1" si="327"/>
        <v>Male</v>
      </c>
      <c r="E1613" t="str">
        <f t="shared" ca="1" si="328"/>
        <v>Accessories</v>
      </c>
      <c r="F1613">
        <f t="shared" ca="1" si="329"/>
        <v>4446</v>
      </c>
      <c r="G1613">
        <f t="shared" ca="1" si="330"/>
        <v>25</v>
      </c>
      <c r="H1613">
        <f t="shared" ca="1" si="331"/>
        <v>3334.5</v>
      </c>
      <c r="I1613">
        <f t="shared" ca="1" si="332"/>
        <v>1</v>
      </c>
      <c r="J1613">
        <f t="shared" ca="1" si="333"/>
        <v>1</v>
      </c>
      <c r="K1613">
        <f t="shared" ca="1" si="334"/>
        <v>0</v>
      </c>
      <c r="L1613">
        <f t="shared" ca="1" si="335"/>
        <v>0</v>
      </c>
      <c r="M1613">
        <f t="shared" ca="1" si="336"/>
        <v>4</v>
      </c>
      <c r="N1613">
        <f t="shared" ca="1" si="337"/>
        <v>0</v>
      </c>
    </row>
    <row r="1614" spans="1:14" x14ac:dyDescent="0.35">
      <c r="A1614" t="s">
        <v>1631</v>
      </c>
      <c r="B1614" t="str">
        <f t="shared" si="325"/>
        <v>Test</v>
      </c>
      <c r="C1614">
        <f t="shared" ca="1" si="326"/>
        <v>31</v>
      </c>
      <c r="D1614" t="str">
        <f t="shared" ca="1" si="327"/>
        <v>Male</v>
      </c>
      <c r="E1614" t="str">
        <f t="shared" ca="1" si="328"/>
        <v>Jeans</v>
      </c>
      <c r="F1614">
        <f t="shared" ca="1" si="329"/>
        <v>5194</v>
      </c>
      <c r="G1614">
        <f t="shared" ca="1" si="330"/>
        <v>25</v>
      </c>
      <c r="H1614">
        <f t="shared" ca="1" si="331"/>
        <v>3895.5</v>
      </c>
      <c r="I1614">
        <f t="shared" ca="1" si="332"/>
        <v>1</v>
      </c>
      <c r="J1614">
        <f t="shared" ca="1" si="333"/>
        <v>1</v>
      </c>
      <c r="K1614">
        <f t="shared" ca="1" si="334"/>
        <v>0</v>
      </c>
      <c r="L1614">
        <f t="shared" ca="1" si="335"/>
        <v>0</v>
      </c>
      <c r="M1614">
        <f t="shared" ca="1" si="336"/>
        <v>2</v>
      </c>
      <c r="N1614">
        <f t="shared" ca="1" si="337"/>
        <v>0</v>
      </c>
    </row>
    <row r="1615" spans="1:14" x14ac:dyDescent="0.35">
      <c r="A1615" t="s">
        <v>1632</v>
      </c>
      <c r="B1615" t="str">
        <f t="shared" si="325"/>
        <v>Test</v>
      </c>
      <c r="C1615">
        <f t="shared" ca="1" si="326"/>
        <v>45</v>
      </c>
      <c r="D1615" t="str">
        <f t="shared" ca="1" si="327"/>
        <v>Female</v>
      </c>
      <c r="E1615" t="str">
        <f t="shared" ca="1" si="328"/>
        <v>Jeans</v>
      </c>
      <c r="F1615">
        <f t="shared" ca="1" si="329"/>
        <v>7852</v>
      </c>
      <c r="G1615">
        <f t="shared" ca="1" si="330"/>
        <v>15</v>
      </c>
      <c r="H1615">
        <f t="shared" ca="1" si="331"/>
        <v>6674.2</v>
      </c>
      <c r="I1615">
        <f t="shared" ca="1" si="332"/>
        <v>1</v>
      </c>
      <c r="J1615">
        <f t="shared" ca="1" si="333"/>
        <v>1</v>
      </c>
      <c r="K1615">
        <f t="shared" ca="1" si="334"/>
        <v>0</v>
      </c>
      <c r="L1615">
        <f t="shared" ca="1" si="335"/>
        <v>0</v>
      </c>
      <c r="M1615">
        <f t="shared" ca="1" si="336"/>
        <v>4</v>
      </c>
      <c r="N1615">
        <f t="shared" ca="1" si="337"/>
        <v>0</v>
      </c>
    </row>
    <row r="1616" spans="1:14" x14ac:dyDescent="0.35">
      <c r="A1616" t="s">
        <v>1633</v>
      </c>
      <c r="B1616" t="str">
        <f t="shared" si="325"/>
        <v>Test</v>
      </c>
      <c r="C1616">
        <f t="shared" ca="1" si="326"/>
        <v>33</v>
      </c>
      <c r="D1616" t="str">
        <f t="shared" ca="1" si="327"/>
        <v>Female</v>
      </c>
      <c r="E1616" t="str">
        <f t="shared" ca="1" si="328"/>
        <v>Dresses</v>
      </c>
      <c r="F1616">
        <f t="shared" ca="1" si="329"/>
        <v>3526</v>
      </c>
      <c r="G1616">
        <f t="shared" ca="1" si="330"/>
        <v>20</v>
      </c>
      <c r="H1616">
        <f t="shared" ca="1" si="331"/>
        <v>2820.8</v>
      </c>
      <c r="I1616">
        <f t="shared" ca="1" si="332"/>
        <v>0</v>
      </c>
      <c r="J1616">
        <f t="shared" ca="1" si="333"/>
        <v>0</v>
      </c>
      <c r="K1616">
        <f t="shared" ca="1" si="334"/>
        <v>0</v>
      </c>
      <c r="L1616">
        <f t="shared" ca="1" si="335"/>
        <v>0</v>
      </c>
      <c r="M1616">
        <f t="shared" ca="1" si="336"/>
        <v>7</v>
      </c>
      <c r="N1616">
        <f t="shared" ca="1" si="337"/>
        <v>0</v>
      </c>
    </row>
    <row r="1617" spans="1:14" x14ac:dyDescent="0.35">
      <c r="A1617" t="s">
        <v>1634</v>
      </c>
      <c r="B1617" t="str">
        <f t="shared" si="325"/>
        <v>Test</v>
      </c>
      <c r="C1617">
        <f t="shared" ca="1" si="326"/>
        <v>31</v>
      </c>
      <c r="D1617" t="str">
        <f t="shared" ca="1" si="327"/>
        <v>Female</v>
      </c>
      <c r="E1617" t="str">
        <f t="shared" ca="1" si="328"/>
        <v>Tops</v>
      </c>
      <c r="F1617">
        <f t="shared" ca="1" si="329"/>
        <v>7803</v>
      </c>
      <c r="G1617">
        <f t="shared" ca="1" si="330"/>
        <v>15</v>
      </c>
      <c r="H1617">
        <f t="shared" ca="1" si="331"/>
        <v>6632.55</v>
      </c>
      <c r="I1617">
        <f t="shared" ca="1" si="332"/>
        <v>0</v>
      </c>
      <c r="J1617">
        <f t="shared" ca="1" si="333"/>
        <v>0</v>
      </c>
      <c r="K1617">
        <f t="shared" ca="1" si="334"/>
        <v>0</v>
      </c>
      <c r="L1617">
        <f t="shared" ca="1" si="335"/>
        <v>0</v>
      </c>
      <c r="M1617">
        <f t="shared" ca="1" si="336"/>
        <v>6</v>
      </c>
      <c r="N1617">
        <f t="shared" ca="1" si="337"/>
        <v>0</v>
      </c>
    </row>
    <row r="1618" spans="1:14" x14ac:dyDescent="0.35">
      <c r="A1618" t="s">
        <v>1635</v>
      </c>
      <c r="B1618" t="str">
        <f t="shared" si="325"/>
        <v>Test</v>
      </c>
      <c r="C1618">
        <f t="shared" ca="1" si="326"/>
        <v>18</v>
      </c>
      <c r="D1618" t="str">
        <f t="shared" ca="1" si="327"/>
        <v>Female</v>
      </c>
      <c r="E1618" t="str">
        <f t="shared" ca="1" si="328"/>
        <v>T-shirts</v>
      </c>
      <c r="F1618">
        <f t="shared" ca="1" si="329"/>
        <v>4040</v>
      </c>
      <c r="G1618">
        <f t="shared" ca="1" si="330"/>
        <v>20</v>
      </c>
      <c r="H1618">
        <f t="shared" ca="1" si="331"/>
        <v>3232</v>
      </c>
      <c r="I1618">
        <f t="shared" ca="1" si="332"/>
        <v>1</v>
      </c>
      <c r="J1618">
        <f t="shared" ca="1" si="333"/>
        <v>1</v>
      </c>
      <c r="K1618">
        <f t="shared" ca="1" si="334"/>
        <v>0</v>
      </c>
      <c r="L1618">
        <f t="shared" ca="1" si="335"/>
        <v>0</v>
      </c>
      <c r="M1618">
        <f t="shared" ca="1" si="336"/>
        <v>2</v>
      </c>
      <c r="N1618">
        <f t="shared" ca="1" si="337"/>
        <v>0</v>
      </c>
    </row>
    <row r="1619" spans="1:14" x14ac:dyDescent="0.35">
      <c r="A1619" t="s">
        <v>1636</v>
      </c>
      <c r="B1619" t="str">
        <f t="shared" si="325"/>
        <v>Test</v>
      </c>
      <c r="C1619">
        <f t="shared" ca="1" si="326"/>
        <v>40</v>
      </c>
      <c r="D1619" t="str">
        <f t="shared" ca="1" si="327"/>
        <v>Female</v>
      </c>
      <c r="E1619" t="str">
        <f t="shared" ca="1" si="328"/>
        <v>Shoes</v>
      </c>
      <c r="F1619">
        <f t="shared" ca="1" si="329"/>
        <v>1123</v>
      </c>
      <c r="G1619">
        <f t="shared" ca="1" si="330"/>
        <v>20</v>
      </c>
      <c r="H1619">
        <f t="shared" ca="1" si="331"/>
        <v>898.40000000000009</v>
      </c>
      <c r="I1619">
        <f t="shared" ca="1" si="332"/>
        <v>1</v>
      </c>
      <c r="J1619">
        <f t="shared" ca="1" si="333"/>
        <v>1</v>
      </c>
      <c r="K1619">
        <f t="shared" ca="1" si="334"/>
        <v>0</v>
      </c>
      <c r="L1619">
        <f t="shared" ca="1" si="335"/>
        <v>0</v>
      </c>
      <c r="M1619">
        <f t="shared" ca="1" si="336"/>
        <v>3</v>
      </c>
      <c r="N1619">
        <f t="shared" ca="1" si="337"/>
        <v>0</v>
      </c>
    </row>
    <row r="1620" spans="1:14" x14ac:dyDescent="0.35">
      <c r="A1620" t="s">
        <v>1637</v>
      </c>
      <c r="B1620" t="str">
        <f t="shared" si="325"/>
        <v>Test</v>
      </c>
      <c r="C1620">
        <f t="shared" ca="1" si="326"/>
        <v>38</v>
      </c>
      <c r="D1620" t="str">
        <f t="shared" ca="1" si="327"/>
        <v>Male</v>
      </c>
      <c r="E1620" t="str">
        <f t="shared" ca="1" si="328"/>
        <v>Jeans</v>
      </c>
      <c r="F1620">
        <f t="shared" ca="1" si="329"/>
        <v>6978</v>
      </c>
      <c r="G1620">
        <f t="shared" ca="1" si="330"/>
        <v>25</v>
      </c>
      <c r="H1620">
        <f t="shared" ca="1" si="331"/>
        <v>5233.5</v>
      </c>
      <c r="I1620">
        <f t="shared" ca="1" si="332"/>
        <v>1</v>
      </c>
      <c r="J1620">
        <f t="shared" ca="1" si="333"/>
        <v>1</v>
      </c>
      <c r="K1620">
        <f t="shared" ca="1" si="334"/>
        <v>1</v>
      </c>
      <c r="L1620">
        <f t="shared" ca="1" si="335"/>
        <v>5233.5</v>
      </c>
      <c r="M1620">
        <f t="shared" ca="1" si="336"/>
        <v>6</v>
      </c>
      <c r="N1620">
        <f t="shared" ca="1" si="337"/>
        <v>0</v>
      </c>
    </row>
    <row r="1621" spans="1:14" x14ac:dyDescent="0.35">
      <c r="A1621" t="s">
        <v>1638</v>
      </c>
      <c r="B1621" t="str">
        <f t="shared" si="325"/>
        <v>Test</v>
      </c>
      <c r="C1621">
        <f t="shared" ca="1" si="326"/>
        <v>38</v>
      </c>
      <c r="D1621" t="str">
        <f t="shared" ca="1" si="327"/>
        <v>Female</v>
      </c>
      <c r="E1621" t="str">
        <f t="shared" ca="1" si="328"/>
        <v>Accessories</v>
      </c>
      <c r="F1621">
        <f t="shared" ca="1" si="329"/>
        <v>5999</v>
      </c>
      <c r="G1621">
        <f t="shared" ca="1" si="330"/>
        <v>25</v>
      </c>
      <c r="H1621">
        <f t="shared" ca="1" si="331"/>
        <v>4499.25</v>
      </c>
      <c r="I1621">
        <f t="shared" ca="1" si="332"/>
        <v>1</v>
      </c>
      <c r="J1621">
        <f t="shared" ca="1" si="333"/>
        <v>0</v>
      </c>
      <c r="K1621">
        <f t="shared" ca="1" si="334"/>
        <v>0</v>
      </c>
      <c r="L1621">
        <f t="shared" ca="1" si="335"/>
        <v>0</v>
      </c>
      <c r="M1621">
        <f t="shared" ca="1" si="336"/>
        <v>4</v>
      </c>
      <c r="N1621">
        <f t="shared" ca="1" si="337"/>
        <v>0</v>
      </c>
    </row>
    <row r="1622" spans="1:14" x14ac:dyDescent="0.35">
      <c r="A1622" t="s">
        <v>1639</v>
      </c>
      <c r="B1622" t="str">
        <f t="shared" si="325"/>
        <v>Test</v>
      </c>
      <c r="C1622">
        <f t="shared" ca="1" si="326"/>
        <v>25</v>
      </c>
      <c r="D1622" t="str">
        <f t="shared" ca="1" si="327"/>
        <v>Female</v>
      </c>
      <c r="E1622" t="str">
        <f t="shared" ca="1" si="328"/>
        <v>Accessories</v>
      </c>
      <c r="F1622">
        <f t="shared" ca="1" si="329"/>
        <v>4282</v>
      </c>
      <c r="G1622">
        <f t="shared" ca="1" si="330"/>
        <v>15</v>
      </c>
      <c r="H1622">
        <f t="shared" ca="1" si="331"/>
        <v>3639.7</v>
      </c>
      <c r="I1622">
        <f t="shared" ca="1" si="332"/>
        <v>0</v>
      </c>
      <c r="J1622">
        <f t="shared" ca="1" si="333"/>
        <v>0</v>
      </c>
      <c r="K1622">
        <f t="shared" ca="1" si="334"/>
        <v>0</v>
      </c>
      <c r="L1622">
        <f t="shared" ca="1" si="335"/>
        <v>0</v>
      </c>
      <c r="M1622">
        <f t="shared" ca="1" si="336"/>
        <v>6</v>
      </c>
      <c r="N1622">
        <f t="shared" ca="1" si="337"/>
        <v>0</v>
      </c>
    </row>
    <row r="1623" spans="1:14" x14ac:dyDescent="0.35">
      <c r="A1623" t="s">
        <v>1640</v>
      </c>
      <c r="B1623" t="str">
        <f t="shared" si="325"/>
        <v>Test</v>
      </c>
      <c r="C1623">
        <f t="shared" ca="1" si="326"/>
        <v>19</v>
      </c>
      <c r="D1623" t="str">
        <f t="shared" ca="1" si="327"/>
        <v>Female</v>
      </c>
      <c r="E1623" t="str">
        <f t="shared" ca="1" si="328"/>
        <v>T-shirts</v>
      </c>
      <c r="F1623">
        <f t="shared" ca="1" si="329"/>
        <v>6089</v>
      </c>
      <c r="G1623">
        <f t="shared" ca="1" si="330"/>
        <v>20</v>
      </c>
      <c r="H1623">
        <f t="shared" ca="1" si="331"/>
        <v>4871.2</v>
      </c>
      <c r="I1623">
        <f t="shared" ca="1" si="332"/>
        <v>1</v>
      </c>
      <c r="J1623">
        <f t="shared" ca="1" si="333"/>
        <v>1</v>
      </c>
      <c r="K1623">
        <f t="shared" ca="1" si="334"/>
        <v>1</v>
      </c>
      <c r="L1623">
        <f t="shared" ca="1" si="335"/>
        <v>4871.2</v>
      </c>
      <c r="M1623">
        <f t="shared" ca="1" si="336"/>
        <v>1</v>
      </c>
      <c r="N1623">
        <f t="shared" ca="1" si="337"/>
        <v>0</v>
      </c>
    </row>
    <row r="1624" spans="1:14" x14ac:dyDescent="0.35">
      <c r="A1624" t="s">
        <v>1641</v>
      </c>
      <c r="B1624" t="str">
        <f t="shared" si="325"/>
        <v>Test</v>
      </c>
      <c r="C1624">
        <f t="shared" ca="1" si="326"/>
        <v>31</v>
      </c>
      <c r="D1624" t="str">
        <f t="shared" ca="1" si="327"/>
        <v>Female</v>
      </c>
      <c r="E1624" t="str">
        <f t="shared" ca="1" si="328"/>
        <v>Jeans</v>
      </c>
      <c r="F1624">
        <f t="shared" ca="1" si="329"/>
        <v>7971</v>
      </c>
      <c r="G1624">
        <f t="shared" ca="1" si="330"/>
        <v>15</v>
      </c>
      <c r="H1624">
        <f t="shared" ca="1" si="331"/>
        <v>6775.3499999999995</v>
      </c>
      <c r="I1624">
        <f t="shared" ca="1" si="332"/>
        <v>1</v>
      </c>
      <c r="J1624">
        <f t="shared" ca="1" si="333"/>
        <v>0</v>
      </c>
      <c r="K1624">
        <f t="shared" ca="1" si="334"/>
        <v>0</v>
      </c>
      <c r="L1624">
        <f t="shared" ca="1" si="335"/>
        <v>0</v>
      </c>
      <c r="M1624">
        <f t="shared" ca="1" si="336"/>
        <v>5</v>
      </c>
      <c r="N1624">
        <f t="shared" ca="1" si="337"/>
        <v>0</v>
      </c>
    </row>
    <row r="1625" spans="1:14" x14ac:dyDescent="0.35">
      <c r="A1625" t="s">
        <v>1642</v>
      </c>
      <c r="B1625" t="str">
        <f t="shared" si="325"/>
        <v>Test</v>
      </c>
      <c r="C1625">
        <f t="shared" ca="1" si="326"/>
        <v>29</v>
      </c>
      <c r="D1625" t="str">
        <f t="shared" ca="1" si="327"/>
        <v>Male</v>
      </c>
      <c r="E1625" t="str">
        <f t="shared" ca="1" si="328"/>
        <v>Sportswear</v>
      </c>
      <c r="F1625">
        <f t="shared" ca="1" si="329"/>
        <v>2223</v>
      </c>
      <c r="G1625">
        <f t="shared" ca="1" si="330"/>
        <v>20</v>
      </c>
      <c r="H1625">
        <f t="shared" ca="1" si="331"/>
        <v>1778.4</v>
      </c>
      <c r="I1625">
        <f t="shared" ca="1" si="332"/>
        <v>1</v>
      </c>
      <c r="J1625">
        <f t="shared" ca="1" si="333"/>
        <v>0</v>
      </c>
      <c r="K1625">
        <f t="shared" ca="1" si="334"/>
        <v>0</v>
      </c>
      <c r="L1625">
        <f t="shared" ca="1" si="335"/>
        <v>0</v>
      </c>
      <c r="M1625">
        <f t="shared" ca="1" si="336"/>
        <v>5</v>
      </c>
      <c r="N1625">
        <f t="shared" ca="1" si="337"/>
        <v>0</v>
      </c>
    </row>
    <row r="1626" spans="1:14" x14ac:dyDescent="0.35">
      <c r="A1626" t="s">
        <v>1643</v>
      </c>
      <c r="B1626" t="str">
        <f t="shared" si="325"/>
        <v>Test</v>
      </c>
      <c r="C1626">
        <f t="shared" ca="1" si="326"/>
        <v>41</v>
      </c>
      <c r="D1626" t="str">
        <f t="shared" ca="1" si="327"/>
        <v>Male</v>
      </c>
      <c r="E1626" t="str">
        <f t="shared" ca="1" si="328"/>
        <v>Tops</v>
      </c>
      <c r="F1626">
        <f t="shared" ca="1" si="329"/>
        <v>4117</v>
      </c>
      <c r="G1626">
        <f t="shared" ca="1" si="330"/>
        <v>20</v>
      </c>
      <c r="H1626">
        <f t="shared" ca="1" si="331"/>
        <v>3293.6000000000004</v>
      </c>
      <c r="I1626">
        <f t="shared" ca="1" si="332"/>
        <v>1</v>
      </c>
      <c r="J1626">
        <f t="shared" ca="1" si="333"/>
        <v>0</v>
      </c>
      <c r="K1626">
        <f t="shared" ca="1" si="334"/>
        <v>0</v>
      </c>
      <c r="L1626">
        <f t="shared" ca="1" si="335"/>
        <v>0</v>
      </c>
      <c r="M1626">
        <f t="shared" ca="1" si="336"/>
        <v>7</v>
      </c>
      <c r="N1626">
        <f t="shared" ca="1" si="337"/>
        <v>0</v>
      </c>
    </row>
    <row r="1627" spans="1:14" x14ac:dyDescent="0.35">
      <c r="A1627" t="s">
        <v>1644</v>
      </c>
      <c r="B1627" t="str">
        <f t="shared" si="325"/>
        <v>Test</v>
      </c>
      <c r="C1627">
        <f t="shared" ca="1" si="326"/>
        <v>30</v>
      </c>
      <c r="D1627" t="str">
        <f t="shared" ca="1" si="327"/>
        <v>Female</v>
      </c>
      <c r="E1627" t="str">
        <f t="shared" ca="1" si="328"/>
        <v>Shoes</v>
      </c>
      <c r="F1627">
        <f t="shared" ca="1" si="329"/>
        <v>3636</v>
      </c>
      <c r="G1627">
        <f t="shared" ca="1" si="330"/>
        <v>20</v>
      </c>
      <c r="H1627">
        <f t="shared" ca="1" si="331"/>
        <v>2908.8</v>
      </c>
      <c r="I1627">
        <f t="shared" ca="1" si="332"/>
        <v>1</v>
      </c>
      <c r="J1627">
        <f t="shared" ca="1" si="333"/>
        <v>1</v>
      </c>
      <c r="K1627">
        <f t="shared" ca="1" si="334"/>
        <v>0</v>
      </c>
      <c r="L1627">
        <f t="shared" ca="1" si="335"/>
        <v>0</v>
      </c>
      <c r="M1627">
        <f t="shared" ca="1" si="336"/>
        <v>3</v>
      </c>
      <c r="N1627">
        <f t="shared" ca="1" si="337"/>
        <v>0</v>
      </c>
    </row>
    <row r="1628" spans="1:14" x14ac:dyDescent="0.35">
      <c r="A1628" t="s">
        <v>1645</v>
      </c>
      <c r="B1628" t="str">
        <f t="shared" si="325"/>
        <v>Test</v>
      </c>
      <c r="C1628">
        <f t="shared" ca="1" si="326"/>
        <v>31</v>
      </c>
      <c r="D1628" t="str">
        <f t="shared" ca="1" si="327"/>
        <v>Female</v>
      </c>
      <c r="E1628" t="str">
        <f t="shared" ca="1" si="328"/>
        <v>Shoes</v>
      </c>
      <c r="F1628">
        <f t="shared" ca="1" si="329"/>
        <v>1724</v>
      </c>
      <c r="G1628">
        <f t="shared" ca="1" si="330"/>
        <v>15</v>
      </c>
      <c r="H1628">
        <f t="shared" ca="1" si="331"/>
        <v>1465.3999999999999</v>
      </c>
      <c r="I1628">
        <f t="shared" ca="1" si="332"/>
        <v>1</v>
      </c>
      <c r="J1628">
        <f t="shared" ca="1" si="333"/>
        <v>0</v>
      </c>
      <c r="K1628">
        <f t="shared" ca="1" si="334"/>
        <v>0</v>
      </c>
      <c r="L1628">
        <f t="shared" ca="1" si="335"/>
        <v>0</v>
      </c>
      <c r="M1628">
        <f t="shared" ca="1" si="336"/>
        <v>6</v>
      </c>
      <c r="N1628">
        <f t="shared" ca="1" si="337"/>
        <v>0</v>
      </c>
    </row>
    <row r="1629" spans="1:14" x14ac:dyDescent="0.35">
      <c r="A1629" t="s">
        <v>1646</v>
      </c>
      <c r="B1629" t="str">
        <f t="shared" si="325"/>
        <v>Test</v>
      </c>
      <c r="C1629">
        <f t="shared" ca="1" si="326"/>
        <v>24</v>
      </c>
      <c r="D1629" t="str">
        <f t="shared" ca="1" si="327"/>
        <v>Male</v>
      </c>
      <c r="E1629" t="str">
        <f t="shared" ca="1" si="328"/>
        <v>Tops</v>
      </c>
      <c r="F1629">
        <f t="shared" ca="1" si="329"/>
        <v>6452</v>
      </c>
      <c r="G1629">
        <f t="shared" ca="1" si="330"/>
        <v>25</v>
      </c>
      <c r="H1629">
        <f t="shared" ca="1" si="331"/>
        <v>4839</v>
      </c>
      <c r="I1629">
        <f t="shared" ca="1" si="332"/>
        <v>1</v>
      </c>
      <c r="J1629">
        <f t="shared" ca="1" si="333"/>
        <v>0</v>
      </c>
      <c r="K1629">
        <f t="shared" ca="1" si="334"/>
        <v>0</v>
      </c>
      <c r="L1629">
        <f t="shared" ca="1" si="335"/>
        <v>0</v>
      </c>
      <c r="M1629">
        <f t="shared" ca="1" si="336"/>
        <v>1</v>
      </c>
      <c r="N1629">
        <f t="shared" ca="1" si="337"/>
        <v>0</v>
      </c>
    </row>
    <row r="1630" spans="1:14" x14ac:dyDescent="0.35">
      <c r="A1630" t="s">
        <v>1647</v>
      </c>
      <c r="B1630" t="str">
        <f t="shared" si="325"/>
        <v>Test</v>
      </c>
      <c r="C1630">
        <f t="shared" ca="1" si="326"/>
        <v>28</v>
      </c>
      <c r="D1630" t="str">
        <f t="shared" ca="1" si="327"/>
        <v>Female</v>
      </c>
      <c r="E1630" t="str">
        <f t="shared" ca="1" si="328"/>
        <v>Shoes</v>
      </c>
      <c r="F1630">
        <f t="shared" ca="1" si="329"/>
        <v>7444</v>
      </c>
      <c r="G1630">
        <f t="shared" ca="1" si="330"/>
        <v>25</v>
      </c>
      <c r="H1630">
        <f t="shared" ca="1" si="331"/>
        <v>5583</v>
      </c>
      <c r="I1630">
        <f t="shared" ca="1" si="332"/>
        <v>1</v>
      </c>
      <c r="J1630">
        <f t="shared" ca="1" si="333"/>
        <v>0</v>
      </c>
      <c r="K1630">
        <f t="shared" ca="1" si="334"/>
        <v>0</v>
      </c>
      <c r="L1630">
        <f t="shared" ca="1" si="335"/>
        <v>0</v>
      </c>
      <c r="M1630">
        <f t="shared" ca="1" si="336"/>
        <v>5</v>
      </c>
      <c r="N1630">
        <f t="shared" ca="1" si="337"/>
        <v>0</v>
      </c>
    </row>
    <row r="1631" spans="1:14" x14ac:dyDescent="0.35">
      <c r="A1631" t="s">
        <v>1648</v>
      </c>
      <c r="B1631" t="str">
        <f t="shared" si="325"/>
        <v>Test</v>
      </c>
      <c r="C1631">
        <f t="shared" ca="1" si="326"/>
        <v>19</v>
      </c>
      <c r="D1631" t="str">
        <f t="shared" ca="1" si="327"/>
        <v>Female</v>
      </c>
      <c r="E1631" t="str">
        <f t="shared" ca="1" si="328"/>
        <v>Sportswear</v>
      </c>
      <c r="F1631">
        <f t="shared" ca="1" si="329"/>
        <v>3718</v>
      </c>
      <c r="G1631">
        <f t="shared" ca="1" si="330"/>
        <v>15</v>
      </c>
      <c r="H1631">
        <f t="shared" ca="1" si="331"/>
        <v>3160.2999999999997</v>
      </c>
      <c r="I1631">
        <f t="shared" ca="1" si="332"/>
        <v>1</v>
      </c>
      <c r="J1631">
        <f t="shared" ca="1" si="333"/>
        <v>1</v>
      </c>
      <c r="K1631">
        <f t="shared" ca="1" si="334"/>
        <v>0</v>
      </c>
      <c r="L1631">
        <f t="shared" ca="1" si="335"/>
        <v>0</v>
      </c>
      <c r="M1631">
        <f t="shared" ca="1" si="336"/>
        <v>7</v>
      </c>
      <c r="N1631">
        <f t="shared" ca="1" si="337"/>
        <v>0</v>
      </c>
    </row>
    <row r="1632" spans="1:14" x14ac:dyDescent="0.35">
      <c r="A1632" t="s">
        <v>1649</v>
      </c>
      <c r="B1632" t="str">
        <f t="shared" si="325"/>
        <v>Test</v>
      </c>
      <c r="C1632">
        <f t="shared" ca="1" si="326"/>
        <v>36</v>
      </c>
      <c r="D1632" t="str">
        <f t="shared" ca="1" si="327"/>
        <v>Male</v>
      </c>
      <c r="E1632" t="str">
        <f t="shared" ca="1" si="328"/>
        <v>Tops</v>
      </c>
      <c r="F1632">
        <f t="shared" ca="1" si="329"/>
        <v>7264</v>
      </c>
      <c r="G1632">
        <f t="shared" ca="1" si="330"/>
        <v>25</v>
      </c>
      <c r="H1632">
        <f t="shared" ca="1" si="331"/>
        <v>5448</v>
      </c>
      <c r="I1632">
        <f t="shared" ca="1" si="332"/>
        <v>0</v>
      </c>
      <c r="J1632">
        <f t="shared" ca="1" si="333"/>
        <v>0</v>
      </c>
      <c r="K1632">
        <f t="shared" ca="1" si="334"/>
        <v>0</v>
      </c>
      <c r="L1632">
        <f t="shared" ca="1" si="335"/>
        <v>0</v>
      </c>
      <c r="M1632">
        <f t="shared" ca="1" si="336"/>
        <v>3</v>
      </c>
      <c r="N1632">
        <f t="shared" ca="1" si="337"/>
        <v>0</v>
      </c>
    </row>
    <row r="1633" spans="1:14" x14ac:dyDescent="0.35">
      <c r="A1633" t="s">
        <v>1650</v>
      </c>
      <c r="B1633" t="str">
        <f t="shared" si="325"/>
        <v>Test</v>
      </c>
      <c r="C1633">
        <f t="shared" ca="1" si="326"/>
        <v>42</v>
      </c>
      <c r="D1633" t="str">
        <f t="shared" ca="1" si="327"/>
        <v>Female</v>
      </c>
      <c r="E1633" t="str">
        <f t="shared" ca="1" si="328"/>
        <v>Tops</v>
      </c>
      <c r="F1633">
        <f t="shared" ca="1" si="329"/>
        <v>6619</v>
      </c>
      <c r="G1633">
        <f t="shared" ca="1" si="330"/>
        <v>20</v>
      </c>
      <c r="H1633">
        <f t="shared" ca="1" si="331"/>
        <v>5295.2000000000007</v>
      </c>
      <c r="I1633">
        <f t="shared" ca="1" si="332"/>
        <v>1</v>
      </c>
      <c r="J1633">
        <f t="shared" ca="1" si="333"/>
        <v>1</v>
      </c>
      <c r="K1633">
        <f t="shared" ca="1" si="334"/>
        <v>1</v>
      </c>
      <c r="L1633">
        <f t="shared" ca="1" si="335"/>
        <v>5295.2000000000007</v>
      </c>
      <c r="M1633">
        <f t="shared" ca="1" si="336"/>
        <v>3</v>
      </c>
      <c r="N1633">
        <f t="shared" ca="1" si="337"/>
        <v>0</v>
      </c>
    </row>
    <row r="1634" spans="1:14" x14ac:dyDescent="0.35">
      <c r="A1634" t="s">
        <v>1651</v>
      </c>
      <c r="B1634" t="str">
        <f t="shared" si="325"/>
        <v>Test</v>
      </c>
      <c r="C1634">
        <f t="shared" ca="1" si="326"/>
        <v>29</v>
      </c>
      <c r="D1634" t="str">
        <f t="shared" ca="1" si="327"/>
        <v>Male</v>
      </c>
      <c r="E1634" t="str">
        <f t="shared" ca="1" si="328"/>
        <v>Shoes</v>
      </c>
      <c r="F1634">
        <f t="shared" ca="1" si="329"/>
        <v>7289</v>
      </c>
      <c r="G1634">
        <f t="shared" ca="1" si="330"/>
        <v>20</v>
      </c>
      <c r="H1634">
        <f t="shared" ca="1" si="331"/>
        <v>5831.2000000000007</v>
      </c>
      <c r="I1634">
        <f t="shared" ca="1" si="332"/>
        <v>1</v>
      </c>
      <c r="J1634">
        <f t="shared" ca="1" si="333"/>
        <v>0</v>
      </c>
      <c r="K1634">
        <f t="shared" ca="1" si="334"/>
        <v>0</v>
      </c>
      <c r="L1634">
        <f t="shared" ca="1" si="335"/>
        <v>0</v>
      </c>
      <c r="M1634">
        <f t="shared" ca="1" si="336"/>
        <v>4</v>
      </c>
      <c r="N1634">
        <f t="shared" ca="1" si="337"/>
        <v>0</v>
      </c>
    </row>
    <row r="1635" spans="1:14" x14ac:dyDescent="0.35">
      <c r="A1635" t="s">
        <v>1652</v>
      </c>
      <c r="B1635" t="str">
        <f t="shared" si="325"/>
        <v>Test</v>
      </c>
      <c r="C1635">
        <f t="shared" ca="1" si="326"/>
        <v>27</v>
      </c>
      <c r="D1635" t="str">
        <f t="shared" ca="1" si="327"/>
        <v>Male</v>
      </c>
      <c r="E1635" t="str">
        <f t="shared" ca="1" si="328"/>
        <v>Shoes</v>
      </c>
      <c r="F1635">
        <f t="shared" ca="1" si="329"/>
        <v>5567</v>
      </c>
      <c r="G1635">
        <f t="shared" ca="1" si="330"/>
        <v>25</v>
      </c>
      <c r="H1635">
        <f t="shared" ca="1" si="331"/>
        <v>4175.25</v>
      </c>
      <c r="I1635">
        <f t="shared" ca="1" si="332"/>
        <v>1</v>
      </c>
      <c r="J1635">
        <f t="shared" ca="1" si="333"/>
        <v>1</v>
      </c>
      <c r="K1635">
        <f t="shared" ca="1" si="334"/>
        <v>0</v>
      </c>
      <c r="L1635">
        <f t="shared" ca="1" si="335"/>
        <v>0</v>
      </c>
      <c r="M1635">
        <f t="shared" ca="1" si="336"/>
        <v>4</v>
      </c>
      <c r="N1635">
        <f t="shared" ca="1" si="337"/>
        <v>0</v>
      </c>
    </row>
    <row r="1636" spans="1:14" x14ac:dyDescent="0.35">
      <c r="A1636" t="s">
        <v>1653</v>
      </c>
      <c r="B1636" t="str">
        <f t="shared" si="325"/>
        <v>Test</v>
      </c>
      <c r="C1636">
        <f t="shared" ca="1" si="326"/>
        <v>39</v>
      </c>
      <c r="D1636" t="str">
        <f t="shared" ca="1" si="327"/>
        <v>Female</v>
      </c>
      <c r="E1636" t="str">
        <f t="shared" ca="1" si="328"/>
        <v>Dresses</v>
      </c>
      <c r="F1636">
        <f t="shared" ca="1" si="329"/>
        <v>542</v>
      </c>
      <c r="G1636">
        <f t="shared" ca="1" si="330"/>
        <v>25</v>
      </c>
      <c r="H1636">
        <f t="shared" ca="1" si="331"/>
        <v>406.5</v>
      </c>
      <c r="I1636">
        <f t="shared" ca="1" si="332"/>
        <v>0</v>
      </c>
      <c r="J1636">
        <f t="shared" ca="1" si="333"/>
        <v>0</v>
      </c>
      <c r="K1636">
        <f t="shared" ca="1" si="334"/>
        <v>0</v>
      </c>
      <c r="L1636">
        <f t="shared" ca="1" si="335"/>
        <v>0</v>
      </c>
      <c r="M1636">
        <f t="shared" ca="1" si="336"/>
        <v>1</v>
      </c>
      <c r="N1636">
        <f t="shared" ca="1" si="337"/>
        <v>0</v>
      </c>
    </row>
    <row r="1637" spans="1:14" x14ac:dyDescent="0.35">
      <c r="A1637" t="s">
        <v>1654</v>
      </c>
      <c r="B1637" t="str">
        <f t="shared" si="325"/>
        <v>Test</v>
      </c>
      <c r="C1637">
        <f t="shared" ca="1" si="326"/>
        <v>26</v>
      </c>
      <c r="D1637" t="str">
        <f t="shared" ca="1" si="327"/>
        <v>Male</v>
      </c>
      <c r="E1637" t="str">
        <f t="shared" ca="1" si="328"/>
        <v>Shoes</v>
      </c>
      <c r="F1637">
        <f t="shared" ca="1" si="329"/>
        <v>6592</v>
      </c>
      <c r="G1637">
        <f t="shared" ca="1" si="330"/>
        <v>15</v>
      </c>
      <c r="H1637">
        <f t="shared" ca="1" si="331"/>
        <v>5603.2</v>
      </c>
      <c r="I1637">
        <f t="shared" ca="1" si="332"/>
        <v>1</v>
      </c>
      <c r="J1637">
        <f t="shared" ca="1" si="333"/>
        <v>0</v>
      </c>
      <c r="K1637">
        <f t="shared" ca="1" si="334"/>
        <v>0</v>
      </c>
      <c r="L1637">
        <f t="shared" ca="1" si="335"/>
        <v>0</v>
      </c>
      <c r="M1637">
        <f t="shared" ca="1" si="336"/>
        <v>1</v>
      </c>
      <c r="N1637">
        <f t="shared" ca="1" si="337"/>
        <v>0</v>
      </c>
    </row>
    <row r="1638" spans="1:14" x14ac:dyDescent="0.35">
      <c r="A1638" t="s">
        <v>1655</v>
      </c>
      <c r="B1638" t="str">
        <f t="shared" si="325"/>
        <v>Test</v>
      </c>
      <c r="C1638">
        <f t="shared" ca="1" si="326"/>
        <v>20</v>
      </c>
      <c r="D1638" t="str">
        <f t="shared" ca="1" si="327"/>
        <v>Male</v>
      </c>
      <c r="E1638" t="str">
        <f t="shared" ca="1" si="328"/>
        <v>Sportswear</v>
      </c>
      <c r="F1638">
        <f t="shared" ca="1" si="329"/>
        <v>5443</v>
      </c>
      <c r="G1638">
        <f t="shared" ca="1" si="330"/>
        <v>25</v>
      </c>
      <c r="H1638">
        <f t="shared" ca="1" si="331"/>
        <v>4082.25</v>
      </c>
      <c r="I1638">
        <f t="shared" ca="1" si="332"/>
        <v>1</v>
      </c>
      <c r="J1638">
        <f t="shared" ca="1" si="333"/>
        <v>0</v>
      </c>
      <c r="K1638">
        <f t="shared" ca="1" si="334"/>
        <v>0</v>
      </c>
      <c r="L1638">
        <f t="shared" ca="1" si="335"/>
        <v>0</v>
      </c>
      <c r="M1638">
        <f t="shared" ca="1" si="336"/>
        <v>3</v>
      </c>
      <c r="N1638">
        <f t="shared" ca="1" si="337"/>
        <v>0</v>
      </c>
    </row>
    <row r="1639" spans="1:14" x14ac:dyDescent="0.35">
      <c r="A1639" t="s">
        <v>1656</v>
      </c>
      <c r="B1639" t="str">
        <f t="shared" si="325"/>
        <v>Test</v>
      </c>
      <c r="C1639">
        <f t="shared" ca="1" si="326"/>
        <v>28</v>
      </c>
      <c r="D1639" t="str">
        <f t="shared" ca="1" si="327"/>
        <v>Male</v>
      </c>
      <c r="E1639" t="str">
        <f t="shared" ca="1" si="328"/>
        <v>Shoes</v>
      </c>
      <c r="F1639">
        <f t="shared" ca="1" si="329"/>
        <v>6735</v>
      </c>
      <c r="G1639">
        <f t="shared" ca="1" si="330"/>
        <v>20</v>
      </c>
      <c r="H1639">
        <f t="shared" ca="1" si="331"/>
        <v>5388</v>
      </c>
      <c r="I1639">
        <f t="shared" ca="1" si="332"/>
        <v>1</v>
      </c>
      <c r="J1639">
        <f t="shared" ca="1" si="333"/>
        <v>1</v>
      </c>
      <c r="K1639">
        <f t="shared" ca="1" si="334"/>
        <v>1</v>
      </c>
      <c r="L1639">
        <f t="shared" ca="1" si="335"/>
        <v>5388</v>
      </c>
      <c r="M1639">
        <f t="shared" ca="1" si="336"/>
        <v>1</v>
      </c>
      <c r="N1639">
        <f t="shared" ca="1" si="337"/>
        <v>0</v>
      </c>
    </row>
    <row r="1640" spans="1:14" x14ac:dyDescent="0.35">
      <c r="A1640" t="s">
        <v>1657</v>
      </c>
      <c r="B1640" t="str">
        <f t="shared" si="325"/>
        <v>Test</v>
      </c>
      <c r="C1640">
        <f t="shared" ca="1" si="326"/>
        <v>43</v>
      </c>
      <c r="D1640" t="str">
        <f t="shared" ca="1" si="327"/>
        <v>Male</v>
      </c>
      <c r="E1640" t="str">
        <f t="shared" ca="1" si="328"/>
        <v>Jeans</v>
      </c>
      <c r="F1640">
        <f t="shared" ca="1" si="329"/>
        <v>4614</v>
      </c>
      <c r="G1640">
        <f t="shared" ca="1" si="330"/>
        <v>20</v>
      </c>
      <c r="H1640">
        <f t="shared" ca="1" si="331"/>
        <v>3691.2000000000003</v>
      </c>
      <c r="I1640">
        <f t="shared" ca="1" si="332"/>
        <v>1</v>
      </c>
      <c r="J1640">
        <f t="shared" ca="1" si="333"/>
        <v>1</v>
      </c>
      <c r="K1640">
        <f t="shared" ca="1" si="334"/>
        <v>0</v>
      </c>
      <c r="L1640">
        <f t="shared" ca="1" si="335"/>
        <v>0</v>
      </c>
      <c r="M1640">
        <f t="shared" ca="1" si="336"/>
        <v>2</v>
      </c>
      <c r="N1640">
        <f t="shared" ca="1" si="337"/>
        <v>0</v>
      </c>
    </row>
    <row r="1641" spans="1:14" x14ac:dyDescent="0.35">
      <c r="A1641" t="s">
        <v>1658</v>
      </c>
      <c r="B1641" t="str">
        <f t="shared" si="325"/>
        <v>Test</v>
      </c>
      <c r="C1641">
        <f t="shared" ca="1" si="326"/>
        <v>22</v>
      </c>
      <c r="D1641" t="str">
        <f t="shared" ca="1" si="327"/>
        <v>Female</v>
      </c>
      <c r="E1641" t="str">
        <f t="shared" ca="1" si="328"/>
        <v>Dresses</v>
      </c>
      <c r="F1641">
        <f t="shared" ca="1" si="329"/>
        <v>3418</v>
      </c>
      <c r="G1641">
        <f t="shared" ca="1" si="330"/>
        <v>25</v>
      </c>
      <c r="H1641">
        <f t="shared" ca="1" si="331"/>
        <v>2563.5</v>
      </c>
      <c r="I1641">
        <f t="shared" ca="1" si="332"/>
        <v>0</v>
      </c>
      <c r="J1641">
        <f t="shared" ca="1" si="333"/>
        <v>0</v>
      </c>
      <c r="K1641">
        <f t="shared" ca="1" si="334"/>
        <v>0</v>
      </c>
      <c r="L1641">
        <f t="shared" ca="1" si="335"/>
        <v>0</v>
      </c>
      <c r="M1641">
        <f t="shared" ca="1" si="336"/>
        <v>7</v>
      </c>
      <c r="N1641">
        <f t="shared" ca="1" si="337"/>
        <v>0</v>
      </c>
    </row>
    <row r="1642" spans="1:14" x14ac:dyDescent="0.35">
      <c r="A1642" t="s">
        <v>1659</v>
      </c>
      <c r="B1642" t="str">
        <f t="shared" si="325"/>
        <v>Test</v>
      </c>
      <c r="C1642">
        <f t="shared" ca="1" si="326"/>
        <v>29</v>
      </c>
      <c r="D1642" t="str">
        <f t="shared" ca="1" si="327"/>
        <v>Male</v>
      </c>
      <c r="E1642" t="str">
        <f t="shared" ca="1" si="328"/>
        <v>Shoes</v>
      </c>
      <c r="F1642">
        <f t="shared" ca="1" si="329"/>
        <v>4040</v>
      </c>
      <c r="G1642">
        <f t="shared" ca="1" si="330"/>
        <v>25</v>
      </c>
      <c r="H1642">
        <f t="shared" ca="1" si="331"/>
        <v>3030</v>
      </c>
      <c r="I1642">
        <f t="shared" ca="1" si="332"/>
        <v>1</v>
      </c>
      <c r="J1642">
        <f t="shared" ca="1" si="333"/>
        <v>1</v>
      </c>
      <c r="K1642">
        <f t="shared" ca="1" si="334"/>
        <v>1</v>
      </c>
      <c r="L1642">
        <f t="shared" ca="1" si="335"/>
        <v>3030</v>
      </c>
      <c r="M1642">
        <f t="shared" ca="1" si="336"/>
        <v>5</v>
      </c>
      <c r="N1642">
        <f t="shared" ca="1" si="337"/>
        <v>0</v>
      </c>
    </row>
    <row r="1643" spans="1:14" x14ac:dyDescent="0.35">
      <c r="A1643" t="s">
        <v>1660</v>
      </c>
      <c r="B1643" t="str">
        <f t="shared" si="325"/>
        <v>Test</v>
      </c>
      <c r="C1643">
        <f t="shared" ca="1" si="326"/>
        <v>27</v>
      </c>
      <c r="D1643" t="str">
        <f t="shared" ca="1" si="327"/>
        <v>Female</v>
      </c>
      <c r="E1643" t="str">
        <f t="shared" ca="1" si="328"/>
        <v>Accessories</v>
      </c>
      <c r="F1643">
        <f t="shared" ca="1" si="329"/>
        <v>1907</v>
      </c>
      <c r="G1643">
        <f t="shared" ca="1" si="330"/>
        <v>15</v>
      </c>
      <c r="H1643">
        <f t="shared" ca="1" si="331"/>
        <v>1620.95</v>
      </c>
      <c r="I1643">
        <f t="shared" ca="1" si="332"/>
        <v>1</v>
      </c>
      <c r="J1643">
        <f t="shared" ca="1" si="333"/>
        <v>1</v>
      </c>
      <c r="K1643">
        <f t="shared" ca="1" si="334"/>
        <v>0</v>
      </c>
      <c r="L1643">
        <f t="shared" ca="1" si="335"/>
        <v>0</v>
      </c>
      <c r="M1643">
        <f t="shared" ca="1" si="336"/>
        <v>4</v>
      </c>
      <c r="N1643">
        <f t="shared" ca="1" si="337"/>
        <v>0</v>
      </c>
    </row>
    <row r="1644" spans="1:14" x14ac:dyDescent="0.35">
      <c r="A1644" t="s">
        <v>1661</v>
      </c>
      <c r="B1644" t="str">
        <f t="shared" si="325"/>
        <v>Test</v>
      </c>
      <c r="C1644">
        <f t="shared" ca="1" si="326"/>
        <v>40</v>
      </c>
      <c r="D1644" t="str">
        <f t="shared" ca="1" si="327"/>
        <v>Female</v>
      </c>
      <c r="E1644" t="str">
        <f t="shared" ca="1" si="328"/>
        <v>Shoes</v>
      </c>
      <c r="F1644">
        <f t="shared" ca="1" si="329"/>
        <v>885</v>
      </c>
      <c r="G1644">
        <f t="shared" ca="1" si="330"/>
        <v>20</v>
      </c>
      <c r="H1644">
        <f t="shared" ca="1" si="331"/>
        <v>708</v>
      </c>
      <c r="I1644">
        <f t="shared" ca="1" si="332"/>
        <v>1</v>
      </c>
      <c r="J1644">
        <f t="shared" ca="1" si="333"/>
        <v>0</v>
      </c>
      <c r="K1644">
        <f t="shared" ca="1" si="334"/>
        <v>0</v>
      </c>
      <c r="L1644">
        <f t="shared" ca="1" si="335"/>
        <v>0</v>
      </c>
      <c r="M1644">
        <f t="shared" ca="1" si="336"/>
        <v>6</v>
      </c>
      <c r="N1644">
        <f t="shared" ca="1" si="337"/>
        <v>0</v>
      </c>
    </row>
    <row r="1645" spans="1:14" x14ac:dyDescent="0.35">
      <c r="A1645" t="s">
        <v>1662</v>
      </c>
      <c r="B1645" t="str">
        <f t="shared" si="325"/>
        <v>Test</v>
      </c>
      <c r="C1645">
        <f t="shared" ca="1" si="326"/>
        <v>44</v>
      </c>
      <c r="D1645" t="str">
        <f t="shared" ca="1" si="327"/>
        <v>Male</v>
      </c>
      <c r="E1645" t="str">
        <f t="shared" ca="1" si="328"/>
        <v>Jeans</v>
      </c>
      <c r="F1645">
        <f t="shared" ca="1" si="329"/>
        <v>5036</v>
      </c>
      <c r="G1645">
        <f t="shared" ca="1" si="330"/>
        <v>20</v>
      </c>
      <c r="H1645">
        <f t="shared" ca="1" si="331"/>
        <v>4028.8</v>
      </c>
      <c r="I1645">
        <f t="shared" ca="1" si="332"/>
        <v>1</v>
      </c>
      <c r="J1645">
        <f t="shared" ca="1" si="333"/>
        <v>1</v>
      </c>
      <c r="K1645">
        <f t="shared" ca="1" si="334"/>
        <v>1</v>
      </c>
      <c r="L1645">
        <f t="shared" ca="1" si="335"/>
        <v>4028.8</v>
      </c>
      <c r="M1645">
        <f t="shared" ca="1" si="336"/>
        <v>6</v>
      </c>
      <c r="N1645">
        <f t="shared" ca="1" si="337"/>
        <v>0</v>
      </c>
    </row>
    <row r="1646" spans="1:14" x14ac:dyDescent="0.35">
      <c r="A1646" t="s">
        <v>1663</v>
      </c>
      <c r="B1646" t="str">
        <f t="shared" si="325"/>
        <v>Test</v>
      </c>
      <c r="C1646">
        <f t="shared" ca="1" si="326"/>
        <v>43</v>
      </c>
      <c r="D1646" t="str">
        <f t="shared" ca="1" si="327"/>
        <v>Male</v>
      </c>
      <c r="E1646" t="str">
        <f t="shared" ca="1" si="328"/>
        <v>Shoes</v>
      </c>
      <c r="F1646">
        <f t="shared" ca="1" si="329"/>
        <v>7850</v>
      </c>
      <c r="G1646">
        <f t="shared" ca="1" si="330"/>
        <v>20</v>
      </c>
      <c r="H1646">
        <f t="shared" ca="1" si="331"/>
        <v>6280</v>
      </c>
      <c r="I1646">
        <f t="shared" ca="1" si="332"/>
        <v>0</v>
      </c>
      <c r="J1646">
        <f t="shared" ca="1" si="333"/>
        <v>0</v>
      </c>
      <c r="K1646">
        <f t="shared" ca="1" si="334"/>
        <v>0</v>
      </c>
      <c r="L1646">
        <f t="shared" ca="1" si="335"/>
        <v>0</v>
      </c>
      <c r="M1646">
        <f t="shared" ca="1" si="336"/>
        <v>2</v>
      </c>
      <c r="N1646">
        <f t="shared" ca="1" si="337"/>
        <v>0</v>
      </c>
    </row>
    <row r="1647" spans="1:14" x14ac:dyDescent="0.35">
      <c r="A1647" t="s">
        <v>1664</v>
      </c>
      <c r="B1647" t="str">
        <f t="shared" si="325"/>
        <v>Test</v>
      </c>
      <c r="C1647">
        <f t="shared" ca="1" si="326"/>
        <v>44</v>
      </c>
      <c r="D1647" t="str">
        <f t="shared" ca="1" si="327"/>
        <v>Other</v>
      </c>
      <c r="E1647" t="str">
        <f t="shared" ca="1" si="328"/>
        <v>Accessories</v>
      </c>
      <c r="F1647">
        <f t="shared" ca="1" si="329"/>
        <v>5594</v>
      </c>
      <c r="G1647">
        <f t="shared" ca="1" si="330"/>
        <v>15</v>
      </c>
      <c r="H1647">
        <f t="shared" ca="1" si="331"/>
        <v>4754.8999999999996</v>
      </c>
      <c r="I1647">
        <f t="shared" ca="1" si="332"/>
        <v>1</v>
      </c>
      <c r="J1647">
        <f t="shared" ca="1" si="333"/>
        <v>0</v>
      </c>
      <c r="K1647">
        <f t="shared" ca="1" si="334"/>
        <v>0</v>
      </c>
      <c r="L1647">
        <f t="shared" ca="1" si="335"/>
        <v>0</v>
      </c>
      <c r="M1647">
        <f t="shared" ca="1" si="336"/>
        <v>1</v>
      </c>
      <c r="N1647">
        <f t="shared" ca="1" si="337"/>
        <v>0</v>
      </c>
    </row>
    <row r="1648" spans="1:14" x14ac:dyDescent="0.35">
      <c r="A1648" t="s">
        <v>1665</v>
      </c>
      <c r="B1648" t="str">
        <f t="shared" si="325"/>
        <v>Test</v>
      </c>
      <c r="C1648">
        <f t="shared" ca="1" si="326"/>
        <v>26</v>
      </c>
      <c r="D1648" t="str">
        <f t="shared" ca="1" si="327"/>
        <v>Female</v>
      </c>
      <c r="E1648" t="str">
        <f t="shared" ca="1" si="328"/>
        <v>Ethnic Wear</v>
      </c>
      <c r="F1648">
        <f t="shared" ca="1" si="329"/>
        <v>6525</v>
      </c>
      <c r="G1648">
        <f t="shared" ca="1" si="330"/>
        <v>25</v>
      </c>
      <c r="H1648">
        <f t="shared" ca="1" si="331"/>
        <v>4893.75</v>
      </c>
      <c r="I1648">
        <f t="shared" ca="1" si="332"/>
        <v>1</v>
      </c>
      <c r="J1648">
        <f t="shared" ca="1" si="333"/>
        <v>1</v>
      </c>
      <c r="K1648">
        <f t="shared" ca="1" si="334"/>
        <v>0</v>
      </c>
      <c r="L1648">
        <f t="shared" ca="1" si="335"/>
        <v>0</v>
      </c>
      <c r="M1648">
        <f t="shared" ca="1" si="336"/>
        <v>3</v>
      </c>
      <c r="N1648">
        <f t="shared" ca="1" si="337"/>
        <v>0</v>
      </c>
    </row>
    <row r="1649" spans="1:14" x14ac:dyDescent="0.35">
      <c r="A1649" t="s">
        <v>1666</v>
      </c>
      <c r="B1649" t="str">
        <f t="shared" si="325"/>
        <v>Test</v>
      </c>
      <c r="C1649">
        <f t="shared" ca="1" si="326"/>
        <v>24</v>
      </c>
      <c r="D1649" t="str">
        <f t="shared" ca="1" si="327"/>
        <v>Male</v>
      </c>
      <c r="E1649" t="str">
        <f t="shared" ca="1" si="328"/>
        <v>Ethnic Wear</v>
      </c>
      <c r="F1649">
        <f t="shared" ca="1" si="329"/>
        <v>810</v>
      </c>
      <c r="G1649">
        <f t="shared" ca="1" si="330"/>
        <v>25</v>
      </c>
      <c r="H1649">
        <f t="shared" ca="1" si="331"/>
        <v>607.5</v>
      </c>
      <c r="I1649">
        <f t="shared" ca="1" si="332"/>
        <v>1</v>
      </c>
      <c r="J1649">
        <f t="shared" ca="1" si="333"/>
        <v>0</v>
      </c>
      <c r="K1649">
        <f t="shared" ca="1" si="334"/>
        <v>0</v>
      </c>
      <c r="L1649">
        <f t="shared" ca="1" si="335"/>
        <v>0</v>
      </c>
      <c r="M1649">
        <f t="shared" ca="1" si="336"/>
        <v>7</v>
      </c>
      <c r="N1649">
        <f t="shared" ca="1" si="337"/>
        <v>0</v>
      </c>
    </row>
    <row r="1650" spans="1:14" x14ac:dyDescent="0.35">
      <c r="A1650" t="s">
        <v>1667</v>
      </c>
      <c r="B1650" t="str">
        <f t="shared" si="325"/>
        <v>Test</v>
      </c>
      <c r="C1650">
        <f t="shared" ca="1" si="326"/>
        <v>29</v>
      </c>
      <c r="D1650" t="str">
        <f t="shared" ca="1" si="327"/>
        <v>Female</v>
      </c>
      <c r="E1650" t="str">
        <f t="shared" ca="1" si="328"/>
        <v>Sportswear</v>
      </c>
      <c r="F1650">
        <f t="shared" ca="1" si="329"/>
        <v>4481</v>
      </c>
      <c r="G1650">
        <f t="shared" ca="1" si="330"/>
        <v>20</v>
      </c>
      <c r="H1650">
        <f t="shared" ca="1" si="331"/>
        <v>3584.8</v>
      </c>
      <c r="I1650">
        <f t="shared" ca="1" si="332"/>
        <v>1</v>
      </c>
      <c r="J1650">
        <f t="shared" ca="1" si="333"/>
        <v>1</v>
      </c>
      <c r="K1650">
        <f t="shared" ca="1" si="334"/>
        <v>0</v>
      </c>
      <c r="L1650">
        <f t="shared" ca="1" si="335"/>
        <v>0</v>
      </c>
      <c r="M1650">
        <f t="shared" ca="1" si="336"/>
        <v>6</v>
      </c>
      <c r="N1650">
        <f t="shared" ca="1" si="337"/>
        <v>0</v>
      </c>
    </row>
    <row r="1651" spans="1:14" x14ac:dyDescent="0.35">
      <c r="A1651" t="s">
        <v>1668</v>
      </c>
      <c r="B1651" t="str">
        <f t="shared" si="325"/>
        <v>Test</v>
      </c>
      <c r="C1651">
        <f t="shared" ca="1" si="326"/>
        <v>33</v>
      </c>
      <c r="D1651" t="str">
        <f t="shared" ca="1" si="327"/>
        <v>Female</v>
      </c>
      <c r="E1651" t="str">
        <f t="shared" ca="1" si="328"/>
        <v>Accessories</v>
      </c>
      <c r="F1651">
        <f t="shared" ca="1" si="329"/>
        <v>2209</v>
      </c>
      <c r="G1651">
        <f t="shared" ca="1" si="330"/>
        <v>15</v>
      </c>
      <c r="H1651">
        <f t="shared" ca="1" si="331"/>
        <v>1877.6499999999999</v>
      </c>
      <c r="I1651">
        <f t="shared" ca="1" si="332"/>
        <v>1</v>
      </c>
      <c r="J1651">
        <f t="shared" ca="1" si="333"/>
        <v>1</v>
      </c>
      <c r="K1651">
        <f t="shared" ca="1" si="334"/>
        <v>0</v>
      </c>
      <c r="L1651">
        <f t="shared" ca="1" si="335"/>
        <v>0</v>
      </c>
      <c r="M1651">
        <f t="shared" ca="1" si="336"/>
        <v>5</v>
      </c>
      <c r="N1651">
        <f t="shared" ca="1" si="337"/>
        <v>0</v>
      </c>
    </row>
    <row r="1652" spans="1:14" x14ac:dyDescent="0.35">
      <c r="A1652" t="s">
        <v>1669</v>
      </c>
      <c r="B1652" t="str">
        <f t="shared" si="325"/>
        <v>Test</v>
      </c>
      <c r="C1652">
        <f t="shared" ca="1" si="326"/>
        <v>36</v>
      </c>
      <c r="D1652" t="str">
        <f t="shared" ca="1" si="327"/>
        <v>Female</v>
      </c>
      <c r="E1652" t="str">
        <f t="shared" ca="1" si="328"/>
        <v>T-shirts</v>
      </c>
      <c r="F1652">
        <f t="shared" ca="1" si="329"/>
        <v>2586</v>
      </c>
      <c r="G1652">
        <f t="shared" ca="1" si="330"/>
        <v>20</v>
      </c>
      <c r="H1652">
        <f t="shared" ca="1" si="331"/>
        <v>2068.8000000000002</v>
      </c>
      <c r="I1652">
        <f t="shared" ca="1" si="332"/>
        <v>1</v>
      </c>
      <c r="J1652">
        <f t="shared" ca="1" si="333"/>
        <v>0</v>
      </c>
      <c r="K1652">
        <f t="shared" ca="1" si="334"/>
        <v>0</v>
      </c>
      <c r="L1652">
        <f t="shared" ca="1" si="335"/>
        <v>0</v>
      </c>
      <c r="M1652">
        <f t="shared" ca="1" si="336"/>
        <v>2</v>
      </c>
      <c r="N1652">
        <f t="shared" ca="1" si="337"/>
        <v>0</v>
      </c>
    </row>
    <row r="1653" spans="1:14" x14ac:dyDescent="0.35">
      <c r="A1653" t="s">
        <v>1670</v>
      </c>
      <c r="B1653" t="str">
        <f t="shared" si="325"/>
        <v>Test</v>
      </c>
      <c r="C1653">
        <f t="shared" ca="1" si="326"/>
        <v>22</v>
      </c>
      <c r="D1653" t="str">
        <f t="shared" ca="1" si="327"/>
        <v>Female</v>
      </c>
      <c r="E1653" t="str">
        <f t="shared" ca="1" si="328"/>
        <v>Accessories</v>
      </c>
      <c r="F1653">
        <f t="shared" ca="1" si="329"/>
        <v>6955</v>
      </c>
      <c r="G1653">
        <f t="shared" ca="1" si="330"/>
        <v>20</v>
      </c>
      <c r="H1653">
        <f t="shared" ca="1" si="331"/>
        <v>5564</v>
      </c>
      <c r="I1653">
        <f t="shared" ca="1" si="332"/>
        <v>1</v>
      </c>
      <c r="J1653">
        <f t="shared" ca="1" si="333"/>
        <v>1</v>
      </c>
      <c r="K1653">
        <f t="shared" ca="1" si="334"/>
        <v>0</v>
      </c>
      <c r="L1653">
        <f t="shared" ca="1" si="335"/>
        <v>0</v>
      </c>
      <c r="M1653">
        <f t="shared" ca="1" si="336"/>
        <v>1</v>
      </c>
      <c r="N1653">
        <f t="shared" ca="1" si="337"/>
        <v>0</v>
      </c>
    </row>
    <row r="1654" spans="1:14" x14ac:dyDescent="0.35">
      <c r="A1654" t="s">
        <v>1671</v>
      </c>
      <c r="B1654" t="str">
        <f t="shared" si="325"/>
        <v>Test</v>
      </c>
      <c r="C1654">
        <f t="shared" ca="1" si="326"/>
        <v>44</v>
      </c>
      <c r="D1654" t="str">
        <f t="shared" ca="1" si="327"/>
        <v>Female</v>
      </c>
      <c r="E1654" t="str">
        <f t="shared" ca="1" si="328"/>
        <v>Jeans</v>
      </c>
      <c r="F1654">
        <f t="shared" ca="1" si="329"/>
        <v>1270</v>
      </c>
      <c r="G1654">
        <f t="shared" ca="1" si="330"/>
        <v>15</v>
      </c>
      <c r="H1654">
        <f t="shared" ca="1" si="331"/>
        <v>1079.5</v>
      </c>
      <c r="I1654">
        <f t="shared" ca="1" si="332"/>
        <v>1</v>
      </c>
      <c r="J1654">
        <f t="shared" ca="1" si="333"/>
        <v>1</v>
      </c>
      <c r="K1654">
        <f t="shared" ca="1" si="334"/>
        <v>0</v>
      </c>
      <c r="L1654">
        <f t="shared" ca="1" si="335"/>
        <v>0</v>
      </c>
      <c r="M1654">
        <f t="shared" ca="1" si="336"/>
        <v>3</v>
      </c>
      <c r="N1654">
        <f t="shared" ca="1" si="337"/>
        <v>0</v>
      </c>
    </row>
    <row r="1655" spans="1:14" x14ac:dyDescent="0.35">
      <c r="A1655" t="s">
        <v>1672</v>
      </c>
      <c r="B1655" t="str">
        <f t="shared" si="325"/>
        <v>Test</v>
      </c>
      <c r="C1655">
        <f t="shared" ca="1" si="326"/>
        <v>36</v>
      </c>
      <c r="D1655" t="str">
        <f t="shared" ca="1" si="327"/>
        <v>Female</v>
      </c>
      <c r="E1655" t="str">
        <f t="shared" ca="1" si="328"/>
        <v>T-shirts</v>
      </c>
      <c r="F1655">
        <f t="shared" ca="1" si="329"/>
        <v>5613</v>
      </c>
      <c r="G1655">
        <f t="shared" ca="1" si="330"/>
        <v>20</v>
      </c>
      <c r="H1655">
        <f t="shared" ca="1" si="331"/>
        <v>4490.4000000000005</v>
      </c>
      <c r="I1655">
        <f t="shared" ca="1" si="332"/>
        <v>1</v>
      </c>
      <c r="J1655">
        <f t="shared" ca="1" si="333"/>
        <v>1</v>
      </c>
      <c r="K1655">
        <f t="shared" ca="1" si="334"/>
        <v>1</v>
      </c>
      <c r="L1655">
        <f t="shared" ca="1" si="335"/>
        <v>4490.4000000000005</v>
      </c>
      <c r="M1655">
        <f t="shared" ca="1" si="336"/>
        <v>7</v>
      </c>
      <c r="N1655">
        <f t="shared" ca="1" si="337"/>
        <v>0</v>
      </c>
    </row>
    <row r="1656" spans="1:14" x14ac:dyDescent="0.35">
      <c r="A1656" t="s">
        <v>1673</v>
      </c>
      <c r="B1656" t="str">
        <f t="shared" si="325"/>
        <v>Test</v>
      </c>
      <c r="C1656">
        <f t="shared" ca="1" si="326"/>
        <v>19</v>
      </c>
      <c r="D1656" t="str">
        <f t="shared" ca="1" si="327"/>
        <v>Male</v>
      </c>
      <c r="E1656" t="str">
        <f t="shared" ca="1" si="328"/>
        <v>Ethnic Wear</v>
      </c>
      <c r="F1656">
        <f t="shared" ca="1" si="329"/>
        <v>7334</v>
      </c>
      <c r="G1656">
        <f t="shared" ca="1" si="330"/>
        <v>20</v>
      </c>
      <c r="H1656">
        <f t="shared" ca="1" si="331"/>
        <v>5867.2000000000007</v>
      </c>
      <c r="I1656">
        <f t="shared" ca="1" si="332"/>
        <v>1</v>
      </c>
      <c r="J1656">
        <f t="shared" ca="1" si="333"/>
        <v>1</v>
      </c>
      <c r="K1656">
        <f t="shared" ca="1" si="334"/>
        <v>0</v>
      </c>
      <c r="L1656">
        <f t="shared" ca="1" si="335"/>
        <v>0</v>
      </c>
      <c r="M1656">
        <f t="shared" ca="1" si="336"/>
        <v>7</v>
      </c>
      <c r="N1656">
        <f t="shared" ca="1" si="337"/>
        <v>0</v>
      </c>
    </row>
    <row r="1657" spans="1:14" x14ac:dyDescent="0.35">
      <c r="A1657" t="s">
        <v>1674</v>
      </c>
      <c r="B1657" t="str">
        <f t="shared" si="325"/>
        <v>Test</v>
      </c>
      <c r="C1657">
        <f t="shared" ca="1" si="326"/>
        <v>37</v>
      </c>
      <c r="D1657" t="str">
        <f t="shared" ca="1" si="327"/>
        <v>Female</v>
      </c>
      <c r="E1657" t="str">
        <f t="shared" ca="1" si="328"/>
        <v>T-shirts</v>
      </c>
      <c r="F1657">
        <f t="shared" ca="1" si="329"/>
        <v>3824</v>
      </c>
      <c r="G1657">
        <f t="shared" ca="1" si="330"/>
        <v>25</v>
      </c>
      <c r="H1657">
        <f t="shared" ca="1" si="331"/>
        <v>2868</v>
      </c>
      <c r="I1657">
        <f t="shared" ca="1" si="332"/>
        <v>1</v>
      </c>
      <c r="J1657">
        <f t="shared" ca="1" si="333"/>
        <v>1</v>
      </c>
      <c r="K1657">
        <f t="shared" ca="1" si="334"/>
        <v>0</v>
      </c>
      <c r="L1657">
        <f t="shared" ca="1" si="335"/>
        <v>0</v>
      </c>
      <c r="M1657">
        <f t="shared" ca="1" si="336"/>
        <v>2</v>
      </c>
      <c r="N1657">
        <f t="shared" ca="1" si="337"/>
        <v>0</v>
      </c>
    </row>
    <row r="1658" spans="1:14" x14ac:dyDescent="0.35">
      <c r="A1658" t="s">
        <v>1675</v>
      </c>
      <c r="B1658" t="str">
        <f t="shared" si="325"/>
        <v>Test</v>
      </c>
      <c r="C1658">
        <f t="shared" ca="1" si="326"/>
        <v>29</v>
      </c>
      <c r="D1658" t="str">
        <f t="shared" ca="1" si="327"/>
        <v>Female</v>
      </c>
      <c r="E1658" t="str">
        <f t="shared" ca="1" si="328"/>
        <v>Dresses</v>
      </c>
      <c r="F1658">
        <f t="shared" ca="1" si="329"/>
        <v>1865</v>
      </c>
      <c r="G1658">
        <f t="shared" ca="1" si="330"/>
        <v>25</v>
      </c>
      <c r="H1658">
        <f t="shared" ca="1" si="331"/>
        <v>1398.75</v>
      </c>
      <c r="I1658">
        <f t="shared" ca="1" si="332"/>
        <v>1</v>
      </c>
      <c r="J1658">
        <f t="shared" ca="1" si="333"/>
        <v>1</v>
      </c>
      <c r="K1658">
        <f t="shared" ca="1" si="334"/>
        <v>1</v>
      </c>
      <c r="L1658">
        <f t="shared" ca="1" si="335"/>
        <v>1398.75</v>
      </c>
      <c r="M1658">
        <f t="shared" ca="1" si="336"/>
        <v>4</v>
      </c>
      <c r="N1658">
        <f t="shared" ca="1" si="337"/>
        <v>1</v>
      </c>
    </row>
    <row r="1659" spans="1:14" x14ac:dyDescent="0.35">
      <c r="A1659" t="s">
        <v>1676</v>
      </c>
      <c r="B1659" t="str">
        <f t="shared" si="325"/>
        <v>Test</v>
      </c>
      <c r="C1659">
        <f t="shared" ca="1" si="326"/>
        <v>25</v>
      </c>
      <c r="D1659" t="str">
        <f t="shared" ca="1" si="327"/>
        <v>Male</v>
      </c>
      <c r="E1659" t="str">
        <f t="shared" ca="1" si="328"/>
        <v>Ethnic Wear</v>
      </c>
      <c r="F1659">
        <f t="shared" ca="1" si="329"/>
        <v>3612</v>
      </c>
      <c r="G1659">
        <f t="shared" ca="1" si="330"/>
        <v>20</v>
      </c>
      <c r="H1659">
        <f t="shared" ca="1" si="331"/>
        <v>2889.6000000000004</v>
      </c>
      <c r="I1659">
        <f t="shared" ca="1" si="332"/>
        <v>1</v>
      </c>
      <c r="J1659">
        <f t="shared" ca="1" si="333"/>
        <v>1</v>
      </c>
      <c r="K1659">
        <f t="shared" ca="1" si="334"/>
        <v>0</v>
      </c>
      <c r="L1659">
        <f t="shared" ca="1" si="335"/>
        <v>0</v>
      </c>
      <c r="M1659">
        <f t="shared" ca="1" si="336"/>
        <v>1</v>
      </c>
      <c r="N1659">
        <f t="shared" ca="1" si="337"/>
        <v>0</v>
      </c>
    </row>
    <row r="1660" spans="1:14" x14ac:dyDescent="0.35">
      <c r="A1660" t="s">
        <v>1677</v>
      </c>
      <c r="B1660" t="str">
        <f t="shared" si="325"/>
        <v>Test</v>
      </c>
      <c r="C1660">
        <f t="shared" ca="1" si="326"/>
        <v>18</v>
      </c>
      <c r="D1660" t="str">
        <f t="shared" ca="1" si="327"/>
        <v>Male</v>
      </c>
      <c r="E1660" t="str">
        <f t="shared" ca="1" si="328"/>
        <v>Tops</v>
      </c>
      <c r="F1660">
        <f t="shared" ca="1" si="329"/>
        <v>5412</v>
      </c>
      <c r="G1660">
        <f t="shared" ca="1" si="330"/>
        <v>20</v>
      </c>
      <c r="H1660">
        <f t="shared" ca="1" si="331"/>
        <v>4329.6000000000004</v>
      </c>
      <c r="I1660">
        <f t="shared" ca="1" si="332"/>
        <v>1</v>
      </c>
      <c r="J1660">
        <f t="shared" ca="1" si="333"/>
        <v>0</v>
      </c>
      <c r="K1660">
        <f t="shared" ca="1" si="334"/>
        <v>0</v>
      </c>
      <c r="L1660">
        <f t="shared" ca="1" si="335"/>
        <v>0</v>
      </c>
      <c r="M1660">
        <f t="shared" ca="1" si="336"/>
        <v>5</v>
      </c>
      <c r="N1660">
        <f t="shared" ca="1" si="337"/>
        <v>0</v>
      </c>
    </row>
    <row r="1661" spans="1:14" x14ac:dyDescent="0.35">
      <c r="A1661" t="s">
        <v>1678</v>
      </c>
      <c r="B1661" t="str">
        <f t="shared" si="325"/>
        <v>Test</v>
      </c>
      <c r="C1661">
        <f t="shared" ca="1" si="326"/>
        <v>18</v>
      </c>
      <c r="D1661" t="str">
        <f t="shared" ca="1" si="327"/>
        <v>Female</v>
      </c>
      <c r="E1661" t="str">
        <f t="shared" ca="1" si="328"/>
        <v>Dresses</v>
      </c>
      <c r="F1661">
        <f t="shared" ca="1" si="329"/>
        <v>3459</v>
      </c>
      <c r="G1661">
        <f t="shared" ca="1" si="330"/>
        <v>15</v>
      </c>
      <c r="H1661">
        <f t="shared" ca="1" si="331"/>
        <v>2940.15</v>
      </c>
      <c r="I1661">
        <f t="shared" ca="1" si="332"/>
        <v>1</v>
      </c>
      <c r="J1661">
        <f t="shared" ca="1" si="333"/>
        <v>1</v>
      </c>
      <c r="K1661">
        <f t="shared" ca="1" si="334"/>
        <v>0</v>
      </c>
      <c r="L1661">
        <f t="shared" ca="1" si="335"/>
        <v>0</v>
      </c>
      <c r="M1661">
        <f t="shared" ca="1" si="336"/>
        <v>7</v>
      </c>
      <c r="N1661">
        <f t="shared" ca="1" si="337"/>
        <v>0</v>
      </c>
    </row>
    <row r="1662" spans="1:14" x14ac:dyDescent="0.35">
      <c r="A1662" t="s">
        <v>1679</v>
      </c>
      <c r="B1662" t="str">
        <f t="shared" si="325"/>
        <v>Test</v>
      </c>
      <c r="C1662">
        <f t="shared" ca="1" si="326"/>
        <v>34</v>
      </c>
      <c r="D1662" t="str">
        <f t="shared" ca="1" si="327"/>
        <v>Male</v>
      </c>
      <c r="E1662" t="str">
        <f t="shared" ca="1" si="328"/>
        <v>Ethnic Wear</v>
      </c>
      <c r="F1662">
        <f t="shared" ca="1" si="329"/>
        <v>5148</v>
      </c>
      <c r="G1662">
        <f t="shared" ca="1" si="330"/>
        <v>25</v>
      </c>
      <c r="H1662">
        <f t="shared" ca="1" si="331"/>
        <v>3861</v>
      </c>
      <c r="I1662">
        <f t="shared" ca="1" si="332"/>
        <v>1</v>
      </c>
      <c r="J1662">
        <f t="shared" ca="1" si="333"/>
        <v>0</v>
      </c>
      <c r="K1662">
        <f t="shared" ca="1" si="334"/>
        <v>0</v>
      </c>
      <c r="L1662">
        <f t="shared" ca="1" si="335"/>
        <v>0</v>
      </c>
      <c r="M1662">
        <f t="shared" ca="1" si="336"/>
        <v>5</v>
      </c>
      <c r="N1662">
        <f t="shared" ca="1" si="337"/>
        <v>0</v>
      </c>
    </row>
    <row r="1663" spans="1:14" x14ac:dyDescent="0.35">
      <c r="A1663" t="s">
        <v>1680</v>
      </c>
      <c r="B1663" t="str">
        <f t="shared" si="325"/>
        <v>Test</v>
      </c>
      <c r="C1663">
        <f t="shared" ca="1" si="326"/>
        <v>28</v>
      </c>
      <c r="D1663" t="str">
        <f t="shared" ca="1" si="327"/>
        <v>Male</v>
      </c>
      <c r="E1663" t="str">
        <f t="shared" ca="1" si="328"/>
        <v>Sportswear</v>
      </c>
      <c r="F1663">
        <f t="shared" ca="1" si="329"/>
        <v>6712</v>
      </c>
      <c r="G1663">
        <f t="shared" ca="1" si="330"/>
        <v>15</v>
      </c>
      <c r="H1663">
        <f t="shared" ca="1" si="331"/>
        <v>5705.2</v>
      </c>
      <c r="I1663">
        <f t="shared" ca="1" si="332"/>
        <v>1</v>
      </c>
      <c r="J1663">
        <f t="shared" ca="1" si="333"/>
        <v>1</v>
      </c>
      <c r="K1663">
        <f t="shared" ca="1" si="334"/>
        <v>0</v>
      </c>
      <c r="L1663">
        <f t="shared" ca="1" si="335"/>
        <v>0</v>
      </c>
      <c r="M1663">
        <f t="shared" ca="1" si="336"/>
        <v>6</v>
      </c>
      <c r="N1663">
        <f t="shared" ca="1" si="337"/>
        <v>0</v>
      </c>
    </row>
    <row r="1664" spans="1:14" x14ac:dyDescent="0.35">
      <c r="A1664" t="s">
        <v>1681</v>
      </c>
      <c r="B1664" t="str">
        <f t="shared" si="325"/>
        <v>Test</v>
      </c>
      <c r="C1664">
        <f t="shared" ca="1" si="326"/>
        <v>43</v>
      </c>
      <c r="D1664" t="str">
        <f t="shared" ca="1" si="327"/>
        <v>Male</v>
      </c>
      <c r="E1664" t="str">
        <f t="shared" ca="1" si="328"/>
        <v>Ethnic Wear</v>
      </c>
      <c r="F1664">
        <f t="shared" ca="1" si="329"/>
        <v>3364</v>
      </c>
      <c r="G1664">
        <f t="shared" ca="1" si="330"/>
        <v>15</v>
      </c>
      <c r="H1664">
        <f t="shared" ca="1" si="331"/>
        <v>2859.4</v>
      </c>
      <c r="I1664">
        <f t="shared" ca="1" si="332"/>
        <v>1</v>
      </c>
      <c r="J1664">
        <f t="shared" ca="1" si="333"/>
        <v>1</v>
      </c>
      <c r="K1664">
        <f t="shared" ca="1" si="334"/>
        <v>1</v>
      </c>
      <c r="L1664">
        <f t="shared" ca="1" si="335"/>
        <v>2859.4</v>
      </c>
      <c r="M1664">
        <f t="shared" ca="1" si="336"/>
        <v>4</v>
      </c>
      <c r="N1664">
        <f t="shared" ca="1" si="337"/>
        <v>0</v>
      </c>
    </row>
    <row r="1665" spans="1:14" x14ac:dyDescent="0.35">
      <c r="A1665" t="s">
        <v>1682</v>
      </c>
      <c r="B1665" t="str">
        <f t="shared" si="325"/>
        <v>Test</v>
      </c>
      <c r="C1665">
        <f t="shared" ca="1" si="326"/>
        <v>35</v>
      </c>
      <c r="D1665" t="str">
        <f t="shared" ca="1" si="327"/>
        <v>Male</v>
      </c>
      <c r="E1665" t="str">
        <f t="shared" ca="1" si="328"/>
        <v>Jeans</v>
      </c>
      <c r="F1665">
        <f t="shared" ca="1" si="329"/>
        <v>7042</v>
      </c>
      <c r="G1665">
        <f t="shared" ca="1" si="330"/>
        <v>15</v>
      </c>
      <c r="H1665">
        <f t="shared" ca="1" si="331"/>
        <v>5985.7</v>
      </c>
      <c r="I1665">
        <f t="shared" ca="1" si="332"/>
        <v>1</v>
      </c>
      <c r="J1665">
        <f t="shared" ca="1" si="333"/>
        <v>0</v>
      </c>
      <c r="K1665">
        <f t="shared" ca="1" si="334"/>
        <v>0</v>
      </c>
      <c r="L1665">
        <f t="shared" ca="1" si="335"/>
        <v>0</v>
      </c>
      <c r="M1665">
        <f t="shared" ca="1" si="336"/>
        <v>4</v>
      </c>
      <c r="N1665">
        <f t="shared" ca="1" si="337"/>
        <v>0</v>
      </c>
    </row>
    <row r="1666" spans="1:14" x14ac:dyDescent="0.35">
      <c r="A1666" t="s">
        <v>1683</v>
      </c>
      <c r="B1666" t="str">
        <f t="shared" si="325"/>
        <v>Test</v>
      </c>
      <c r="C1666">
        <f t="shared" ca="1" si="326"/>
        <v>34</v>
      </c>
      <c r="D1666" t="str">
        <f t="shared" ca="1" si="327"/>
        <v>Male</v>
      </c>
      <c r="E1666" t="str">
        <f t="shared" ca="1" si="328"/>
        <v>Dresses</v>
      </c>
      <c r="F1666">
        <f t="shared" ca="1" si="329"/>
        <v>5046</v>
      </c>
      <c r="G1666">
        <f t="shared" ca="1" si="330"/>
        <v>25</v>
      </c>
      <c r="H1666">
        <f t="shared" ca="1" si="331"/>
        <v>3784.5</v>
      </c>
      <c r="I1666">
        <f t="shared" ca="1" si="332"/>
        <v>1</v>
      </c>
      <c r="J1666">
        <f t="shared" ca="1" si="333"/>
        <v>1</v>
      </c>
      <c r="K1666">
        <f t="shared" ca="1" si="334"/>
        <v>1</v>
      </c>
      <c r="L1666">
        <f t="shared" ca="1" si="335"/>
        <v>3784.5</v>
      </c>
      <c r="M1666">
        <f t="shared" ca="1" si="336"/>
        <v>1</v>
      </c>
      <c r="N1666">
        <f t="shared" ca="1" si="337"/>
        <v>0</v>
      </c>
    </row>
    <row r="1667" spans="1:14" x14ac:dyDescent="0.35">
      <c r="A1667" t="s">
        <v>1684</v>
      </c>
      <c r="B1667" t="str">
        <f t="shared" si="325"/>
        <v>Test</v>
      </c>
      <c r="C1667">
        <f t="shared" ca="1" si="326"/>
        <v>24</v>
      </c>
      <c r="D1667" t="str">
        <f t="shared" ca="1" si="327"/>
        <v>Female</v>
      </c>
      <c r="E1667" t="str">
        <f t="shared" ca="1" si="328"/>
        <v>Sportswear</v>
      </c>
      <c r="F1667">
        <f t="shared" ca="1" si="329"/>
        <v>3698</v>
      </c>
      <c r="G1667">
        <f t="shared" ca="1" si="330"/>
        <v>25</v>
      </c>
      <c r="H1667">
        <f t="shared" ca="1" si="331"/>
        <v>2773.5</v>
      </c>
      <c r="I1667">
        <f t="shared" ca="1" si="332"/>
        <v>1</v>
      </c>
      <c r="J1667">
        <f t="shared" ca="1" si="333"/>
        <v>1</v>
      </c>
      <c r="K1667">
        <f t="shared" ca="1" si="334"/>
        <v>0</v>
      </c>
      <c r="L1667">
        <f t="shared" ca="1" si="335"/>
        <v>0</v>
      </c>
      <c r="M1667">
        <f t="shared" ca="1" si="336"/>
        <v>4</v>
      </c>
      <c r="N1667">
        <f t="shared" ca="1" si="337"/>
        <v>0</v>
      </c>
    </row>
    <row r="1668" spans="1:14" x14ac:dyDescent="0.35">
      <c r="A1668" t="s">
        <v>1685</v>
      </c>
      <c r="B1668" t="str">
        <f t="shared" si="325"/>
        <v>Test</v>
      </c>
      <c r="C1668">
        <f t="shared" ca="1" si="326"/>
        <v>31</v>
      </c>
      <c r="D1668" t="str">
        <f t="shared" ca="1" si="327"/>
        <v>Other</v>
      </c>
      <c r="E1668" t="str">
        <f t="shared" ca="1" si="328"/>
        <v>Sportswear</v>
      </c>
      <c r="F1668">
        <f t="shared" ca="1" si="329"/>
        <v>4596</v>
      </c>
      <c r="G1668">
        <f t="shared" ca="1" si="330"/>
        <v>25</v>
      </c>
      <c r="H1668">
        <f t="shared" ca="1" si="331"/>
        <v>3447</v>
      </c>
      <c r="I1668">
        <f t="shared" ca="1" si="332"/>
        <v>1</v>
      </c>
      <c r="J1668">
        <f t="shared" ca="1" si="333"/>
        <v>0</v>
      </c>
      <c r="K1668">
        <f t="shared" ca="1" si="334"/>
        <v>0</v>
      </c>
      <c r="L1668">
        <f t="shared" ca="1" si="335"/>
        <v>0</v>
      </c>
      <c r="M1668">
        <f t="shared" ca="1" si="336"/>
        <v>7</v>
      </c>
      <c r="N1668">
        <f t="shared" ca="1" si="337"/>
        <v>0</v>
      </c>
    </row>
    <row r="1669" spans="1:14" x14ac:dyDescent="0.35">
      <c r="A1669" t="s">
        <v>1686</v>
      </c>
      <c r="B1669" t="str">
        <f t="shared" ref="B1669:B1732" si="338">IF(ROW()&lt;=1001,"Control","Test")</f>
        <v>Test</v>
      </c>
      <c r="C1669">
        <f t="shared" ref="C1669:C1732" ca="1" si="339">RANDBETWEEN(18,45)</f>
        <v>43</v>
      </c>
      <c r="D1669" t="str">
        <f t="shared" ref="D1669:D1732" ca="1" si="340">CHOOSE(RANDBETWEEN(1,20),"Female","Female","Female","Female","Female","Female","Female","Female","Female","Female","Male","Male","Male","Male","Male","Male","Male","Male","Other","Other")</f>
        <v>Other</v>
      </c>
      <c r="E1669" t="str">
        <f t="shared" ref="E1669:E1732" ca="1" si="341">CHOOSE(RANDBETWEEN(1,8),"T-shirts","Dresses","Jeans","Shoes","Ethnic Wear","Tops","Sportswear","Accessories")</f>
        <v>Jeans</v>
      </c>
      <c r="F1669">
        <f t="shared" ref="F1669:F1732" ca="1" si="342">RANDBETWEEN(300,8000)</f>
        <v>4406</v>
      </c>
      <c r="G1669">
        <f t="shared" ref="G1669:G1732" ca="1" si="343">IF(B1669="Control",10,CHOOSE(RANDBETWEEN(1,3),15,20,25))</f>
        <v>20</v>
      </c>
      <c r="H1669">
        <f t="shared" ref="H1669:H1732" ca="1" si="344">F1669*(1-G1669/100)</f>
        <v>3524.8</v>
      </c>
      <c r="I1669">
        <f t="shared" ref="I1669:I1732" ca="1" si="345">IF(RAND()&lt;0.85,1,0)</f>
        <v>1</v>
      </c>
      <c r="J1669">
        <f t="shared" ref="J1669:J1732" ca="1" si="346">IF(I1669=1,IF(RAND()&lt;0.55,1,0),0)</f>
        <v>1</v>
      </c>
      <c r="K1669">
        <f t="shared" ref="K1669:K1732" ca="1" si="347">IF(J1669=1,IF(B1669="Test",IF(RAND()&lt;0.4,1,0),IF(RAND()&lt;0.34,1,0)),0)</f>
        <v>1</v>
      </c>
      <c r="L1669">
        <f t="shared" ref="L1669:L1732" ca="1" si="348">IF(K1669=1,H1669,0)</f>
        <v>3524.8</v>
      </c>
      <c r="M1669">
        <f t="shared" ref="M1669:M1732" ca="1" si="349">RANDBETWEEN(1,7)</f>
        <v>5</v>
      </c>
      <c r="N1669">
        <f t="shared" ref="N1669:N1732" ca="1" si="350">IF(K1669=1,IF(RAND()&lt;0.15,1,0),0)</f>
        <v>0</v>
      </c>
    </row>
    <row r="1670" spans="1:14" x14ac:dyDescent="0.35">
      <c r="A1670" t="s">
        <v>1687</v>
      </c>
      <c r="B1670" t="str">
        <f t="shared" si="338"/>
        <v>Test</v>
      </c>
      <c r="C1670">
        <f t="shared" ca="1" si="339"/>
        <v>25</v>
      </c>
      <c r="D1670" t="str">
        <f t="shared" ca="1" si="340"/>
        <v>Male</v>
      </c>
      <c r="E1670" t="str">
        <f t="shared" ca="1" si="341"/>
        <v>Accessories</v>
      </c>
      <c r="F1670">
        <f t="shared" ca="1" si="342"/>
        <v>2870</v>
      </c>
      <c r="G1670">
        <f t="shared" ca="1" si="343"/>
        <v>25</v>
      </c>
      <c r="H1670">
        <f t="shared" ca="1" si="344"/>
        <v>2152.5</v>
      </c>
      <c r="I1670">
        <f t="shared" ca="1" si="345"/>
        <v>1</v>
      </c>
      <c r="J1670">
        <f t="shared" ca="1" si="346"/>
        <v>1</v>
      </c>
      <c r="K1670">
        <f t="shared" ca="1" si="347"/>
        <v>0</v>
      </c>
      <c r="L1670">
        <f t="shared" ca="1" si="348"/>
        <v>0</v>
      </c>
      <c r="M1670">
        <f t="shared" ca="1" si="349"/>
        <v>6</v>
      </c>
      <c r="N1670">
        <f t="shared" ca="1" si="350"/>
        <v>0</v>
      </c>
    </row>
    <row r="1671" spans="1:14" x14ac:dyDescent="0.35">
      <c r="A1671" t="s">
        <v>1688</v>
      </c>
      <c r="B1671" t="str">
        <f t="shared" si="338"/>
        <v>Test</v>
      </c>
      <c r="C1671">
        <f t="shared" ca="1" si="339"/>
        <v>25</v>
      </c>
      <c r="D1671" t="str">
        <f t="shared" ca="1" si="340"/>
        <v>Female</v>
      </c>
      <c r="E1671" t="str">
        <f t="shared" ca="1" si="341"/>
        <v>Ethnic Wear</v>
      </c>
      <c r="F1671">
        <f t="shared" ca="1" si="342"/>
        <v>3897</v>
      </c>
      <c r="G1671">
        <f t="shared" ca="1" si="343"/>
        <v>20</v>
      </c>
      <c r="H1671">
        <f t="shared" ca="1" si="344"/>
        <v>3117.6000000000004</v>
      </c>
      <c r="I1671">
        <f t="shared" ca="1" si="345"/>
        <v>1</v>
      </c>
      <c r="J1671">
        <f t="shared" ca="1" si="346"/>
        <v>1</v>
      </c>
      <c r="K1671">
        <f t="shared" ca="1" si="347"/>
        <v>0</v>
      </c>
      <c r="L1671">
        <f t="shared" ca="1" si="348"/>
        <v>0</v>
      </c>
      <c r="M1671">
        <f t="shared" ca="1" si="349"/>
        <v>7</v>
      </c>
      <c r="N1671">
        <f t="shared" ca="1" si="350"/>
        <v>0</v>
      </c>
    </row>
    <row r="1672" spans="1:14" x14ac:dyDescent="0.35">
      <c r="A1672" t="s">
        <v>1689</v>
      </c>
      <c r="B1672" t="str">
        <f t="shared" si="338"/>
        <v>Test</v>
      </c>
      <c r="C1672">
        <f t="shared" ca="1" si="339"/>
        <v>45</v>
      </c>
      <c r="D1672" t="str">
        <f t="shared" ca="1" si="340"/>
        <v>Male</v>
      </c>
      <c r="E1672" t="str">
        <f t="shared" ca="1" si="341"/>
        <v>Sportswear</v>
      </c>
      <c r="F1672">
        <f t="shared" ca="1" si="342"/>
        <v>4623</v>
      </c>
      <c r="G1672">
        <f t="shared" ca="1" si="343"/>
        <v>25</v>
      </c>
      <c r="H1672">
        <f t="shared" ca="1" si="344"/>
        <v>3467.25</v>
      </c>
      <c r="I1672">
        <f t="shared" ca="1" si="345"/>
        <v>1</v>
      </c>
      <c r="J1672">
        <f t="shared" ca="1" si="346"/>
        <v>1</v>
      </c>
      <c r="K1672">
        <f t="shared" ca="1" si="347"/>
        <v>1</v>
      </c>
      <c r="L1672">
        <f t="shared" ca="1" si="348"/>
        <v>3467.25</v>
      </c>
      <c r="M1672">
        <f t="shared" ca="1" si="349"/>
        <v>6</v>
      </c>
      <c r="N1672">
        <f t="shared" ca="1" si="350"/>
        <v>0</v>
      </c>
    </row>
    <row r="1673" spans="1:14" x14ac:dyDescent="0.35">
      <c r="A1673" t="s">
        <v>1690</v>
      </c>
      <c r="B1673" t="str">
        <f t="shared" si="338"/>
        <v>Test</v>
      </c>
      <c r="C1673">
        <f t="shared" ca="1" si="339"/>
        <v>25</v>
      </c>
      <c r="D1673" t="str">
        <f t="shared" ca="1" si="340"/>
        <v>Male</v>
      </c>
      <c r="E1673" t="str">
        <f t="shared" ca="1" si="341"/>
        <v>Shoes</v>
      </c>
      <c r="F1673">
        <f t="shared" ca="1" si="342"/>
        <v>1673</v>
      </c>
      <c r="G1673">
        <f t="shared" ca="1" si="343"/>
        <v>25</v>
      </c>
      <c r="H1673">
        <f t="shared" ca="1" si="344"/>
        <v>1254.75</v>
      </c>
      <c r="I1673">
        <f t="shared" ca="1" si="345"/>
        <v>1</v>
      </c>
      <c r="J1673">
        <f t="shared" ca="1" si="346"/>
        <v>1</v>
      </c>
      <c r="K1673">
        <f t="shared" ca="1" si="347"/>
        <v>1</v>
      </c>
      <c r="L1673">
        <f t="shared" ca="1" si="348"/>
        <v>1254.75</v>
      </c>
      <c r="M1673">
        <f t="shared" ca="1" si="349"/>
        <v>7</v>
      </c>
      <c r="N1673">
        <f t="shared" ca="1" si="350"/>
        <v>0</v>
      </c>
    </row>
    <row r="1674" spans="1:14" x14ac:dyDescent="0.35">
      <c r="A1674" t="s">
        <v>1691</v>
      </c>
      <c r="B1674" t="str">
        <f t="shared" si="338"/>
        <v>Test</v>
      </c>
      <c r="C1674">
        <f t="shared" ca="1" si="339"/>
        <v>18</v>
      </c>
      <c r="D1674" t="str">
        <f t="shared" ca="1" si="340"/>
        <v>Male</v>
      </c>
      <c r="E1674" t="str">
        <f t="shared" ca="1" si="341"/>
        <v>Dresses</v>
      </c>
      <c r="F1674">
        <f t="shared" ca="1" si="342"/>
        <v>4356</v>
      </c>
      <c r="G1674">
        <f t="shared" ca="1" si="343"/>
        <v>20</v>
      </c>
      <c r="H1674">
        <f t="shared" ca="1" si="344"/>
        <v>3484.8</v>
      </c>
      <c r="I1674">
        <f t="shared" ca="1" si="345"/>
        <v>1</v>
      </c>
      <c r="J1674">
        <f t="shared" ca="1" si="346"/>
        <v>1</v>
      </c>
      <c r="K1674">
        <f t="shared" ca="1" si="347"/>
        <v>0</v>
      </c>
      <c r="L1674">
        <f t="shared" ca="1" si="348"/>
        <v>0</v>
      </c>
      <c r="M1674">
        <f t="shared" ca="1" si="349"/>
        <v>7</v>
      </c>
      <c r="N1674">
        <f t="shared" ca="1" si="350"/>
        <v>0</v>
      </c>
    </row>
    <row r="1675" spans="1:14" x14ac:dyDescent="0.35">
      <c r="A1675" t="s">
        <v>1692</v>
      </c>
      <c r="B1675" t="str">
        <f t="shared" si="338"/>
        <v>Test</v>
      </c>
      <c r="C1675">
        <f t="shared" ca="1" si="339"/>
        <v>43</v>
      </c>
      <c r="D1675" t="str">
        <f t="shared" ca="1" si="340"/>
        <v>Female</v>
      </c>
      <c r="E1675" t="str">
        <f t="shared" ca="1" si="341"/>
        <v>Accessories</v>
      </c>
      <c r="F1675">
        <f t="shared" ca="1" si="342"/>
        <v>944</v>
      </c>
      <c r="G1675">
        <f t="shared" ca="1" si="343"/>
        <v>25</v>
      </c>
      <c r="H1675">
        <f t="shared" ca="1" si="344"/>
        <v>708</v>
      </c>
      <c r="I1675">
        <f t="shared" ca="1" si="345"/>
        <v>1</v>
      </c>
      <c r="J1675">
        <f t="shared" ca="1" si="346"/>
        <v>0</v>
      </c>
      <c r="K1675">
        <f t="shared" ca="1" si="347"/>
        <v>0</v>
      </c>
      <c r="L1675">
        <f t="shared" ca="1" si="348"/>
        <v>0</v>
      </c>
      <c r="M1675">
        <f t="shared" ca="1" si="349"/>
        <v>4</v>
      </c>
      <c r="N1675">
        <f t="shared" ca="1" si="350"/>
        <v>0</v>
      </c>
    </row>
    <row r="1676" spans="1:14" x14ac:dyDescent="0.35">
      <c r="A1676" t="s">
        <v>1693</v>
      </c>
      <c r="B1676" t="str">
        <f t="shared" si="338"/>
        <v>Test</v>
      </c>
      <c r="C1676">
        <f t="shared" ca="1" si="339"/>
        <v>44</v>
      </c>
      <c r="D1676" t="str">
        <f t="shared" ca="1" si="340"/>
        <v>Male</v>
      </c>
      <c r="E1676" t="str">
        <f t="shared" ca="1" si="341"/>
        <v>Jeans</v>
      </c>
      <c r="F1676">
        <f t="shared" ca="1" si="342"/>
        <v>4006</v>
      </c>
      <c r="G1676">
        <f t="shared" ca="1" si="343"/>
        <v>15</v>
      </c>
      <c r="H1676">
        <f t="shared" ca="1" si="344"/>
        <v>3405.1</v>
      </c>
      <c r="I1676">
        <f t="shared" ca="1" si="345"/>
        <v>1</v>
      </c>
      <c r="J1676">
        <f t="shared" ca="1" si="346"/>
        <v>0</v>
      </c>
      <c r="K1676">
        <f t="shared" ca="1" si="347"/>
        <v>0</v>
      </c>
      <c r="L1676">
        <f t="shared" ca="1" si="348"/>
        <v>0</v>
      </c>
      <c r="M1676">
        <f t="shared" ca="1" si="349"/>
        <v>4</v>
      </c>
      <c r="N1676">
        <f t="shared" ca="1" si="350"/>
        <v>0</v>
      </c>
    </row>
    <row r="1677" spans="1:14" x14ac:dyDescent="0.35">
      <c r="A1677" t="s">
        <v>1694</v>
      </c>
      <c r="B1677" t="str">
        <f t="shared" si="338"/>
        <v>Test</v>
      </c>
      <c r="C1677">
        <f t="shared" ca="1" si="339"/>
        <v>38</v>
      </c>
      <c r="D1677" t="str">
        <f t="shared" ca="1" si="340"/>
        <v>Male</v>
      </c>
      <c r="E1677" t="str">
        <f t="shared" ca="1" si="341"/>
        <v>Sportswear</v>
      </c>
      <c r="F1677">
        <f t="shared" ca="1" si="342"/>
        <v>7743</v>
      </c>
      <c r="G1677">
        <f t="shared" ca="1" si="343"/>
        <v>25</v>
      </c>
      <c r="H1677">
        <f t="shared" ca="1" si="344"/>
        <v>5807.25</v>
      </c>
      <c r="I1677">
        <f t="shared" ca="1" si="345"/>
        <v>1</v>
      </c>
      <c r="J1677">
        <f t="shared" ca="1" si="346"/>
        <v>1</v>
      </c>
      <c r="K1677">
        <f t="shared" ca="1" si="347"/>
        <v>1</v>
      </c>
      <c r="L1677">
        <f t="shared" ca="1" si="348"/>
        <v>5807.25</v>
      </c>
      <c r="M1677">
        <f t="shared" ca="1" si="349"/>
        <v>2</v>
      </c>
      <c r="N1677">
        <f t="shared" ca="1" si="350"/>
        <v>0</v>
      </c>
    </row>
    <row r="1678" spans="1:14" x14ac:dyDescent="0.35">
      <c r="A1678" t="s">
        <v>1695</v>
      </c>
      <c r="B1678" t="str">
        <f t="shared" si="338"/>
        <v>Test</v>
      </c>
      <c r="C1678">
        <f t="shared" ca="1" si="339"/>
        <v>29</v>
      </c>
      <c r="D1678" t="str">
        <f t="shared" ca="1" si="340"/>
        <v>Other</v>
      </c>
      <c r="E1678" t="str">
        <f t="shared" ca="1" si="341"/>
        <v>Accessories</v>
      </c>
      <c r="F1678">
        <f t="shared" ca="1" si="342"/>
        <v>7825</v>
      </c>
      <c r="G1678">
        <f t="shared" ca="1" si="343"/>
        <v>25</v>
      </c>
      <c r="H1678">
        <f t="shared" ca="1" si="344"/>
        <v>5868.75</v>
      </c>
      <c r="I1678">
        <f t="shared" ca="1" si="345"/>
        <v>0</v>
      </c>
      <c r="J1678">
        <f t="shared" ca="1" si="346"/>
        <v>0</v>
      </c>
      <c r="K1678">
        <f t="shared" ca="1" si="347"/>
        <v>0</v>
      </c>
      <c r="L1678">
        <f t="shared" ca="1" si="348"/>
        <v>0</v>
      </c>
      <c r="M1678">
        <f t="shared" ca="1" si="349"/>
        <v>4</v>
      </c>
      <c r="N1678">
        <f t="shared" ca="1" si="350"/>
        <v>0</v>
      </c>
    </row>
    <row r="1679" spans="1:14" x14ac:dyDescent="0.35">
      <c r="A1679" t="s">
        <v>1696</v>
      </c>
      <c r="B1679" t="str">
        <f t="shared" si="338"/>
        <v>Test</v>
      </c>
      <c r="C1679">
        <f t="shared" ca="1" si="339"/>
        <v>34</v>
      </c>
      <c r="D1679" t="str">
        <f t="shared" ca="1" si="340"/>
        <v>Male</v>
      </c>
      <c r="E1679" t="str">
        <f t="shared" ca="1" si="341"/>
        <v>Dresses</v>
      </c>
      <c r="F1679">
        <f t="shared" ca="1" si="342"/>
        <v>5890</v>
      </c>
      <c r="G1679">
        <f t="shared" ca="1" si="343"/>
        <v>20</v>
      </c>
      <c r="H1679">
        <f t="shared" ca="1" si="344"/>
        <v>4712</v>
      </c>
      <c r="I1679">
        <f t="shared" ca="1" si="345"/>
        <v>1</v>
      </c>
      <c r="J1679">
        <f t="shared" ca="1" si="346"/>
        <v>0</v>
      </c>
      <c r="K1679">
        <f t="shared" ca="1" si="347"/>
        <v>0</v>
      </c>
      <c r="L1679">
        <f t="shared" ca="1" si="348"/>
        <v>0</v>
      </c>
      <c r="M1679">
        <f t="shared" ca="1" si="349"/>
        <v>6</v>
      </c>
      <c r="N1679">
        <f t="shared" ca="1" si="350"/>
        <v>0</v>
      </c>
    </row>
    <row r="1680" spans="1:14" x14ac:dyDescent="0.35">
      <c r="A1680" t="s">
        <v>1697</v>
      </c>
      <c r="B1680" t="str">
        <f t="shared" si="338"/>
        <v>Test</v>
      </c>
      <c r="C1680">
        <f t="shared" ca="1" si="339"/>
        <v>45</v>
      </c>
      <c r="D1680" t="str">
        <f t="shared" ca="1" si="340"/>
        <v>Female</v>
      </c>
      <c r="E1680" t="str">
        <f t="shared" ca="1" si="341"/>
        <v>Tops</v>
      </c>
      <c r="F1680">
        <f t="shared" ca="1" si="342"/>
        <v>6095</v>
      </c>
      <c r="G1680">
        <f t="shared" ca="1" si="343"/>
        <v>15</v>
      </c>
      <c r="H1680">
        <f t="shared" ca="1" si="344"/>
        <v>5180.75</v>
      </c>
      <c r="I1680">
        <f t="shared" ca="1" si="345"/>
        <v>0</v>
      </c>
      <c r="J1680">
        <f t="shared" ca="1" si="346"/>
        <v>0</v>
      </c>
      <c r="K1680">
        <f t="shared" ca="1" si="347"/>
        <v>0</v>
      </c>
      <c r="L1680">
        <f t="shared" ca="1" si="348"/>
        <v>0</v>
      </c>
      <c r="M1680">
        <f t="shared" ca="1" si="349"/>
        <v>4</v>
      </c>
      <c r="N1680">
        <f t="shared" ca="1" si="350"/>
        <v>0</v>
      </c>
    </row>
    <row r="1681" spans="1:14" x14ac:dyDescent="0.35">
      <c r="A1681" t="s">
        <v>1698</v>
      </c>
      <c r="B1681" t="str">
        <f t="shared" si="338"/>
        <v>Test</v>
      </c>
      <c r="C1681">
        <f t="shared" ca="1" si="339"/>
        <v>26</v>
      </c>
      <c r="D1681" t="str">
        <f t="shared" ca="1" si="340"/>
        <v>Female</v>
      </c>
      <c r="E1681" t="str">
        <f t="shared" ca="1" si="341"/>
        <v>Sportswear</v>
      </c>
      <c r="F1681">
        <f t="shared" ca="1" si="342"/>
        <v>1131</v>
      </c>
      <c r="G1681">
        <f t="shared" ca="1" si="343"/>
        <v>15</v>
      </c>
      <c r="H1681">
        <f t="shared" ca="1" si="344"/>
        <v>961.35</v>
      </c>
      <c r="I1681">
        <f t="shared" ca="1" si="345"/>
        <v>1</v>
      </c>
      <c r="J1681">
        <f t="shared" ca="1" si="346"/>
        <v>1</v>
      </c>
      <c r="K1681">
        <f t="shared" ca="1" si="347"/>
        <v>0</v>
      </c>
      <c r="L1681">
        <f t="shared" ca="1" si="348"/>
        <v>0</v>
      </c>
      <c r="M1681">
        <f t="shared" ca="1" si="349"/>
        <v>1</v>
      </c>
      <c r="N1681">
        <f t="shared" ca="1" si="350"/>
        <v>0</v>
      </c>
    </row>
    <row r="1682" spans="1:14" x14ac:dyDescent="0.35">
      <c r="A1682" t="s">
        <v>1699</v>
      </c>
      <c r="B1682" t="str">
        <f t="shared" si="338"/>
        <v>Test</v>
      </c>
      <c r="C1682">
        <f t="shared" ca="1" si="339"/>
        <v>36</v>
      </c>
      <c r="D1682" t="str">
        <f t="shared" ca="1" si="340"/>
        <v>Female</v>
      </c>
      <c r="E1682" t="str">
        <f t="shared" ca="1" si="341"/>
        <v>T-shirts</v>
      </c>
      <c r="F1682">
        <f t="shared" ca="1" si="342"/>
        <v>3189</v>
      </c>
      <c r="G1682">
        <f t="shared" ca="1" si="343"/>
        <v>15</v>
      </c>
      <c r="H1682">
        <f t="shared" ca="1" si="344"/>
        <v>2710.65</v>
      </c>
      <c r="I1682">
        <f t="shared" ca="1" si="345"/>
        <v>0</v>
      </c>
      <c r="J1682">
        <f t="shared" ca="1" si="346"/>
        <v>0</v>
      </c>
      <c r="K1682">
        <f t="shared" ca="1" si="347"/>
        <v>0</v>
      </c>
      <c r="L1682">
        <f t="shared" ca="1" si="348"/>
        <v>0</v>
      </c>
      <c r="M1682">
        <f t="shared" ca="1" si="349"/>
        <v>4</v>
      </c>
      <c r="N1682">
        <f t="shared" ca="1" si="350"/>
        <v>0</v>
      </c>
    </row>
    <row r="1683" spans="1:14" x14ac:dyDescent="0.35">
      <c r="A1683" t="s">
        <v>1700</v>
      </c>
      <c r="B1683" t="str">
        <f t="shared" si="338"/>
        <v>Test</v>
      </c>
      <c r="C1683">
        <f t="shared" ca="1" si="339"/>
        <v>44</v>
      </c>
      <c r="D1683" t="str">
        <f t="shared" ca="1" si="340"/>
        <v>Female</v>
      </c>
      <c r="E1683" t="str">
        <f t="shared" ca="1" si="341"/>
        <v>Ethnic Wear</v>
      </c>
      <c r="F1683">
        <f t="shared" ca="1" si="342"/>
        <v>7200</v>
      </c>
      <c r="G1683">
        <f t="shared" ca="1" si="343"/>
        <v>20</v>
      </c>
      <c r="H1683">
        <f t="shared" ca="1" si="344"/>
        <v>5760</v>
      </c>
      <c r="I1683">
        <f t="shared" ca="1" si="345"/>
        <v>1</v>
      </c>
      <c r="J1683">
        <f t="shared" ca="1" si="346"/>
        <v>0</v>
      </c>
      <c r="K1683">
        <f t="shared" ca="1" si="347"/>
        <v>0</v>
      </c>
      <c r="L1683">
        <f t="shared" ca="1" si="348"/>
        <v>0</v>
      </c>
      <c r="M1683">
        <f t="shared" ca="1" si="349"/>
        <v>5</v>
      </c>
      <c r="N1683">
        <f t="shared" ca="1" si="350"/>
        <v>0</v>
      </c>
    </row>
    <row r="1684" spans="1:14" x14ac:dyDescent="0.35">
      <c r="A1684" t="s">
        <v>1701</v>
      </c>
      <c r="B1684" t="str">
        <f t="shared" si="338"/>
        <v>Test</v>
      </c>
      <c r="C1684">
        <f t="shared" ca="1" si="339"/>
        <v>45</v>
      </c>
      <c r="D1684" t="str">
        <f t="shared" ca="1" si="340"/>
        <v>Male</v>
      </c>
      <c r="E1684" t="str">
        <f t="shared" ca="1" si="341"/>
        <v>Ethnic Wear</v>
      </c>
      <c r="F1684">
        <f t="shared" ca="1" si="342"/>
        <v>7374</v>
      </c>
      <c r="G1684">
        <f t="shared" ca="1" si="343"/>
        <v>15</v>
      </c>
      <c r="H1684">
        <f t="shared" ca="1" si="344"/>
        <v>6267.9</v>
      </c>
      <c r="I1684">
        <f t="shared" ca="1" si="345"/>
        <v>1</v>
      </c>
      <c r="J1684">
        <f t="shared" ca="1" si="346"/>
        <v>0</v>
      </c>
      <c r="K1684">
        <f t="shared" ca="1" si="347"/>
        <v>0</v>
      </c>
      <c r="L1684">
        <f t="shared" ca="1" si="348"/>
        <v>0</v>
      </c>
      <c r="M1684">
        <f t="shared" ca="1" si="349"/>
        <v>7</v>
      </c>
      <c r="N1684">
        <f t="shared" ca="1" si="350"/>
        <v>0</v>
      </c>
    </row>
    <row r="1685" spans="1:14" x14ac:dyDescent="0.35">
      <c r="A1685" t="s">
        <v>1702</v>
      </c>
      <c r="B1685" t="str">
        <f t="shared" si="338"/>
        <v>Test</v>
      </c>
      <c r="C1685">
        <f t="shared" ca="1" si="339"/>
        <v>22</v>
      </c>
      <c r="D1685" t="str">
        <f t="shared" ca="1" si="340"/>
        <v>Male</v>
      </c>
      <c r="E1685" t="str">
        <f t="shared" ca="1" si="341"/>
        <v>Jeans</v>
      </c>
      <c r="F1685">
        <f t="shared" ca="1" si="342"/>
        <v>3999</v>
      </c>
      <c r="G1685">
        <f t="shared" ca="1" si="343"/>
        <v>15</v>
      </c>
      <c r="H1685">
        <f t="shared" ca="1" si="344"/>
        <v>3399.15</v>
      </c>
      <c r="I1685">
        <f t="shared" ca="1" si="345"/>
        <v>1</v>
      </c>
      <c r="J1685">
        <f t="shared" ca="1" si="346"/>
        <v>1</v>
      </c>
      <c r="K1685">
        <f t="shared" ca="1" si="347"/>
        <v>1</v>
      </c>
      <c r="L1685">
        <f t="shared" ca="1" si="348"/>
        <v>3399.15</v>
      </c>
      <c r="M1685">
        <f t="shared" ca="1" si="349"/>
        <v>2</v>
      </c>
      <c r="N1685">
        <f t="shared" ca="1" si="350"/>
        <v>0</v>
      </c>
    </row>
    <row r="1686" spans="1:14" x14ac:dyDescent="0.35">
      <c r="A1686" t="s">
        <v>1703</v>
      </c>
      <c r="B1686" t="str">
        <f t="shared" si="338"/>
        <v>Test</v>
      </c>
      <c r="C1686">
        <f t="shared" ca="1" si="339"/>
        <v>20</v>
      </c>
      <c r="D1686" t="str">
        <f t="shared" ca="1" si="340"/>
        <v>Female</v>
      </c>
      <c r="E1686" t="str">
        <f t="shared" ca="1" si="341"/>
        <v>Accessories</v>
      </c>
      <c r="F1686">
        <f t="shared" ca="1" si="342"/>
        <v>4112</v>
      </c>
      <c r="G1686">
        <f t="shared" ca="1" si="343"/>
        <v>25</v>
      </c>
      <c r="H1686">
        <f t="shared" ca="1" si="344"/>
        <v>3084</v>
      </c>
      <c r="I1686">
        <f t="shared" ca="1" si="345"/>
        <v>1</v>
      </c>
      <c r="J1686">
        <f t="shared" ca="1" si="346"/>
        <v>0</v>
      </c>
      <c r="K1686">
        <f t="shared" ca="1" si="347"/>
        <v>0</v>
      </c>
      <c r="L1686">
        <f t="shared" ca="1" si="348"/>
        <v>0</v>
      </c>
      <c r="M1686">
        <f t="shared" ca="1" si="349"/>
        <v>1</v>
      </c>
      <c r="N1686">
        <f t="shared" ca="1" si="350"/>
        <v>0</v>
      </c>
    </row>
    <row r="1687" spans="1:14" x14ac:dyDescent="0.35">
      <c r="A1687" t="s">
        <v>1704</v>
      </c>
      <c r="B1687" t="str">
        <f t="shared" si="338"/>
        <v>Test</v>
      </c>
      <c r="C1687">
        <f t="shared" ca="1" si="339"/>
        <v>38</v>
      </c>
      <c r="D1687" t="str">
        <f t="shared" ca="1" si="340"/>
        <v>Male</v>
      </c>
      <c r="E1687" t="str">
        <f t="shared" ca="1" si="341"/>
        <v>Shoes</v>
      </c>
      <c r="F1687">
        <f t="shared" ca="1" si="342"/>
        <v>1971</v>
      </c>
      <c r="G1687">
        <f t="shared" ca="1" si="343"/>
        <v>25</v>
      </c>
      <c r="H1687">
        <f t="shared" ca="1" si="344"/>
        <v>1478.25</v>
      </c>
      <c r="I1687">
        <f t="shared" ca="1" si="345"/>
        <v>1</v>
      </c>
      <c r="J1687">
        <f t="shared" ca="1" si="346"/>
        <v>1</v>
      </c>
      <c r="K1687">
        <f t="shared" ca="1" si="347"/>
        <v>1</v>
      </c>
      <c r="L1687">
        <f t="shared" ca="1" si="348"/>
        <v>1478.25</v>
      </c>
      <c r="M1687">
        <f t="shared" ca="1" si="349"/>
        <v>4</v>
      </c>
      <c r="N1687">
        <f t="shared" ca="1" si="350"/>
        <v>1</v>
      </c>
    </row>
    <row r="1688" spans="1:14" x14ac:dyDescent="0.35">
      <c r="A1688" t="s">
        <v>1705</v>
      </c>
      <c r="B1688" t="str">
        <f t="shared" si="338"/>
        <v>Test</v>
      </c>
      <c r="C1688">
        <f t="shared" ca="1" si="339"/>
        <v>42</v>
      </c>
      <c r="D1688" t="str">
        <f t="shared" ca="1" si="340"/>
        <v>Female</v>
      </c>
      <c r="E1688" t="str">
        <f t="shared" ca="1" si="341"/>
        <v>T-shirts</v>
      </c>
      <c r="F1688">
        <f t="shared" ca="1" si="342"/>
        <v>3917</v>
      </c>
      <c r="G1688">
        <f t="shared" ca="1" si="343"/>
        <v>20</v>
      </c>
      <c r="H1688">
        <f t="shared" ca="1" si="344"/>
        <v>3133.6000000000004</v>
      </c>
      <c r="I1688">
        <f t="shared" ca="1" si="345"/>
        <v>1</v>
      </c>
      <c r="J1688">
        <f t="shared" ca="1" si="346"/>
        <v>1</v>
      </c>
      <c r="K1688">
        <f t="shared" ca="1" si="347"/>
        <v>1</v>
      </c>
      <c r="L1688">
        <f t="shared" ca="1" si="348"/>
        <v>3133.6000000000004</v>
      </c>
      <c r="M1688">
        <f t="shared" ca="1" si="349"/>
        <v>1</v>
      </c>
      <c r="N1688">
        <f t="shared" ca="1" si="350"/>
        <v>0</v>
      </c>
    </row>
    <row r="1689" spans="1:14" x14ac:dyDescent="0.35">
      <c r="A1689" t="s">
        <v>1706</v>
      </c>
      <c r="B1689" t="str">
        <f t="shared" si="338"/>
        <v>Test</v>
      </c>
      <c r="C1689">
        <f t="shared" ca="1" si="339"/>
        <v>28</v>
      </c>
      <c r="D1689" t="str">
        <f t="shared" ca="1" si="340"/>
        <v>Male</v>
      </c>
      <c r="E1689" t="str">
        <f t="shared" ca="1" si="341"/>
        <v>Accessories</v>
      </c>
      <c r="F1689">
        <f t="shared" ca="1" si="342"/>
        <v>2768</v>
      </c>
      <c r="G1689">
        <f t="shared" ca="1" si="343"/>
        <v>20</v>
      </c>
      <c r="H1689">
        <f t="shared" ca="1" si="344"/>
        <v>2214.4</v>
      </c>
      <c r="I1689">
        <f t="shared" ca="1" si="345"/>
        <v>1</v>
      </c>
      <c r="J1689">
        <f t="shared" ca="1" si="346"/>
        <v>1</v>
      </c>
      <c r="K1689">
        <f t="shared" ca="1" si="347"/>
        <v>0</v>
      </c>
      <c r="L1689">
        <f t="shared" ca="1" si="348"/>
        <v>0</v>
      </c>
      <c r="M1689">
        <f t="shared" ca="1" si="349"/>
        <v>7</v>
      </c>
      <c r="N1689">
        <f t="shared" ca="1" si="350"/>
        <v>0</v>
      </c>
    </row>
    <row r="1690" spans="1:14" x14ac:dyDescent="0.35">
      <c r="A1690" t="s">
        <v>1707</v>
      </c>
      <c r="B1690" t="str">
        <f t="shared" si="338"/>
        <v>Test</v>
      </c>
      <c r="C1690">
        <f t="shared" ca="1" si="339"/>
        <v>21</v>
      </c>
      <c r="D1690" t="str">
        <f t="shared" ca="1" si="340"/>
        <v>Female</v>
      </c>
      <c r="E1690" t="str">
        <f t="shared" ca="1" si="341"/>
        <v>Dresses</v>
      </c>
      <c r="F1690">
        <f t="shared" ca="1" si="342"/>
        <v>4309</v>
      </c>
      <c r="G1690">
        <f t="shared" ca="1" si="343"/>
        <v>15</v>
      </c>
      <c r="H1690">
        <f t="shared" ca="1" si="344"/>
        <v>3662.65</v>
      </c>
      <c r="I1690">
        <f t="shared" ca="1" si="345"/>
        <v>1</v>
      </c>
      <c r="J1690">
        <f t="shared" ca="1" si="346"/>
        <v>1</v>
      </c>
      <c r="K1690">
        <f t="shared" ca="1" si="347"/>
        <v>0</v>
      </c>
      <c r="L1690">
        <f t="shared" ca="1" si="348"/>
        <v>0</v>
      </c>
      <c r="M1690">
        <f t="shared" ca="1" si="349"/>
        <v>6</v>
      </c>
      <c r="N1690">
        <f t="shared" ca="1" si="350"/>
        <v>0</v>
      </c>
    </row>
    <row r="1691" spans="1:14" x14ac:dyDescent="0.35">
      <c r="A1691" t="s">
        <v>1708</v>
      </c>
      <c r="B1691" t="str">
        <f t="shared" si="338"/>
        <v>Test</v>
      </c>
      <c r="C1691">
        <f t="shared" ca="1" si="339"/>
        <v>27</v>
      </c>
      <c r="D1691" t="str">
        <f t="shared" ca="1" si="340"/>
        <v>Other</v>
      </c>
      <c r="E1691" t="str">
        <f t="shared" ca="1" si="341"/>
        <v>T-shirts</v>
      </c>
      <c r="F1691">
        <f t="shared" ca="1" si="342"/>
        <v>3991</v>
      </c>
      <c r="G1691">
        <f t="shared" ca="1" si="343"/>
        <v>20</v>
      </c>
      <c r="H1691">
        <f t="shared" ca="1" si="344"/>
        <v>3192.8</v>
      </c>
      <c r="I1691">
        <f t="shared" ca="1" si="345"/>
        <v>1</v>
      </c>
      <c r="J1691">
        <f t="shared" ca="1" si="346"/>
        <v>1</v>
      </c>
      <c r="K1691">
        <f t="shared" ca="1" si="347"/>
        <v>1</v>
      </c>
      <c r="L1691">
        <f t="shared" ca="1" si="348"/>
        <v>3192.8</v>
      </c>
      <c r="M1691">
        <f t="shared" ca="1" si="349"/>
        <v>5</v>
      </c>
      <c r="N1691">
        <f t="shared" ca="1" si="350"/>
        <v>0</v>
      </c>
    </row>
    <row r="1692" spans="1:14" x14ac:dyDescent="0.35">
      <c r="A1692" t="s">
        <v>1709</v>
      </c>
      <c r="B1692" t="str">
        <f t="shared" si="338"/>
        <v>Test</v>
      </c>
      <c r="C1692">
        <f t="shared" ca="1" si="339"/>
        <v>24</v>
      </c>
      <c r="D1692" t="str">
        <f t="shared" ca="1" si="340"/>
        <v>Male</v>
      </c>
      <c r="E1692" t="str">
        <f t="shared" ca="1" si="341"/>
        <v>T-shirts</v>
      </c>
      <c r="F1692">
        <f t="shared" ca="1" si="342"/>
        <v>4841</v>
      </c>
      <c r="G1692">
        <f t="shared" ca="1" si="343"/>
        <v>15</v>
      </c>
      <c r="H1692">
        <f t="shared" ca="1" si="344"/>
        <v>4114.8499999999995</v>
      </c>
      <c r="I1692">
        <f t="shared" ca="1" si="345"/>
        <v>1</v>
      </c>
      <c r="J1692">
        <f t="shared" ca="1" si="346"/>
        <v>0</v>
      </c>
      <c r="K1692">
        <f t="shared" ca="1" si="347"/>
        <v>0</v>
      </c>
      <c r="L1692">
        <f t="shared" ca="1" si="348"/>
        <v>0</v>
      </c>
      <c r="M1692">
        <f t="shared" ca="1" si="349"/>
        <v>2</v>
      </c>
      <c r="N1692">
        <f t="shared" ca="1" si="350"/>
        <v>0</v>
      </c>
    </row>
    <row r="1693" spans="1:14" x14ac:dyDescent="0.35">
      <c r="A1693" t="s">
        <v>1710</v>
      </c>
      <c r="B1693" t="str">
        <f t="shared" si="338"/>
        <v>Test</v>
      </c>
      <c r="C1693">
        <f t="shared" ca="1" si="339"/>
        <v>21</v>
      </c>
      <c r="D1693" t="str">
        <f t="shared" ca="1" si="340"/>
        <v>Male</v>
      </c>
      <c r="E1693" t="str">
        <f t="shared" ca="1" si="341"/>
        <v>Accessories</v>
      </c>
      <c r="F1693">
        <f t="shared" ca="1" si="342"/>
        <v>1089</v>
      </c>
      <c r="G1693">
        <f t="shared" ca="1" si="343"/>
        <v>20</v>
      </c>
      <c r="H1693">
        <f t="shared" ca="1" si="344"/>
        <v>871.2</v>
      </c>
      <c r="I1693">
        <f t="shared" ca="1" si="345"/>
        <v>1</v>
      </c>
      <c r="J1693">
        <f t="shared" ca="1" si="346"/>
        <v>0</v>
      </c>
      <c r="K1693">
        <f t="shared" ca="1" si="347"/>
        <v>0</v>
      </c>
      <c r="L1693">
        <f t="shared" ca="1" si="348"/>
        <v>0</v>
      </c>
      <c r="M1693">
        <f t="shared" ca="1" si="349"/>
        <v>2</v>
      </c>
      <c r="N1693">
        <f t="shared" ca="1" si="350"/>
        <v>0</v>
      </c>
    </row>
    <row r="1694" spans="1:14" x14ac:dyDescent="0.35">
      <c r="A1694" t="s">
        <v>1711</v>
      </c>
      <c r="B1694" t="str">
        <f t="shared" si="338"/>
        <v>Test</v>
      </c>
      <c r="C1694">
        <f t="shared" ca="1" si="339"/>
        <v>35</v>
      </c>
      <c r="D1694" t="str">
        <f t="shared" ca="1" si="340"/>
        <v>Male</v>
      </c>
      <c r="E1694" t="str">
        <f t="shared" ca="1" si="341"/>
        <v>Sportswear</v>
      </c>
      <c r="F1694">
        <f t="shared" ca="1" si="342"/>
        <v>3935</v>
      </c>
      <c r="G1694">
        <f t="shared" ca="1" si="343"/>
        <v>25</v>
      </c>
      <c r="H1694">
        <f t="shared" ca="1" si="344"/>
        <v>2951.25</v>
      </c>
      <c r="I1694">
        <f t="shared" ca="1" si="345"/>
        <v>1</v>
      </c>
      <c r="J1694">
        <f t="shared" ca="1" si="346"/>
        <v>1</v>
      </c>
      <c r="K1694">
        <f t="shared" ca="1" si="347"/>
        <v>0</v>
      </c>
      <c r="L1694">
        <f t="shared" ca="1" si="348"/>
        <v>0</v>
      </c>
      <c r="M1694">
        <f t="shared" ca="1" si="349"/>
        <v>5</v>
      </c>
      <c r="N1694">
        <f t="shared" ca="1" si="350"/>
        <v>0</v>
      </c>
    </row>
    <row r="1695" spans="1:14" x14ac:dyDescent="0.35">
      <c r="A1695" t="s">
        <v>1712</v>
      </c>
      <c r="B1695" t="str">
        <f t="shared" si="338"/>
        <v>Test</v>
      </c>
      <c r="C1695">
        <f t="shared" ca="1" si="339"/>
        <v>41</v>
      </c>
      <c r="D1695" t="str">
        <f t="shared" ca="1" si="340"/>
        <v>Female</v>
      </c>
      <c r="E1695" t="str">
        <f t="shared" ca="1" si="341"/>
        <v>Sportswear</v>
      </c>
      <c r="F1695">
        <f t="shared" ca="1" si="342"/>
        <v>1721</v>
      </c>
      <c r="G1695">
        <f t="shared" ca="1" si="343"/>
        <v>20</v>
      </c>
      <c r="H1695">
        <f t="shared" ca="1" si="344"/>
        <v>1376.8000000000002</v>
      </c>
      <c r="I1695">
        <f t="shared" ca="1" si="345"/>
        <v>1</v>
      </c>
      <c r="J1695">
        <f t="shared" ca="1" si="346"/>
        <v>1</v>
      </c>
      <c r="K1695">
        <f t="shared" ca="1" si="347"/>
        <v>0</v>
      </c>
      <c r="L1695">
        <f t="shared" ca="1" si="348"/>
        <v>0</v>
      </c>
      <c r="M1695">
        <f t="shared" ca="1" si="349"/>
        <v>7</v>
      </c>
      <c r="N1695">
        <f t="shared" ca="1" si="350"/>
        <v>0</v>
      </c>
    </row>
    <row r="1696" spans="1:14" x14ac:dyDescent="0.35">
      <c r="A1696" t="s">
        <v>1713</v>
      </c>
      <c r="B1696" t="str">
        <f t="shared" si="338"/>
        <v>Test</v>
      </c>
      <c r="C1696">
        <f t="shared" ca="1" si="339"/>
        <v>33</v>
      </c>
      <c r="D1696" t="str">
        <f t="shared" ca="1" si="340"/>
        <v>Female</v>
      </c>
      <c r="E1696" t="str">
        <f t="shared" ca="1" si="341"/>
        <v>T-shirts</v>
      </c>
      <c r="F1696">
        <f t="shared" ca="1" si="342"/>
        <v>4400</v>
      </c>
      <c r="G1696">
        <f t="shared" ca="1" si="343"/>
        <v>25</v>
      </c>
      <c r="H1696">
        <f t="shared" ca="1" si="344"/>
        <v>3300</v>
      </c>
      <c r="I1696">
        <f t="shared" ca="1" si="345"/>
        <v>1</v>
      </c>
      <c r="J1696">
        <f t="shared" ca="1" si="346"/>
        <v>0</v>
      </c>
      <c r="K1696">
        <f t="shared" ca="1" si="347"/>
        <v>0</v>
      </c>
      <c r="L1696">
        <f t="shared" ca="1" si="348"/>
        <v>0</v>
      </c>
      <c r="M1696">
        <f t="shared" ca="1" si="349"/>
        <v>6</v>
      </c>
      <c r="N1696">
        <f t="shared" ca="1" si="350"/>
        <v>0</v>
      </c>
    </row>
    <row r="1697" spans="1:14" x14ac:dyDescent="0.35">
      <c r="A1697" t="s">
        <v>1714</v>
      </c>
      <c r="B1697" t="str">
        <f t="shared" si="338"/>
        <v>Test</v>
      </c>
      <c r="C1697">
        <f t="shared" ca="1" si="339"/>
        <v>34</v>
      </c>
      <c r="D1697" t="str">
        <f t="shared" ca="1" si="340"/>
        <v>Male</v>
      </c>
      <c r="E1697" t="str">
        <f t="shared" ca="1" si="341"/>
        <v>Dresses</v>
      </c>
      <c r="F1697">
        <f t="shared" ca="1" si="342"/>
        <v>3693</v>
      </c>
      <c r="G1697">
        <f t="shared" ca="1" si="343"/>
        <v>15</v>
      </c>
      <c r="H1697">
        <f t="shared" ca="1" si="344"/>
        <v>3139.0499999999997</v>
      </c>
      <c r="I1697">
        <f t="shared" ca="1" si="345"/>
        <v>1</v>
      </c>
      <c r="J1697">
        <f t="shared" ca="1" si="346"/>
        <v>0</v>
      </c>
      <c r="K1697">
        <f t="shared" ca="1" si="347"/>
        <v>0</v>
      </c>
      <c r="L1697">
        <f t="shared" ca="1" si="348"/>
        <v>0</v>
      </c>
      <c r="M1697">
        <f t="shared" ca="1" si="349"/>
        <v>7</v>
      </c>
      <c r="N1697">
        <f t="shared" ca="1" si="350"/>
        <v>0</v>
      </c>
    </row>
    <row r="1698" spans="1:14" x14ac:dyDescent="0.35">
      <c r="A1698" t="s">
        <v>1715</v>
      </c>
      <c r="B1698" t="str">
        <f t="shared" si="338"/>
        <v>Test</v>
      </c>
      <c r="C1698">
        <f t="shared" ca="1" si="339"/>
        <v>20</v>
      </c>
      <c r="D1698" t="str">
        <f t="shared" ca="1" si="340"/>
        <v>Female</v>
      </c>
      <c r="E1698" t="str">
        <f t="shared" ca="1" si="341"/>
        <v>Accessories</v>
      </c>
      <c r="F1698">
        <f t="shared" ca="1" si="342"/>
        <v>4591</v>
      </c>
      <c r="G1698">
        <f t="shared" ca="1" si="343"/>
        <v>20</v>
      </c>
      <c r="H1698">
        <f t="shared" ca="1" si="344"/>
        <v>3672.8</v>
      </c>
      <c r="I1698">
        <f t="shared" ca="1" si="345"/>
        <v>1</v>
      </c>
      <c r="J1698">
        <f t="shared" ca="1" si="346"/>
        <v>1</v>
      </c>
      <c r="K1698">
        <f t="shared" ca="1" si="347"/>
        <v>0</v>
      </c>
      <c r="L1698">
        <f t="shared" ca="1" si="348"/>
        <v>0</v>
      </c>
      <c r="M1698">
        <f t="shared" ca="1" si="349"/>
        <v>4</v>
      </c>
      <c r="N1698">
        <f t="shared" ca="1" si="350"/>
        <v>0</v>
      </c>
    </row>
    <row r="1699" spans="1:14" x14ac:dyDescent="0.35">
      <c r="A1699" t="s">
        <v>1716</v>
      </c>
      <c r="B1699" t="str">
        <f t="shared" si="338"/>
        <v>Test</v>
      </c>
      <c r="C1699">
        <f t="shared" ca="1" si="339"/>
        <v>43</v>
      </c>
      <c r="D1699" t="str">
        <f t="shared" ca="1" si="340"/>
        <v>Female</v>
      </c>
      <c r="E1699" t="str">
        <f t="shared" ca="1" si="341"/>
        <v>Ethnic Wear</v>
      </c>
      <c r="F1699">
        <f t="shared" ca="1" si="342"/>
        <v>2774</v>
      </c>
      <c r="G1699">
        <f t="shared" ca="1" si="343"/>
        <v>25</v>
      </c>
      <c r="H1699">
        <f t="shared" ca="1" si="344"/>
        <v>2080.5</v>
      </c>
      <c r="I1699">
        <f t="shared" ca="1" si="345"/>
        <v>1</v>
      </c>
      <c r="J1699">
        <f t="shared" ca="1" si="346"/>
        <v>0</v>
      </c>
      <c r="K1699">
        <f t="shared" ca="1" si="347"/>
        <v>0</v>
      </c>
      <c r="L1699">
        <f t="shared" ca="1" si="348"/>
        <v>0</v>
      </c>
      <c r="M1699">
        <f t="shared" ca="1" si="349"/>
        <v>3</v>
      </c>
      <c r="N1699">
        <f t="shared" ca="1" si="350"/>
        <v>0</v>
      </c>
    </row>
    <row r="1700" spans="1:14" x14ac:dyDescent="0.35">
      <c r="A1700" t="s">
        <v>1717</v>
      </c>
      <c r="B1700" t="str">
        <f t="shared" si="338"/>
        <v>Test</v>
      </c>
      <c r="C1700">
        <f t="shared" ca="1" si="339"/>
        <v>25</v>
      </c>
      <c r="D1700" t="str">
        <f t="shared" ca="1" si="340"/>
        <v>Female</v>
      </c>
      <c r="E1700" t="str">
        <f t="shared" ca="1" si="341"/>
        <v>Sportswear</v>
      </c>
      <c r="F1700">
        <f t="shared" ca="1" si="342"/>
        <v>4406</v>
      </c>
      <c r="G1700">
        <f t="shared" ca="1" si="343"/>
        <v>20</v>
      </c>
      <c r="H1700">
        <f t="shared" ca="1" si="344"/>
        <v>3524.8</v>
      </c>
      <c r="I1700">
        <f t="shared" ca="1" si="345"/>
        <v>1</v>
      </c>
      <c r="J1700">
        <f t="shared" ca="1" si="346"/>
        <v>0</v>
      </c>
      <c r="K1700">
        <f t="shared" ca="1" si="347"/>
        <v>0</v>
      </c>
      <c r="L1700">
        <f t="shared" ca="1" si="348"/>
        <v>0</v>
      </c>
      <c r="M1700">
        <f t="shared" ca="1" si="349"/>
        <v>1</v>
      </c>
      <c r="N1700">
        <f t="shared" ca="1" si="350"/>
        <v>0</v>
      </c>
    </row>
    <row r="1701" spans="1:14" x14ac:dyDescent="0.35">
      <c r="A1701" t="s">
        <v>1718</v>
      </c>
      <c r="B1701" t="str">
        <f t="shared" si="338"/>
        <v>Test</v>
      </c>
      <c r="C1701">
        <f t="shared" ca="1" si="339"/>
        <v>21</v>
      </c>
      <c r="D1701" t="str">
        <f t="shared" ca="1" si="340"/>
        <v>Male</v>
      </c>
      <c r="E1701" t="str">
        <f t="shared" ca="1" si="341"/>
        <v>Dresses</v>
      </c>
      <c r="F1701">
        <f t="shared" ca="1" si="342"/>
        <v>6472</v>
      </c>
      <c r="G1701">
        <f t="shared" ca="1" si="343"/>
        <v>15</v>
      </c>
      <c r="H1701">
        <f t="shared" ca="1" si="344"/>
        <v>5501.2</v>
      </c>
      <c r="I1701">
        <f t="shared" ca="1" si="345"/>
        <v>1</v>
      </c>
      <c r="J1701">
        <f t="shared" ca="1" si="346"/>
        <v>1</v>
      </c>
      <c r="K1701">
        <f t="shared" ca="1" si="347"/>
        <v>0</v>
      </c>
      <c r="L1701">
        <f t="shared" ca="1" si="348"/>
        <v>0</v>
      </c>
      <c r="M1701">
        <f t="shared" ca="1" si="349"/>
        <v>2</v>
      </c>
      <c r="N1701">
        <f t="shared" ca="1" si="350"/>
        <v>0</v>
      </c>
    </row>
    <row r="1702" spans="1:14" x14ac:dyDescent="0.35">
      <c r="A1702" t="s">
        <v>1719</v>
      </c>
      <c r="B1702" t="str">
        <f t="shared" si="338"/>
        <v>Test</v>
      </c>
      <c r="C1702">
        <f t="shared" ca="1" si="339"/>
        <v>38</v>
      </c>
      <c r="D1702" t="str">
        <f t="shared" ca="1" si="340"/>
        <v>Male</v>
      </c>
      <c r="E1702" t="str">
        <f t="shared" ca="1" si="341"/>
        <v>Dresses</v>
      </c>
      <c r="F1702">
        <f t="shared" ca="1" si="342"/>
        <v>369</v>
      </c>
      <c r="G1702">
        <f t="shared" ca="1" si="343"/>
        <v>25</v>
      </c>
      <c r="H1702">
        <f t="shared" ca="1" si="344"/>
        <v>276.75</v>
      </c>
      <c r="I1702">
        <f t="shared" ca="1" si="345"/>
        <v>0</v>
      </c>
      <c r="J1702">
        <f t="shared" ca="1" si="346"/>
        <v>0</v>
      </c>
      <c r="K1702">
        <f t="shared" ca="1" si="347"/>
        <v>0</v>
      </c>
      <c r="L1702">
        <f t="shared" ca="1" si="348"/>
        <v>0</v>
      </c>
      <c r="M1702">
        <f t="shared" ca="1" si="349"/>
        <v>7</v>
      </c>
      <c r="N1702">
        <f t="shared" ca="1" si="350"/>
        <v>0</v>
      </c>
    </row>
    <row r="1703" spans="1:14" x14ac:dyDescent="0.35">
      <c r="A1703" t="s">
        <v>1720</v>
      </c>
      <c r="B1703" t="str">
        <f t="shared" si="338"/>
        <v>Test</v>
      </c>
      <c r="C1703">
        <f t="shared" ca="1" si="339"/>
        <v>32</v>
      </c>
      <c r="D1703" t="str">
        <f t="shared" ca="1" si="340"/>
        <v>Male</v>
      </c>
      <c r="E1703" t="str">
        <f t="shared" ca="1" si="341"/>
        <v>Jeans</v>
      </c>
      <c r="F1703">
        <f t="shared" ca="1" si="342"/>
        <v>3107</v>
      </c>
      <c r="G1703">
        <f t="shared" ca="1" si="343"/>
        <v>25</v>
      </c>
      <c r="H1703">
        <f t="shared" ca="1" si="344"/>
        <v>2330.25</v>
      </c>
      <c r="I1703">
        <f t="shared" ca="1" si="345"/>
        <v>0</v>
      </c>
      <c r="J1703">
        <f t="shared" ca="1" si="346"/>
        <v>0</v>
      </c>
      <c r="K1703">
        <f t="shared" ca="1" si="347"/>
        <v>0</v>
      </c>
      <c r="L1703">
        <f t="shared" ca="1" si="348"/>
        <v>0</v>
      </c>
      <c r="M1703">
        <f t="shared" ca="1" si="349"/>
        <v>2</v>
      </c>
      <c r="N1703">
        <f t="shared" ca="1" si="350"/>
        <v>0</v>
      </c>
    </row>
    <row r="1704" spans="1:14" x14ac:dyDescent="0.35">
      <c r="A1704" t="s">
        <v>1721</v>
      </c>
      <c r="B1704" t="str">
        <f t="shared" si="338"/>
        <v>Test</v>
      </c>
      <c r="C1704">
        <f t="shared" ca="1" si="339"/>
        <v>42</v>
      </c>
      <c r="D1704" t="str">
        <f t="shared" ca="1" si="340"/>
        <v>Female</v>
      </c>
      <c r="E1704" t="str">
        <f t="shared" ca="1" si="341"/>
        <v>Tops</v>
      </c>
      <c r="F1704">
        <f t="shared" ca="1" si="342"/>
        <v>5713</v>
      </c>
      <c r="G1704">
        <f t="shared" ca="1" si="343"/>
        <v>25</v>
      </c>
      <c r="H1704">
        <f t="shared" ca="1" si="344"/>
        <v>4284.75</v>
      </c>
      <c r="I1704">
        <f t="shared" ca="1" si="345"/>
        <v>1</v>
      </c>
      <c r="J1704">
        <f t="shared" ca="1" si="346"/>
        <v>1</v>
      </c>
      <c r="K1704">
        <f t="shared" ca="1" si="347"/>
        <v>0</v>
      </c>
      <c r="L1704">
        <f t="shared" ca="1" si="348"/>
        <v>0</v>
      </c>
      <c r="M1704">
        <f t="shared" ca="1" si="349"/>
        <v>6</v>
      </c>
      <c r="N1704">
        <f t="shared" ca="1" si="350"/>
        <v>0</v>
      </c>
    </row>
    <row r="1705" spans="1:14" x14ac:dyDescent="0.35">
      <c r="A1705" t="s">
        <v>1722</v>
      </c>
      <c r="B1705" t="str">
        <f t="shared" si="338"/>
        <v>Test</v>
      </c>
      <c r="C1705">
        <f t="shared" ca="1" si="339"/>
        <v>18</v>
      </c>
      <c r="D1705" t="str">
        <f t="shared" ca="1" si="340"/>
        <v>Male</v>
      </c>
      <c r="E1705" t="str">
        <f t="shared" ca="1" si="341"/>
        <v>Ethnic Wear</v>
      </c>
      <c r="F1705">
        <f t="shared" ca="1" si="342"/>
        <v>2665</v>
      </c>
      <c r="G1705">
        <f t="shared" ca="1" si="343"/>
        <v>15</v>
      </c>
      <c r="H1705">
        <f t="shared" ca="1" si="344"/>
        <v>2265.25</v>
      </c>
      <c r="I1705">
        <f t="shared" ca="1" si="345"/>
        <v>1</v>
      </c>
      <c r="J1705">
        <f t="shared" ca="1" si="346"/>
        <v>1</v>
      </c>
      <c r="K1705">
        <f t="shared" ca="1" si="347"/>
        <v>0</v>
      </c>
      <c r="L1705">
        <f t="shared" ca="1" si="348"/>
        <v>0</v>
      </c>
      <c r="M1705">
        <f t="shared" ca="1" si="349"/>
        <v>5</v>
      </c>
      <c r="N1705">
        <f t="shared" ca="1" si="350"/>
        <v>0</v>
      </c>
    </row>
    <row r="1706" spans="1:14" x14ac:dyDescent="0.35">
      <c r="A1706" t="s">
        <v>1723</v>
      </c>
      <c r="B1706" t="str">
        <f t="shared" si="338"/>
        <v>Test</v>
      </c>
      <c r="C1706">
        <f t="shared" ca="1" si="339"/>
        <v>32</v>
      </c>
      <c r="D1706" t="str">
        <f t="shared" ca="1" si="340"/>
        <v>Female</v>
      </c>
      <c r="E1706" t="str">
        <f t="shared" ca="1" si="341"/>
        <v>Ethnic Wear</v>
      </c>
      <c r="F1706">
        <f t="shared" ca="1" si="342"/>
        <v>5068</v>
      </c>
      <c r="G1706">
        <f t="shared" ca="1" si="343"/>
        <v>25</v>
      </c>
      <c r="H1706">
        <f t="shared" ca="1" si="344"/>
        <v>3801</v>
      </c>
      <c r="I1706">
        <f t="shared" ca="1" si="345"/>
        <v>1</v>
      </c>
      <c r="J1706">
        <f t="shared" ca="1" si="346"/>
        <v>0</v>
      </c>
      <c r="K1706">
        <f t="shared" ca="1" si="347"/>
        <v>0</v>
      </c>
      <c r="L1706">
        <f t="shared" ca="1" si="348"/>
        <v>0</v>
      </c>
      <c r="M1706">
        <f t="shared" ca="1" si="349"/>
        <v>1</v>
      </c>
      <c r="N1706">
        <f t="shared" ca="1" si="350"/>
        <v>0</v>
      </c>
    </row>
    <row r="1707" spans="1:14" x14ac:dyDescent="0.35">
      <c r="A1707" t="s">
        <v>1724</v>
      </c>
      <c r="B1707" t="str">
        <f t="shared" si="338"/>
        <v>Test</v>
      </c>
      <c r="C1707">
        <f t="shared" ca="1" si="339"/>
        <v>33</v>
      </c>
      <c r="D1707" t="str">
        <f t="shared" ca="1" si="340"/>
        <v>Male</v>
      </c>
      <c r="E1707" t="str">
        <f t="shared" ca="1" si="341"/>
        <v>Jeans</v>
      </c>
      <c r="F1707">
        <f t="shared" ca="1" si="342"/>
        <v>6710</v>
      </c>
      <c r="G1707">
        <f t="shared" ca="1" si="343"/>
        <v>20</v>
      </c>
      <c r="H1707">
        <f t="shared" ca="1" si="344"/>
        <v>5368</v>
      </c>
      <c r="I1707">
        <f t="shared" ca="1" si="345"/>
        <v>1</v>
      </c>
      <c r="J1707">
        <f t="shared" ca="1" si="346"/>
        <v>0</v>
      </c>
      <c r="K1707">
        <f t="shared" ca="1" si="347"/>
        <v>0</v>
      </c>
      <c r="L1707">
        <f t="shared" ca="1" si="348"/>
        <v>0</v>
      </c>
      <c r="M1707">
        <f t="shared" ca="1" si="349"/>
        <v>3</v>
      </c>
      <c r="N1707">
        <f t="shared" ca="1" si="350"/>
        <v>0</v>
      </c>
    </row>
    <row r="1708" spans="1:14" x14ac:dyDescent="0.35">
      <c r="A1708" t="s">
        <v>1725</v>
      </c>
      <c r="B1708" t="str">
        <f t="shared" si="338"/>
        <v>Test</v>
      </c>
      <c r="C1708">
        <f t="shared" ca="1" si="339"/>
        <v>44</v>
      </c>
      <c r="D1708" t="str">
        <f t="shared" ca="1" si="340"/>
        <v>Female</v>
      </c>
      <c r="E1708" t="str">
        <f t="shared" ca="1" si="341"/>
        <v>Jeans</v>
      </c>
      <c r="F1708">
        <f t="shared" ca="1" si="342"/>
        <v>5534</v>
      </c>
      <c r="G1708">
        <f t="shared" ca="1" si="343"/>
        <v>20</v>
      </c>
      <c r="H1708">
        <f t="shared" ca="1" si="344"/>
        <v>4427.2</v>
      </c>
      <c r="I1708">
        <f t="shared" ca="1" si="345"/>
        <v>1</v>
      </c>
      <c r="J1708">
        <f t="shared" ca="1" si="346"/>
        <v>0</v>
      </c>
      <c r="K1708">
        <f t="shared" ca="1" si="347"/>
        <v>0</v>
      </c>
      <c r="L1708">
        <f t="shared" ca="1" si="348"/>
        <v>0</v>
      </c>
      <c r="M1708">
        <f t="shared" ca="1" si="349"/>
        <v>7</v>
      </c>
      <c r="N1708">
        <f t="shared" ca="1" si="350"/>
        <v>0</v>
      </c>
    </row>
    <row r="1709" spans="1:14" x14ac:dyDescent="0.35">
      <c r="A1709" t="s">
        <v>1726</v>
      </c>
      <c r="B1709" t="str">
        <f t="shared" si="338"/>
        <v>Test</v>
      </c>
      <c r="C1709">
        <f t="shared" ca="1" si="339"/>
        <v>31</v>
      </c>
      <c r="D1709" t="str">
        <f t="shared" ca="1" si="340"/>
        <v>Female</v>
      </c>
      <c r="E1709" t="str">
        <f t="shared" ca="1" si="341"/>
        <v>Tops</v>
      </c>
      <c r="F1709">
        <f t="shared" ca="1" si="342"/>
        <v>6428</v>
      </c>
      <c r="G1709">
        <f t="shared" ca="1" si="343"/>
        <v>20</v>
      </c>
      <c r="H1709">
        <f t="shared" ca="1" si="344"/>
        <v>5142.4000000000005</v>
      </c>
      <c r="I1709">
        <f t="shared" ca="1" si="345"/>
        <v>1</v>
      </c>
      <c r="J1709">
        <f t="shared" ca="1" si="346"/>
        <v>1</v>
      </c>
      <c r="K1709">
        <f t="shared" ca="1" si="347"/>
        <v>0</v>
      </c>
      <c r="L1709">
        <f t="shared" ca="1" si="348"/>
        <v>0</v>
      </c>
      <c r="M1709">
        <f t="shared" ca="1" si="349"/>
        <v>3</v>
      </c>
      <c r="N1709">
        <f t="shared" ca="1" si="350"/>
        <v>0</v>
      </c>
    </row>
    <row r="1710" spans="1:14" x14ac:dyDescent="0.35">
      <c r="A1710" t="s">
        <v>1727</v>
      </c>
      <c r="B1710" t="str">
        <f t="shared" si="338"/>
        <v>Test</v>
      </c>
      <c r="C1710">
        <f t="shared" ca="1" si="339"/>
        <v>29</v>
      </c>
      <c r="D1710" t="str">
        <f t="shared" ca="1" si="340"/>
        <v>Female</v>
      </c>
      <c r="E1710" t="str">
        <f t="shared" ca="1" si="341"/>
        <v>Jeans</v>
      </c>
      <c r="F1710">
        <f t="shared" ca="1" si="342"/>
        <v>7959</v>
      </c>
      <c r="G1710">
        <f t="shared" ca="1" si="343"/>
        <v>20</v>
      </c>
      <c r="H1710">
        <f t="shared" ca="1" si="344"/>
        <v>6367.2000000000007</v>
      </c>
      <c r="I1710">
        <f t="shared" ca="1" si="345"/>
        <v>1</v>
      </c>
      <c r="J1710">
        <f t="shared" ca="1" si="346"/>
        <v>0</v>
      </c>
      <c r="K1710">
        <f t="shared" ca="1" si="347"/>
        <v>0</v>
      </c>
      <c r="L1710">
        <f t="shared" ca="1" si="348"/>
        <v>0</v>
      </c>
      <c r="M1710">
        <f t="shared" ca="1" si="349"/>
        <v>2</v>
      </c>
      <c r="N1710">
        <f t="shared" ca="1" si="350"/>
        <v>0</v>
      </c>
    </row>
    <row r="1711" spans="1:14" x14ac:dyDescent="0.35">
      <c r="A1711" t="s">
        <v>1728</v>
      </c>
      <c r="B1711" t="str">
        <f t="shared" si="338"/>
        <v>Test</v>
      </c>
      <c r="C1711">
        <f t="shared" ca="1" si="339"/>
        <v>32</v>
      </c>
      <c r="D1711" t="str">
        <f t="shared" ca="1" si="340"/>
        <v>Female</v>
      </c>
      <c r="E1711" t="str">
        <f t="shared" ca="1" si="341"/>
        <v>Ethnic Wear</v>
      </c>
      <c r="F1711">
        <f t="shared" ca="1" si="342"/>
        <v>6731</v>
      </c>
      <c r="G1711">
        <f t="shared" ca="1" si="343"/>
        <v>25</v>
      </c>
      <c r="H1711">
        <f t="shared" ca="1" si="344"/>
        <v>5048.25</v>
      </c>
      <c r="I1711">
        <f t="shared" ca="1" si="345"/>
        <v>1</v>
      </c>
      <c r="J1711">
        <f t="shared" ca="1" si="346"/>
        <v>1</v>
      </c>
      <c r="K1711">
        <f t="shared" ca="1" si="347"/>
        <v>1</v>
      </c>
      <c r="L1711">
        <f t="shared" ca="1" si="348"/>
        <v>5048.25</v>
      </c>
      <c r="M1711">
        <f t="shared" ca="1" si="349"/>
        <v>1</v>
      </c>
      <c r="N1711">
        <f t="shared" ca="1" si="350"/>
        <v>0</v>
      </c>
    </row>
    <row r="1712" spans="1:14" x14ac:dyDescent="0.35">
      <c r="A1712" t="s">
        <v>1729</v>
      </c>
      <c r="B1712" t="str">
        <f t="shared" si="338"/>
        <v>Test</v>
      </c>
      <c r="C1712">
        <f t="shared" ca="1" si="339"/>
        <v>40</v>
      </c>
      <c r="D1712" t="str">
        <f t="shared" ca="1" si="340"/>
        <v>Male</v>
      </c>
      <c r="E1712" t="str">
        <f t="shared" ca="1" si="341"/>
        <v>Shoes</v>
      </c>
      <c r="F1712">
        <f t="shared" ca="1" si="342"/>
        <v>3411</v>
      </c>
      <c r="G1712">
        <f t="shared" ca="1" si="343"/>
        <v>25</v>
      </c>
      <c r="H1712">
        <f t="shared" ca="1" si="344"/>
        <v>2558.25</v>
      </c>
      <c r="I1712">
        <f t="shared" ca="1" si="345"/>
        <v>1</v>
      </c>
      <c r="J1712">
        <f t="shared" ca="1" si="346"/>
        <v>0</v>
      </c>
      <c r="K1712">
        <f t="shared" ca="1" si="347"/>
        <v>0</v>
      </c>
      <c r="L1712">
        <f t="shared" ca="1" si="348"/>
        <v>0</v>
      </c>
      <c r="M1712">
        <f t="shared" ca="1" si="349"/>
        <v>6</v>
      </c>
      <c r="N1712">
        <f t="shared" ca="1" si="350"/>
        <v>0</v>
      </c>
    </row>
    <row r="1713" spans="1:14" x14ac:dyDescent="0.35">
      <c r="A1713" t="s">
        <v>1730</v>
      </c>
      <c r="B1713" t="str">
        <f t="shared" si="338"/>
        <v>Test</v>
      </c>
      <c r="C1713">
        <f t="shared" ca="1" si="339"/>
        <v>38</v>
      </c>
      <c r="D1713" t="str">
        <f t="shared" ca="1" si="340"/>
        <v>Male</v>
      </c>
      <c r="E1713" t="str">
        <f t="shared" ca="1" si="341"/>
        <v>Tops</v>
      </c>
      <c r="F1713">
        <f t="shared" ca="1" si="342"/>
        <v>7096</v>
      </c>
      <c r="G1713">
        <f t="shared" ca="1" si="343"/>
        <v>20</v>
      </c>
      <c r="H1713">
        <f t="shared" ca="1" si="344"/>
        <v>5676.8</v>
      </c>
      <c r="I1713">
        <f t="shared" ca="1" si="345"/>
        <v>0</v>
      </c>
      <c r="J1713">
        <f t="shared" ca="1" si="346"/>
        <v>0</v>
      </c>
      <c r="K1713">
        <f t="shared" ca="1" si="347"/>
        <v>0</v>
      </c>
      <c r="L1713">
        <f t="shared" ca="1" si="348"/>
        <v>0</v>
      </c>
      <c r="M1713">
        <f t="shared" ca="1" si="349"/>
        <v>1</v>
      </c>
      <c r="N1713">
        <f t="shared" ca="1" si="350"/>
        <v>0</v>
      </c>
    </row>
    <row r="1714" spans="1:14" x14ac:dyDescent="0.35">
      <c r="A1714" t="s">
        <v>1731</v>
      </c>
      <c r="B1714" t="str">
        <f t="shared" si="338"/>
        <v>Test</v>
      </c>
      <c r="C1714">
        <f t="shared" ca="1" si="339"/>
        <v>29</v>
      </c>
      <c r="D1714" t="str">
        <f t="shared" ca="1" si="340"/>
        <v>Male</v>
      </c>
      <c r="E1714" t="str">
        <f t="shared" ca="1" si="341"/>
        <v>Sportswear</v>
      </c>
      <c r="F1714">
        <f t="shared" ca="1" si="342"/>
        <v>1200</v>
      </c>
      <c r="G1714">
        <f t="shared" ca="1" si="343"/>
        <v>15</v>
      </c>
      <c r="H1714">
        <f t="shared" ca="1" si="344"/>
        <v>1020</v>
      </c>
      <c r="I1714">
        <f t="shared" ca="1" si="345"/>
        <v>1</v>
      </c>
      <c r="J1714">
        <f t="shared" ca="1" si="346"/>
        <v>1</v>
      </c>
      <c r="K1714">
        <f t="shared" ca="1" si="347"/>
        <v>0</v>
      </c>
      <c r="L1714">
        <f t="shared" ca="1" si="348"/>
        <v>0</v>
      </c>
      <c r="M1714">
        <f t="shared" ca="1" si="349"/>
        <v>2</v>
      </c>
      <c r="N1714">
        <f t="shared" ca="1" si="350"/>
        <v>0</v>
      </c>
    </row>
    <row r="1715" spans="1:14" x14ac:dyDescent="0.35">
      <c r="A1715" t="s">
        <v>1732</v>
      </c>
      <c r="B1715" t="str">
        <f t="shared" si="338"/>
        <v>Test</v>
      </c>
      <c r="C1715">
        <f t="shared" ca="1" si="339"/>
        <v>34</v>
      </c>
      <c r="D1715" t="str">
        <f t="shared" ca="1" si="340"/>
        <v>Female</v>
      </c>
      <c r="E1715" t="str">
        <f t="shared" ca="1" si="341"/>
        <v>Jeans</v>
      </c>
      <c r="F1715">
        <f t="shared" ca="1" si="342"/>
        <v>3554</v>
      </c>
      <c r="G1715">
        <f t="shared" ca="1" si="343"/>
        <v>15</v>
      </c>
      <c r="H1715">
        <f t="shared" ca="1" si="344"/>
        <v>3020.9</v>
      </c>
      <c r="I1715">
        <f t="shared" ca="1" si="345"/>
        <v>1</v>
      </c>
      <c r="J1715">
        <f t="shared" ca="1" si="346"/>
        <v>0</v>
      </c>
      <c r="K1715">
        <f t="shared" ca="1" si="347"/>
        <v>0</v>
      </c>
      <c r="L1715">
        <f t="shared" ca="1" si="348"/>
        <v>0</v>
      </c>
      <c r="M1715">
        <f t="shared" ca="1" si="349"/>
        <v>4</v>
      </c>
      <c r="N1715">
        <f t="shared" ca="1" si="350"/>
        <v>0</v>
      </c>
    </row>
    <row r="1716" spans="1:14" x14ac:dyDescent="0.35">
      <c r="A1716" t="s">
        <v>1733</v>
      </c>
      <c r="B1716" t="str">
        <f t="shared" si="338"/>
        <v>Test</v>
      </c>
      <c r="C1716">
        <f t="shared" ca="1" si="339"/>
        <v>27</v>
      </c>
      <c r="D1716" t="str">
        <f t="shared" ca="1" si="340"/>
        <v>Female</v>
      </c>
      <c r="E1716" t="str">
        <f t="shared" ca="1" si="341"/>
        <v>Ethnic Wear</v>
      </c>
      <c r="F1716">
        <f t="shared" ca="1" si="342"/>
        <v>2158</v>
      </c>
      <c r="G1716">
        <f t="shared" ca="1" si="343"/>
        <v>20</v>
      </c>
      <c r="H1716">
        <f t="shared" ca="1" si="344"/>
        <v>1726.4</v>
      </c>
      <c r="I1716">
        <f t="shared" ca="1" si="345"/>
        <v>1</v>
      </c>
      <c r="J1716">
        <f t="shared" ca="1" si="346"/>
        <v>0</v>
      </c>
      <c r="K1716">
        <f t="shared" ca="1" si="347"/>
        <v>0</v>
      </c>
      <c r="L1716">
        <f t="shared" ca="1" si="348"/>
        <v>0</v>
      </c>
      <c r="M1716">
        <f t="shared" ca="1" si="349"/>
        <v>5</v>
      </c>
      <c r="N1716">
        <f t="shared" ca="1" si="350"/>
        <v>0</v>
      </c>
    </row>
    <row r="1717" spans="1:14" x14ac:dyDescent="0.35">
      <c r="A1717" t="s">
        <v>1734</v>
      </c>
      <c r="B1717" t="str">
        <f t="shared" si="338"/>
        <v>Test</v>
      </c>
      <c r="C1717">
        <f t="shared" ca="1" si="339"/>
        <v>27</v>
      </c>
      <c r="D1717" t="str">
        <f t="shared" ca="1" si="340"/>
        <v>Female</v>
      </c>
      <c r="E1717" t="str">
        <f t="shared" ca="1" si="341"/>
        <v>Ethnic Wear</v>
      </c>
      <c r="F1717">
        <f t="shared" ca="1" si="342"/>
        <v>2102</v>
      </c>
      <c r="G1717">
        <f t="shared" ca="1" si="343"/>
        <v>20</v>
      </c>
      <c r="H1717">
        <f t="shared" ca="1" si="344"/>
        <v>1681.6000000000001</v>
      </c>
      <c r="I1717">
        <f t="shared" ca="1" si="345"/>
        <v>1</v>
      </c>
      <c r="J1717">
        <f t="shared" ca="1" si="346"/>
        <v>1</v>
      </c>
      <c r="K1717">
        <f t="shared" ca="1" si="347"/>
        <v>0</v>
      </c>
      <c r="L1717">
        <f t="shared" ca="1" si="348"/>
        <v>0</v>
      </c>
      <c r="M1717">
        <f t="shared" ca="1" si="349"/>
        <v>7</v>
      </c>
      <c r="N1717">
        <f t="shared" ca="1" si="350"/>
        <v>0</v>
      </c>
    </row>
    <row r="1718" spans="1:14" x14ac:dyDescent="0.35">
      <c r="A1718" t="s">
        <v>1735</v>
      </c>
      <c r="B1718" t="str">
        <f t="shared" si="338"/>
        <v>Test</v>
      </c>
      <c r="C1718">
        <f t="shared" ca="1" si="339"/>
        <v>41</v>
      </c>
      <c r="D1718" t="str">
        <f t="shared" ca="1" si="340"/>
        <v>Male</v>
      </c>
      <c r="E1718" t="str">
        <f t="shared" ca="1" si="341"/>
        <v>Dresses</v>
      </c>
      <c r="F1718">
        <f t="shared" ca="1" si="342"/>
        <v>6851</v>
      </c>
      <c r="G1718">
        <f t="shared" ca="1" si="343"/>
        <v>20</v>
      </c>
      <c r="H1718">
        <f t="shared" ca="1" si="344"/>
        <v>5480.8</v>
      </c>
      <c r="I1718">
        <f t="shared" ca="1" si="345"/>
        <v>1</v>
      </c>
      <c r="J1718">
        <f t="shared" ca="1" si="346"/>
        <v>1</v>
      </c>
      <c r="K1718">
        <f t="shared" ca="1" si="347"/>
        <v>0</v>
      </c>
      <c r="L1718">
        <f t="shared" ca="1" si="348"/>
        <v>0</v>
      </c>
      <c r="M1718">
        <f t="shared" ca="1" si="349"/>
        <v>6</v>
      </c>
      <c r="N1718">
        <f t="shared" ca="1" si="350"/>
        <v>0</v>
      </c>
    </row>
    <row r="1719" spans="1:14" x14ac:dyDescent="0.35">
      <c r="A1719" t="s">
        <v>1736</v>
      </c>
      <c r="B1719" t="str">
        <f t="shared" si="338"/>
        <v>Test</v>
      </c>
      <c r="C1719">
        <f t="shared" ca="1" si="339"/>
        <v>25</v>
      </c>
      <c r="D1719" t="str">
        <f t="shared" ca="1" si="340"/>
        <v>Male</v>
      </c>
      <c r="E1719" t="str">
        <f t="shared" ca="1" si="341"/>
        <v>Tops</v>
      </c>
      <c r="F1719">
        <f t="shared" ca="1" si="342"/>
        <v>6646</v>
      </c>
      <c r="G1719">
        <f t="shared" ca="1" si="343"/>
        <v>25</v>
      </c>
      <c r="H1719">
        <f t="shared" ca="1" si="344"/>
        <v>4984.5</v>
      </c>
      <c r="I1719">
        <f t="shared" ca="1" si="345"/>
        <v>1</v>
      </c>
      <c r="J1719">
        <f t="shared" ca="1" si="346"/>
        <v>0</v>
      </c>
      <c r="K1719">
        <f t="shared" ca="1" si="347"/>
        <v>0</v>
      </c>
      <c r="L1719">
        <f t="shared" ca="1" si="348"/>
        <v>0</v>
      </c>
      <c r="M1719">
        <f t="shared" ca="1" si="349"/>
        <v>4</v>
      </c>
      <c r="N1719">
        <f t="shared" ca="1" si="350"/>
        <v>0</v>
      </c>
    </row>
    <row r="1720" spans="1:14" x14ac:dyDescent="0.35">
      <c r="A1720" t="s">
        <v>1737</v>
      </c>
      <c r="B1720" t="str">
        <f t="shared" si="338"/>
        <v>Test</v>
      </c>
      <c r="C1720">
        <f t="shared" ca="1" si="339"/>
        <v>20</v>
      </c>
      <c r="D1720" t="str">
        <f t="shared" ca="1" si="340"/>
        <v>Female</v>
      </c>
      <c r="E1720" t="str">
        <f t="shared" ca="1" si="341"/>
        <v>Jeans</v>
      </c>
      <c r="F1720">
        <f t="shared" ca="1" si="342"/>
        <v>4687</v>
      </c>
      <c r="G1720">
        <f t="shared" ca="1" si="343"/>
        <v>25</v>
      </c>
      <c r="H1720">
        <f t="shared" ca="1" si="344"/>
        <v>3515.25</v>
      </c>
      <c r="I1720">
        <f t="shared" ca="1" si="345"/>
        <v>1</v>
      </c>
      <c r="J1720">
        <f t="shared" ca="1" si="346"/>
        <v>1</v>
      </c>
      <c r="K1720">
        <f t="shared" ca="1" si="347"/>
        <v>0</v>
      </c>
      <c r="L1720">
        <f t="shared" ca="1" si="348"/>
        <v>0</v>
      </c>
      <c r="M1720">
        <f t="shared" ca="1" si="349"/>
        <v>2</v>
      </c>
      <c r="N1720">
        <f t="shared" ca="1" si="350"/>
        <v>0</v>
      </c>
    </row>
    <row r="1721" spans="1:14" x14ac:dyDescent="0.35">
      <c r="A1721" t="s">
        <v>1738</v>
      </c>
      <c r="B1721" t="str">
        <f t="shared" si="338"/>
        <v>Test</v>
      </c>
      <c r="C1721">
        <f t="shared" ca="1" si="339"/>
        <v>38</v>
      </c>
      <c r="D1721" t="str">
        <f t="shared" ca="1" si="340"/>
        <v>Other</v>
      </c>
      <c r="E1721" t="str">
        <f t="shared" ca="1" si="341"/>
        <v>Accessories</v>
      </c>
      <c r="F1721">
        <f t="shared" ca="1" si="342"/>
        <v>4165</v>
      </c>
      <c r="G1721">
        <f t="shared" ca="1" si="343"/>
        <v>15</v>
      </c>
      <c r="H1721">
        <f t="shared" ca="1" si="344"/>
        <v>3540.25</v>
      </c>
      <c r="I1721">
        <f t="shared" ca="1" si="345"/>
        <v>1</v>
      </c>
      <c r="J1721">
        <f t="shared" ca="1" si="346"/>
        <v>1</v>
      </c>
      <c r="K1721">
        <f t="shared" ca="1" si="347"/>
        <v>0</v>
      </c>
      <c r="L1721">
        <f t="shared" ca="1" si="348"/>
        <v>0</v>
      </c>
      <c r="M1721">
        <f t="shared" ca="1" si="349"/>
        <v>4</v>
      </c>
      <c r="N1721">
        <f t="shared" ca="1" si="350"/>
        <v>0</v>
      </c>
    </row>
    <row r="1722" spans="1:14" x14ac:dyDescent="0.35">
      <c r="A1722" t="s">
        <v>1739</v>
      </c>
      <c r="B1722" t="str">
        <f t="shared" si="338"/>
        <v>Test</v>
      </c>
      <c r="C1722">
        <f t="shared" ca="1" si="339"/>
        <v>28</v>
      </c>
      <c r="D1722" t="str">
        <f t="shared" ca="1" si="340"/>
        <v>Female</v>
      </c>
      <c r="E1722" t="str">
        <f t="shared" ca="1" si="341"/>
        <v>Accessories</v>
      </c>
      <c r="F1722">
        <f t="shared" ca="1" si="342"/>
        <v>6261</v>
      </c>
      <c r="G1722">
        <f t="shared" ca="1" si="343"/>
        <v>15</v>
      </c>
      <c r="H1722">
        <f t="shared" ca="1" si="344"/>
        <v>5321.8499999999995</v>
      </c>
      <c r="I1722">
        <f t="shared" ca="1" si="345"/>
        <v>0</v>
      </c>
      <c r="J1722">
        <f t="shared" ca="1" si="346"/>
        <v>0</v>
      </c>
      <c r="K1722">
        <f t="shared" ca="1" si="347"/>
        <v>0</v>
      </c>
      <c r="L1722">
        <f t="shared" ca="1" si="348"/>
        <v>0</v>
      </c>
      <c r="M1722">
        <f t="shared" ca="1" si="349"/>
        <v>3</v>
      </c>
      <c r="N1722">
        <f t="shared" ca="1" si="350"/>
        <v>0</v>
      </c>
    </row>
    <row r="1723" spans="1:14" x14ac:dyDescent="0.35">
      <c r="A1723" t="s">
        <v>1740</v>
      </c>
      <c r="B1723" t="str">
        <f t="shared" si="338"/>
        <v>Test</v>
      </c>
      <c r="C1723">
        <f t="shared" ca="1" si="339"/>
        <v>38</v>
      </c>
      <c r="D1723" t="str">
        <f t="shared" ca="1" si="340"/>
        <v>Male</v>
      </c>
      <c r="E1723" t="str">
        <f t="shared" ca="1" si="341"/>
        <v>Jeans</v>
      </c>
      <c r="F1723">
        <f t="shared" ca="1" si="342"/>
        <v>730</v>
      </c>
      <c r="G1723">
        <f t="shared" ca="1" si="343"/>
        <v>25</v>
      </c>
      <c r="H1723">
        <f t="shared" ca="1" si="344"/>
        <v>547.5</v>
      </c>
      <c r="I1723">
        <f t="shared" ca="1" si="345"/>
        <v>0</v>
      </c>
      <c r="J1723">
        <f t="shared" ca="1" si="346"/>
        <v>0</v>
      </c>
      <c r="K1723">
        <f t="shared" ca="1" si="347"/>
        <v>0</v>
      </c>
      <c r="L1723">
        <f t="shared" ca="1" si="348"/>
        <v>0</v>
      </c>
      <c r="M1723">
        <f t="shared" ca="1" si="349"/>
        <v>7</v>
      </c>
      <c r="N1723">
        <f t="shared" ca="1" si="350"/>
        <v>0</v>
      </c>
    </row>
    <row r="1724" spans="1:14" x14ac:dyDescent="0.35">
      <c r="A1724" t="s">
        <v>1741</v>
      </c>
      <c r="B1724" t="str">
        <f t="shared" si="338"/>
        <v>Test</v>
      </c>
      <c r="C1724">
        <f t="shared" ca="1" si="339"/>
        <v>31</v>
      </c>
      <c r="D1724" t="str">
        <f t="shared" ca="1" si="340"/>
        <v>Male</v>
      </c>
      <c r="E1724" t="str">
        <f t="shared" ca="1" si="341"/>
        <v>Jeans</v>
      </c>
      <c r="F1724">
        <f t="shared" ca="1" si="342"/>
        <v>6314</v>
      </c>
      <c r="G1724">
        <f t="shared" ca="1" si="343"/>
        <v>15</v>
      </c>
      <c r="H1724">
        <f t="shared" ca="1" si="344"/>
        <v>5366.9</v>
      </c>
      <c r="I1724">
        <f t="shared" ca="1" si="345"/>
        <v>1</v>
      </c>
      <c r="J1724">
        <f t="shared" ca="1" si="346"/>
        <v>1</v>
      </c>
      <c r="K1724">
        <f t="shared" ca="1" si="347"/>
        <v>0</v>
      </c>
      <c r="L1724">
        <f t="shared" ca="1" si="348"/>
        <v>0</v>
      </c>
      <c r="M1724">
        <f t="shared" ca="1" si="349"/>
        <v>1</v>
      </c>
      <c r="N1724">
        <f t="shared" ca="1" si="350"/>
        <v>0</v>
      </c>
    </row>
    <row r="1725" spans="1:14" x14ac:dyDescent="0.35">
      <c r="A1725" t="s">
        <v>1742</v>
      </c>
      <c r="B1725" t="str">
        <f t="shared" si="338"/>
        <v>Test</v>
      </c>
      <c r="C1725">
        <f t="shared" ca="1" si="339"/>
        <v>37</v>
      </c>
      <c r="D1725" t="str">
        <f t="shared" ca="1" si="340"/>
        <v>Female</v>
      </c>
      <c r="E1725" t="str">
        <f t="shared" ca="1" si="341"/>
        <v>T-shirts</v>
      </c>
      <c r="F1725">
        <f t="shared" ca="1" si="342"/>
        <v>6189</v>
      </c>
      <c r="G1725">
        <f t="shared" ca="1" si="343"/>
        <v>15</v>
      </c>
      <c r="H1725">
        <f t="shared" ca="1" si="344"/>
        <v>5260.65</v>
      </c>
      <c r="I1725">
        <f t="shared" ca="1" si="345"/>
        <v>1</v>
      </c>
      <c r="J1725">
        <f t="shared" ca="1" si="346"/>
        <v>1</v>
      </c>
      <c r="K1725">
        <f t="shared" ca="1" si="347"/>
        <v>1</v>
      </c>
      <c r="L1725">
        <f t="shared" ca="1" si="348"/>
        <v>5260.65</v>
      </c>
      <c r="M1725">
        <f t="shared" ca="1" si="349"/>
        <v>7</v>
      </c>
      <c r="N1725">
        <f t="shared" ca="1" si="350"/>
        <v>0</v>
      </c>
    </row>
    <row r="1726" spans="1:14" x14ac:dyDescent="0.35">
      <c r="A1726" t="s">
        <v>1743</v>
      </c>
      <c r="B1726" t="str">
        <f t="shared" si="338"/>
        <v>Test</v>
      </c>
      <c r="C1726">
        <f t="shared" ca="1" si="339"/>
        <v>38</v>
      </c>
      <c r="D1726" t="str">
        <f t="shared" ca="1" si="340"/>
        <v>Female</v>
      </c>
      <c r="E1726" t="str">
        <f t="shared" ca="1" si="341"/>
        <v>T-shirts</v>
      </c>
      <c r="F1726">
        <f t="shared" ca="1" si="342"/>
        <v>752</v>
      </c>
      <c r="G1726">
        <f t="shared" ca="1" si="343"/>
        <v>25</v>
      </c>
      <c r="H1726">
        <f t="shared" ca="1" si="344"/>
        <v>564</v>
      </c>
      <c r="I1726">
        <f t="shared" ca="1" si="345"/>
        <v>1</v>
      </c>
      <c r="J1726">
        <f t="shared" ca="1" si="346"/>
        <v>1</v>
      </c>
      <c r="K1726">
        <f t="shared" ca="1" si="347"/>
        <v>0</v>
      </c>
      <c r="L1726">
        <f t="shared" ca="1" si="348"/>
        <v>0</v>
      </c>
      <c r="M1726">
        <f t="shared" ca="1" si="349"/>
        <v>5</v>
      </c>
      <c r="N1726">
        <f t="shared" ca="1" si="350"/>
        <v>0</v>
      </c>
    </row>
    <row r="1727" spans="1:14" x14ac:dyDescent="0.35">
      <c r="A1727" t="s">
        <v>1744</v>
      </c>
      <c r="B1727" t="str">
        <f t="shared" si="338"/>
        <v>Test</v>
      </c>
      <c r="C1727">
        <f t="shared" ca="1" si="339"/>
        <v>24</v>
      </c>
      <c r="D1727" t="str">
        <f t="shared" ca="1" si="340"/>
        <v>Male</v>
      </c>
      <c r="E1727" t="str">
        <f t="shared" ca="1" si="341"/>
        <v>Ethnic Wear</v>
      </c>
      <c r="F1727">
        <f t="shared" ca="1" si="342"/>
        <v>1239</v>
      </c>
      <c r="G1727">
        <f t="shared" ca="1" si="343"/>
        <v>15</v>
      </c>
      <c r="H1727">
        <f t="shared" ca="1" si="344"/>
        <v>1053.1499999999999</v>
      </c>
      <c r="I1727">
        <f t="shared" ca="1" si="345"/>
        <v>1</v>
      </c>
      <c r="J1727">
        <f t="shared" ca="1" si="346"/>
        <v>0</v>
      </c>
      <c r="K1727">
        <f t="shared" ca="1" si="347"/>
        <v>0</v>
      </c>
      <c r="L1727">
        <f t="shared" ca="1" si="348"/>
        <v>0</v>
      </c>
      <c r="M1727">
        <f t="shared" ca="1" si="349"/>
        <v>5</v>
      </c>
      <c r="N1727">
        <f t="shared" ca="1" si="350"/>
        <v>0</v>
      </c>
    </row>
    <row r="1728" spans="1:14" x14ac:dyDescent="0.35">
      <c r="A1728" t="s">
        <v>1745</v>
      </c>
      <c r="B1728" t="str">
        <f t="shared" si="338"/>
        <v>Test</v>
      </c>
      <c r="C1728">
        <f t="shared" ca="1" si="339"/>
        <v>35</v>
      </c>
      <c r="D1728" t="str">
        <f t="shared" ca="1" si="340"/>
        <v>Female</v>
      </c>
      <c r="E1728" t="str">
        <f t="shared" ca="1" si="341"/>
        <v>Sportswear</v>
      </c>
      <c r="F1728">
        <f t="shared" ca="1" si="342"/>
        <v>5959</v>
      </c>
      <c r="G1728">
        <f t="shared" ca="1" si="343"/>
        <v>20</v>
      </c>
      <c r="H1728">
        <f t="shared" ca="1" si="344"/>
        <v>4767.2</v>
      </c>
      <c r="I1728">
        <f t="shared" ca="1" si="345"/>
        <v>1</v>
      </c>
      <c r="J1728">
        <f t="shared" ca="1" si="346"/>
        <v>0</v>
      </c>
      <c r="K1728">
        <f t="shared" ca="1" si="347"/>
        <v>0</v>
      </c>
      <c r="L1728">
        <f t="shared" ca="1" si="348"/>
        <v>0</v>
      </c>
      <c r="M1728">
        <f t="shared" ca="1" si="349"/>
        <v>6</v>
      </c>
      <c r="N1728">
        <f t="shared" ca="1" si="350"/>
        <v>0</v>
      </c>
    </row>
    <row r="1729" spans="1:14" x14ac:dyDescent="0.35">
      <c r="A1729" t="s">
        <v>1746</v>
      </c>
      <c r="B1729" t="str">
        <f t="shared" si="338"/>
        <v>Test</v>
      </c>
      <c r="C1729">
        <f t="shared" ca="1" si="339"/>
        <v>40</v>
      </c>
      <c r="D1729" t="str">
        <f t="shared" ca="1" si="340"/>
        <v>Other</v>
      </c>
      <c r="E1729" t="str">
        <f t="shared" ca="1" si="341"/>
        <v>T-shirts</v>
      </c>
      <c r="F1729">
        <f t="shared" ca="1" si="342"/>
        <v>7986</v>
      </c>
      <c r="G1729">
        <f t="shared" ca="1" si="343"/>
        <v>20</v>
      </c>
      <c r="H1729">
        <f t="shared" ca="1" si="344"/>
        <v>6388.8</v>
      </c>
      <c r="I1729">
        <f t="shared" ca="1" si="345"/>
        <v>0</v>
      </c>
      <c r="J1729">
        <f t="shared" ca="1" si="346"/>
        <v>0</v>
      </c>
      <c r="K1729">
        <f t="shared" ca="1" si="347"/>
        <v>0</v>
      </c>
      <c r="L1729">
        <f t="shared" ca="1" si="348"/>
        <v>0</v>
      </c>
      <c r="M1729">
        <f t="shared" ca="1" si="349"/>
        <v>7</v>
      </c>
      <c r="N1729">
        <f t="shared" ca="1" si="350"/>
        <v>0</v>
      </c>
    </row>
    <row r="1730" spans="1:14" x14ac:dyDescent="0.35">
      <c r="A1730" t="s">
        <v>1747</v>
      </c>
      <c r="B1730" t="str">
        <f t="shared" si="338"/>
        <v>Test</v>
      </c>
      <c r="C1730">
        <f t="shared" ca="1" si="339"/>
        <v>28</v>
      </c>
      <c r="D1730" t="str">
        <f t="shared" ca="1" si="340"/>
        <v>Female</v>
      </c>
      <c r="E1730" t="str">
        <f t="shared" ca="1" si="341"/>
        <v>Sportswear</v>
      </c>
      <c r="F1730">
        <f t="shared" ca="1" si="342"/>
        <v>1617</v>
      </c>
      <c r="G1730">
        <f t="shared" ca="1" si="343"/>
        <v>15</v>
      </c>
      <c r="H1730">
        <f t="shared" ca="1" si="344"/>
        <v>1374.45</v>
      </c>
      <c r="I1730">
        <f t="shared" ca="1" si="345"/>
        <v>1</v>
      </c>
      <c r="J1730">
        <f t="shared" ca="1" si="346"/>
        <v>0</v>
      </c>
      <c r="K1730">
        <f t="shared" ca="1" si="347"/>
        <v>0</v>
      </c>
      <c r="L1730">
        <f t="shared" ca="1" si="348"/>
        <v>0</v>
      </c>
      <c r="M1730">
        <f t="shared" ca="1" si="349"/>
        <v>2</v>
      </c>
      <c r="N1730">
        <f t="shared" ca="1" si="350"/>
        <v>0</v>
      </c>
    </row>
    <row r="1731" spans="1:14" x14ac:dyDescent="0.35">
      <c r="A1731" t="s">
        <v>1748</v>
      </c>
      <c r="B1731" t="str">
        <f t="shared" si="338"/>
        <v>Test</v>
      </c>
      <c r="C1731">
        <f t="shared" ca="1" si="339"/>
        <v>19</v>
      </c>
      <c r="D1731" t="str">
        <f t="shared" ca="1" si="340"/>
        <v>Female</v>
      </c>
      <c r="E1731" t="str">
        <f t="shared" ca="1" si="341"/>
        <v>Tops</v>
      </c>
      <c r="F1731">
        <f t="shared" ca="1" si="342"/>
        <v>1514</v>
      </c>
      <c r="G1731">
        <f t="shared" ca="1" si="343"/>
        <v>15</v>
      </c>
      <c r="H1731">
        <f t="shared" ca="1" si="344"/>
        <v>1286.8999999999999</v>
      </c>
      <c r="I1731">
        <f t="shared" ca="1" si="345"/>
        <v>1</v>
      </c>
      <c r="J1731">
        <f t="shared" ca="1" si="346"/>
        <v>0</v>
      </c>
      <c r="K1731">
        <f t="shared" ca="1" si="347"/>
        <v>0</v>
      </c>
      <c r="L1731">
        <f t="shared" ca="1" si="348"/>
        <v>0</v>
      </c>
      <c r="M1731">
        <f t="shared" ca="1" si="349"/>
        <v>3</v>
      </c>
      <c r="N1731">
        <f t="shared" ca="1" si="350"/>
        <v>0</v>
      </c>
    </row>
    <row r="1732" spans="1:14" x14ac:dyDescent="0.35">
      <c r="A1732" t="s">
        <v>1749</v>
      </c>
      <c r="B1732" t="str">
        <f t="shared" si="338"/>
        <v>Test</v>
      </c>
      <c r="C1732">
        <f t="shared" ca="1" si="339"/>
        <v>37</v>
      </c>
      <c r="D1732" t="str">
        <f t="shared" ca="1" si="340"/>
        <v>Male</v>
      </c>
      <c r="E1732" t="str">
        <f t="shared" ca="1" si="341"/>
        <v>Ethnic Wear</v>
      </c>
      <c r="F1732">
        <f t="shared" ca="1" si="342"/>
        <v>6678</v>
      </c>
      <c r="G1732">
        <f t="shared" ca="1" si="343"/>
        <v>20</v>
      </c>
      <c r="H1732">
        <f t="shared" ca="1" si="344"/>
        <v>5342.4000000000005</v>
      </c>
      <c r="I1732">
        <f t="shared" ca="1" si="345"/>
        <v>1</v>
      </c>
      <c r="J1732">
        <f t="shared" ca="1" si="346"/>
        <v>1</v>
      </c>
      <c r="K1732">
        <f t="shared" ca="1" si="347"/>
        <v>0</v>
      </c>
      <c r="L1732">
        <f t="shared" ca="1" si="348"/>
        <v>0</v>
      </c>
      <c r="M1732">
        <f t="shared" ca="1" si="349"/>
        <v>7</v>
      </c>
      <c r="N1732">
        <f t="shared" ca="1" si="350"/>
        <v>0</v>
      </c>
    </row>
    <row r="1733" spans="1:14" x14ac:dyDescent="0.35">
      <c r="A1733" t="s">
        <v>1750</v>
      </c>
      <c r="B1733" t="str">
        <f t="shared" ref="B1733:B1796" si="351">IF(ROW()&lt;=1001,"Control","Test")</f>
        <v>Test</v>
      </c>
      <c r="C1733">
        <f t="shared" ref="C1733:C1796" ca="1" si="352">RANDBETWEEN(18,45)</f>
        <v>23</v>
      </c>
      <c r="D1733" t="str">
        <f t="shared" ref="D1733:D1796" ca="1" si="353">CHOOSE(RANDBETWEEN(1,20),"Female","Female","Female","Female","Female","Female","Female","Female","Female","Female","Male","Male","Male","Male","Male","Male","Male","Male","Other","Other")</f>
        <v>Female</v>
      </c>
      <c r="E1733" t="str">
        <f t="shared" ref="E1733:E1796" ca="1" si="354">CHOOSE(RANDBETWEEN(1,8),"T-shirts","Dresses","Jeans","Shoes","Ethnic Wear","Tops","Sportswear","Accessories")</f>
        <v>T-shirts</v>
      </c>
      <c r="F1733">
        <f t="shared" ref="F1733:F1796" ca="1" si="355">RANDBETWEEN(300,8000)</f>
        <v>393</v>
      </c>
      <c r="G1733">
        <f t="shared" ref="G1733:G1796" ca="1" si="356">IF(B1733="Control",10,CHOOSE(RANDBETWEEN(1,3),15,20,25))</f>
        <v>20</v>
      </c>
      <c r="H1733">
        <f t="shared" ref="H1733:H1796" ca="1" si="357">F1733*(1-G1733/100)</f>
        <v>314.40000000000003</v>
      </c>
      <c r="I1733">
        <f t="shared" ref="I1733:I1796" ca="1" si="358">IF(RAND()&lt;0.85,1,0)</f>
        <v>1</v>
      </c>
      <c r="J1733">
        <f t="shared" ref="J1733:J1796" ca="1" si="359">IF(I1733=1,IF(RAND()&lt;0.55,1,0),0)</f>
        <v>0</v>
      </c>
      <c r="K1733">
        <f t="shared" ref="K1733:K1796" ca="1" si="360">IF(J1733=1,IF(B1733="Test",IF(RAND()&lt;0.4,1,0),IF(RAND()&lt;0.34,1,0)),0)</f>
        <v>0</v>
      </c>
      <c r="L1733">
        <f t="shared" ref="L1733:L1796" ca="1" si="361">IF(K1733=1,H1733,0)</f>
        <v>0</v>
      </c>
      <c r="M1733">
        <f t="shared" ref="M1733:M1796" ca="1" si="362">RANDBETWEEN(1,7)</f>
        <v>1</v>
      </c>
      <c r="N1733">
        <f t="shared" ref="N1733:N1796" ca="1" si="363">IF(K1733=1,IF(RAND()&lt;0.15,1,0),0)</f>
        <v>0</v>
      </c>
    </row>
    <row r="1734" spans="1:14" x14ac:dyDescent="0.35">
      <c r="A1734" t="s">
        <v>1751</v>
      </c>
      <c r="B1734" t="str">
        <f t="shared" si="351"/>
        <v>Test</v>
      </c>
      <c r="C1734">
        <f t="shared" ca="1" si="352"/>
        <v>34</v>
      </c>
      <c r="D1734" t="str">
        <f t="shared" ca="1" si="353"/>
        <v>Male</v>
      </c>
      <c r="E1734" t="str">
        <f t="shared" ca="1" si="354"/>
        <v>Ethnic Wear</v>
      </c>
      <c r="F1734">
        <f t="shared" ca="1" si="355"/>
        <v>4431</v>
      </c>
      <c r="G1734">
        <f t="shared" ca="1" si="356"/>
        <v>15</v>
      </c>
      <c r="H1734">
        <f t="shared" ca="1" si="357"/>
        <v>3766.35</v>
      </c>
      <c r="I1734">
        <f t="shared" ca="1" si="358"/>
        <v>1</v>
      </c>
      <c r="J1734">
        <f t="shared" ca="1" si="359"/>
        <v>1</v>
      </c>
      <c r="K1734">
        <f t="shared" ca="1" si="360"/>
        <v>0</v>
      </c>
      <c r="L1734">
        <f t="shared" ca="1" si="361"/>
        <v>0</v>
      </c>
      <c r="M1734">
        <f t="shared" ca="1" si="362"/>
        <v>2</v>
      </c>
      <c r="N1734">
        <f t="shared" ca="1" si="363"/>
        <v>0</v>
      </c>
    </row>
    <row r="1735" spans="1:14" x14ac:dyDescent="0.35">
      <c r="A1735" t="s">
        <v>1752</v>
      </c>
      <c r="B1735" t="str">
        <f t="shared" si="351"/>
        <v>Test</v>
      </c>
      <c r="C1735">
        <f t="shared" ca="1" si="352"/>
        <v>37</v>
      </c>
      <c r="D1735" t="str">
        <f t="shared" ca="1" si="353"/>
        <v>Female</v>
      </c>
      <c r="E1735" t="str">
        <f t="shared" ca="1" si="354"/>
        <v>Dresses</v>
      </c>
      <c r="F1735">
        <f t="shared" ca="1" si="355"/>
        <v>3555</v>
      </c>
      <c r="G1735">
        <f t="shared" ca="1" si="356"/>
        <v>20</v>
      </c>
      <c r="H1735">
        <f t="shared" ca="1" si="357"/>
        <v>2844</v>
      </c>
      <c r="I1735">
        <f t="shared" ca="1" si="358"/>
        <v>1</v>
      </c>
      <c r="J1735">
        <f t="shared" ca="1" si="359"/>
        <v>1</v>
      </c>
      <c r="K1735">
        <f t="shared" ca="1" si="360"/>
        <v>1</v>
      </c>
      <c r="L1735">
        <f t="shared" ca="1" si="361"/>
        <v>2844</v>
      </c>
      <c r="M1735">
        <f t="shared" ca="1" si="362"/>
        <v>1</v>
      </c>
      <c r="N1735">
        <f t="shared" ca="1" si="363"/>
        <v>0</v>
      </c>
    </row>
    <row r="1736" spans="1:14" x14ac:dyDescent="0.35">
      <c r="A1736" t="s">
        <v>1753</v>
      </c>
      <c r="B1736" t="str">
        <f t="shared" si="351"/>
        <v>Test</v>
      </c>
      <c r="C1736">
        <f t="shared" ca="1" si="352"/>
        <v>37</v>
      </c>
      <c r="D1736" t="str">
        <f t="shared" ca="1" si="353"/>
        <v>Male</v>
      </c>
      <c r="E1736" t="str">
        <f t="shared" ca="1" si="354"/>
        <v>T-shirts</v>
      </c>
      <c r="F1736">
        <f t="shared" ca="1" si="355"/>
        <v>6448</v>
      </c>
      <c r="G1736">
        <f t="shared" ca="1" si="356"/>
        <v>25</v>
      </c>
      <c r="H1736">
        <f t="shared" ca="1" si="357"/>
        <v>4836</v>
      </c>
      <c r="I1736">
        <f t="shared" ca="1" si="358"/>
        <v>1</v>
      </c>
      <c r="J1736">
        <f t="shared" ca="1" si="359"/>
        <v>0</v>
      </c>
      <c r="K1736">
        <f t="shared" ca="1" si="360"/>
        <v>0</v>
      </c>
      <c r="L1736">
        <f t="shared" ca="1" si="361"/>
        <v>0</v>
      </c>
      <c r="M1736">
        <f t="shared" ca="1" si="362"/>
        <v>5</v>
      </c>
      <c r="N1736">
        <f t="shared" ca="1" si="363"/>
        <v>0</v>
      </c>
    </row>
    <row r="1737" spans="1:14" x14ac:dyDescent="0.35">
      <c r="A1737" t="s">
        <v>1754</v>
      </c>
      <c r="B1737" t="str">
        <f t="shared" si="351"/>
        <v>Test</v>
      </c>
      <c r="C1737">
        <f t="shared" ca="1" si="352"/>
        <v>41</v>
      </c>
      <c r="D1737" t="str">
        <f t="shared" ca="1" si="353"/>
        <v>Female</v>
      </c>
      <c r="E1737" t="str">
        <f t="shared" ca="1" si="354"/>
        <v>Jeans</v>
      </c>
      <c r="F1737">
        <f t="shared" ca="1" si="355"/>
        <v>7222</v>
      </c>
      <c r="G1737">
        <f t="shared" ca="1" si="356"/>
        <v>20</v>
      </c>
      <c r="H1737">
        <f t="shared" ca="1" si="357"/>
        <v>5777.6</v>
      </c>
      <c r="I1737">
        <f t="shared" ca="1" si="358"/>
        <v>1</v>
      </c>
      <c r="J1737">
        <f t="shared" ca="1" si="359"/>
        <v>0</v>
      </c>
      <c r="K1737">
        <f t="shared" ca="1" si="360"/>
        <v>0</v>
      </c>
      <c r="L1737">
        <f t="shared" ca="1" si="361"/>
        <v>0</v>
      </c>
      <c r="M1737">
        <f t="shared" ca="1" si="362"/>
        <v>1</v>
      </c>
      <c r="N1737">
        <f t="shared" ca="1" si="363"/>
        <v>0</v>
      </c>
    </row>
    <row r="1738" spans="1:14" x14ac:dyDescent="0.35">
      <c r="A1738" t="s">
        <v>1755</v>
      </c>
      <c r="B1738" t="str">
        <f t="shared" si="351"/>
        <v>Test</v>
      </c>
      <c r="C1738">
        <f t="shared" ca="1" si="352"/>
        <v>43</v>
      </c>
      <c r="D1738" t="str">
        <f t="shared" ca="1" si="353"/>
        <v>Female</v>
      </c>
      <c r="E1738" t="str">
        <f t="shared" ca="1" si="354"/>
        <v>Jeans</v>
      </c>
      <c r="F1738">
        <f t="shared" ca="1" si="355"/>
        <v>3326</v>
      </c>
      <c r="G1738">
        <f t="shared" ca="1" si="356"/>
        <v>15</v>
      </c>
      <c r="H1738">
        <f t="shared" ca="1" si="357"/>
        <v>2827.1</v>
      </c>
      <c r="I1738">
        <f t="shared" ca="1" si="358"/>
        <v>1</v>
      </c>
      <c r="J1738">
        <f t="shared" ca="1" si="359"/>
        <v>0</v>
      </c>
      <c r="K1738">
        <f t="shared" ca="1" si="360"/>
        <v>0</v>
      </c>
      <c r="L1738">
        <f t="shared" ca="1" si="361"/>
        <v>0</v>
      </c>
      <c r="M1738">
        <f t="shared" ca="1" si="362"/>
        <v>2</v>
      </c>
      <c r="N1738">
        <f t="shared" ca="1" si="363"/>
        <v>0</v>
      </c>
    </row>
    <row r="1739" spans="1:14" x14ac:dyDescent="0.35">
      <c r="A1739" t="s">
        <v>1756</v>
      </c>
      <c r="B1739" t="str">
        <f t="shared" si="351"/>
        <v>Test</v>
      </c>
      <c r="C1739">
        <f t="shared" ca="1" si="352"/>
        <v>34</v>
      </c>
      <c r="D1739" t="str">
        <f t="shared" ca="1" si="353"/>
        <v>Male</v>
      </c>
      <c r="E1739" t="str">
        <f t="shared" ca="1" si="354"/>
        <v>T-shirts</v>
      </c>
      <c r="F1739">
        <f t="shared" ca="1" si="355"/>
        <v>7305</v>
      </c>
      <c r="G1739">
        <f t="shared" ca="1" si="356"/>
        <v>20</v>
      </c>
      <c r="H1739">
        <f t="shared" ca="1" si="357"/>
        <v>5844</v>
      </c>
      <c r="I1739">
        <f t="shared" ca="1" si="358"/>
        <v>1</v>
      </c>
      <c r="J1739">
        <f t="shared" ca="1" si="359"/>
        <v>0</v>
      </c>
      <c r="K1739">
        <f t="shared" ca="1" si="360"/>
        <v>0</v>
      </c>
      <c r="L1739">
        <f t="shared" ca="1" si="361"/>
        <v>0</v>
      </c>
      <c r="M1739">
        <f t="shared" ca="1" si="362"/>
        <v>2</v>
      </c>
      <c r="N1739">
        <f t="shared" ca="1" si="363"/>
        <v>0</v>
      </c>
    </row>
    <row r="1740" spans="1:14" x14ac:dyDescent="0.35">
      <c r="A1740" t="s">
        <v>1757</v>
      </c>
      <c r="B1740" t="str">
        <f t="shared" si="351"/>
        <v>Test</v>
      </c>
      <c r="C1740">
        <f t="shared" ca="1" si="352"/>
        <v>25</v>
      </c>
      <c r="D1740" t="str">
        <f t="shared" ca="1" si="353"/>
        <v>Female</v>
      </c>
      <c r="E1740" t="str">
        <f t="shared" ca="1" si="354"/>
        <v>T-shirts</v>
      </c>
      <c r="F1740">
        <f t="shared" ca="1" si="355"/>
        <v>3255</v>
      </c>
      <c r="G1740">
        <f t="shared" ca="1" si="356"/>
        <v>15</v>
      </c>
      <c r="H1740">
        <f t="shared" ca="1" si="357"/>
        <v>2766.75</v>
      </c>
      <c r="I1740">
        <f t="shared" ca="1" si="358"/>
        <v>1</v>
      </c>
      <c r="J1740">
        <f t="shared" ca="1" si="359"/>
        <v>0</v>
      </c>
      <c r="K1740">
        <f t="shared" ca="1" si="360"/>
        <v>0</v>
      </c>
      <c r="L1740">
        <f t="shared" ca="1" si="361"/>
        <v>0</v>
      </c>
      <c r="M1740">
        <f t="shared" ca="1" si="362"/>
        <v>4</v>
      </c>
      <c r="N1740">
        <f t="shared" ca="1" si="363"/>
        <v>0</v>
      </c>
    </row>
    <row r="1741" spans="1:14" x14ac:dyDescent="0.35">
      <c r="A1741" t="s">
        <v>1758</v>
      </c>
      <c r="B1741" t="str">
        <f t="shared" si="351"/>
        <v>Test</v>
      </c>
      <c r="C1741">
        <f t="shared" ca="1" si="352"/>
        <v>23</v>
      </c>
      <c r="D1741" t="str">
        <f t="shared" ca="1" si="353"/>
        <v>Female</v>
      </c>
      <c r="E1741" t="str">
        <f t="shared" ca="1" si="354"/>
        <v>Dresses</v>
      </c>
      <c r="F1741">
        <f t="shared" ca="1" si="355"/>
        <v>5937</v>
      </c>
      <c r="G1741">
        <f t="shared" ca="1" si="356"/>
        <v>15</v>
      </c>
      <c r="H1741">
        <f t="shared" ca="1" si="357"/>
        <v>5046.45</v>
      </c>
      <c r="I1741">
        <f t="shared" ca="1" si="358"/>
        <v>1</v>
      </c>
      <c r="J1741">
        <f t="shared" ca="1" si="359"/>
        <v>0</v>
      </c>
      <c r="K1741">
        <f t="shared" ca="1" si="360"/>
        <v>0</v>
      </c>
      <c r="L1741">
        <f t="shared" ca="1" si="361"/>
        <v>0</v>
      </c>
      <c r="M1741">
        <f t="shared" ca="1" si="362"/>
        <v>6</v>
      </c>
      <c r="N1741">
        <f t="shared" ca="1" si="363"/>
        <v>0</v>
      </c>
    </row>
    <row r="1742" spans="1:14" x14ac:dyDescent="0.35">
      <c r="A1742" t="s">
        <v>1759</v>
      </c>
      <c r="B1742" t="str">
        <f t="shared" si="351"/>
        <v>Test</v>
      </c>
      <c r="C1742">
        <f t="shared" ca="1" si="352"/>
        <v>28</v>
      </c>
      <c r="D1742" t="str">
        <f t="shared" ca="1" si="353"/>
        <v>Male</v>
      </c>
      <c r="E1742" t="str">
        <f t="shared" ca="1" si="354"/>
        <v>T-shirts</v>
      </c>
      <c r="F1742">
        <f t="shared" ca="1" si="355"/>
        <v>4849</v>
      </c>
      <c r="G1742">
        <f t="shared" ca="1" si="356"/>
        <v>25</v>
      </c>
      <c r="H1742">
        <f t="shared" ca="1" si="357"/>
        <v>3636.75</v>
      </c>
      <c r="I1742">
        <f t="shared" ca="1" si="358"/>
        <v>1</v>
      </c>
      <c r="J1742">
        <f t="shared" ca="1" si="359"/>
        <v>1</v>
      </c>
      <c r="K1742">
        <f t="shared" ca="1" si="360"/>
        <v>1</v>
      </c>
      <c r="L1742">
        <f t="shared" ca="1" si="361"/>
        <v>3636.75</v>
      </c>
      <c r="M1742">
        <f t="shared" ca="1" si="362"/>
        <v>2</v>
      </c>
      <c r="N1742">
        <f t="shared" ca="1" si="363"/>
        <v>0</v>
      </c>
    </row>
    <row r="1743" spans="1:14" x14ac:dyDescent="0.35">
      <c r="A1743" t="s">
        <v>1760</v>
      </c>
      <c r="B1743" t="str">
        <f t="shared" si="351"/>
        <v>Test</v>
      </c>
      <c r="C1743">
        <f t="shared" ca="1" si="352"/>
        <v>28</v>
      </c>
      <c r="D1743" t="str">
        <f t="shared" ca="1" si="353"/>
        <v>Female</v>
      </c>
      <c r="E1743" t="str">
        <f t="shared" ca="1" si="354"/>
        <v>Ethnic Wear</v>
      </c>
      <c r="F1743">
        <f t="shared" ca="1" si="355"/>
        <v>1619</v>
      </c>
      <c r="G1743">
        <f t="shared" ca="1" si="356"/>
        <v>25</v>
      </c>
      <c r="H1743">
        <f t="shared" ca="1" si="357"/>
        <v>1214.25</v>
      </c>
      <c r="I1743">
        <f t="shared" ca="1" si="358"/>
        <v>0</v>
      </c>
      <c r="J1743">
        <f t="shared" ca="1" si="359"/>
        <v>0</v>
      </c>
      <c r="K1743">
        <f t="shared" ca="1" si="360"/>
        <v>0</v>
      </c>
      <c r="L1743">
        <f t="shared" ca="1" si="361"/>
        <v>0</v>
      </c>
      <c r="M1743">
        <f t="shared" ca="1" si="362"/>
        <v>5</v>
      </c>
      <c r="N1743">
        <f t="shared" ca="1" si="363"/>
        <v>0</v>
      </c>
    </row>
    <row r="1744" spans="1:14" x14ac:dyDescent="0.35">
      <c r="A1744" t="s">
        <v>1761</v>
      </c>
      <c r="B1744" t="str">
        <f t="shared" si="351"/>
        <v>Test</v>
      </c>
      <c r="C1744">
        <f t="shared" ca="1" si="352"/>
        <v>22</v>
      </c>
      <c r="D1744" t="str">
        <f t="shared" ca="1" si="353"/>
        <v>Male</v>
      </c>
      <c r="E1744" t="str">
        <f t="shared" ca="1" si="354"/>
        <v>Shoes</v>
      </c>
      <c r="F1744">
        <f t="shared" ca="1" si="355"/>
        <v>7079</v>
      </c>
      <c r="G1744">
        <f t="shared" ca="1" si="356"/>
        <v>25</v>
      </c>
      <c r="H1744">
        <f t="shared" ca="1" si="357"/>
        <v>5309.25</v>
      </c>
      <c r="I1744">
        <f t="shared" ca="1" si="358"/>
        <v>0</v>
      </c>
      <c r="J1744">
        <f t="shared" ca="1" si="359"/>
        <v>0</v>
      </c>
      <c r="K1744">
        <f t="shared" ca="1" si="360"/>
        <v>0</v>
      </c>
      <c r="L1744">
        <f t="shared" ca="1" si="361"/>
        <v>0</v>
      </c>
      <c r="M1744">
        <f t="shared" ca="1" si="362"/>
        <v>2</v>
      </c>
      <c r="N1744">
        <f t="shared" ca="1" si="363"/>
        <v>0</v>
      </c>
    </row>
    <row r="1745" spans="1:14" x14ac:dyDescent="0.35">
      <c r="A1745" t="s">
        <v>1762</v>
      </c>
      <c r="B1745" t="str">
        <f t="shared" si="351"/>
        <v>Test</v>
      </c>
      <c r="C1745">
        <f t="shared" ca="1" si="352"/>
        <v>20</v>
      </c>
      <c r="D1745" t="str">
        <f t="shared" ca="1" si="353"/>
        <v>Female</v>
      </c>
      <c r="E1745" t="str">
        <f t="shared" ca="1" si="354"/>
        <v>T-shirts</v>
      </c>
      <c r="F1745">
        <f t="shared" ca="1" si="355"/>
        <v>1228</v>
      </c>
      <c r="G1745">
        <f t="shared" ca="1" si="356"/>
        <v>20</v>
      </c>
      <c r="H1745">
        <f t="shared" ca="1" si="357"/>
        <v>982.40000000000009</v>
      </c>
      <c r="I1745">
        <f t="shared" ca="1" si="358"/>
        <v>1</v>
      </c>
      <c r="J1745">
        <f t="shared" ca="1" si="359"/>
        <v>1</v>
      </c>
      <c r="K1745">
        <f t="shared" ca="1" si="360"/>
        <v>1</v>
      </c>
      <c r="L1745">
        <f t="shared" ca="1" si="361"/>
        <v>982.40000000000009</v>
      </c>
      <c r="M1745">
        <f t="shared" ca="1" si="362"/>
        <v>4</v>
      </c>
      <c r="N1745">
        <f t="shared" ca="1" si="363"/>
        <v>0</v>
      </c>
    </row>
    <row r="1746" spans="1:14" x14ac:dyDescent="0.35">
      <c r="A1746" t="s">
        <v>1763</v>
      </c>
      <c r="B1746" t="str">
        <f t="shared" si="351"/>
        <v>Test</v>
      </c>
      <c r="C1746">
        <f t="shared" ca="1" si="352"/>
        <v>22</v>
      </c>
      <c r="D1746" t="str">
        <f t="shared" ca="1" si="353"/>
        <v>Other</v>
      </c>
      <c r="E1746" t="str">
        <f t="shared" ca="1" si="354"/>
        <v>T-shirts</v>
      </c>
      <c r="F1746">
        <f t="shared" ca="1" si="355"/>
        <v>6204</v>
      </c>
      <c r="G1746">
        <f t="shared" ca="1" si="356"/>
        <v>20</v>
      </c>
      <c r="H1746">
        <f t="shared" ca="1" si="357"/>
        <v>4963.2000000000007</v>
      </c>
      <c r="I1746">
        <f t="shared" ca="1" si="358"/>
        <v>1</v>
      </c>
      <c r="J1746">
        <f t="shared" ca="1" si="359"/>
        <v>0</v>
      </c>
      <c r="K1746">
        <f t="shared" ca="1" si="360"/>
        <v>0</v>
      </c>
      <c r="L1746">
        <f t="shared" ca="1" si="361"/>
        <v>0</v>
      </c>
      <c r="M1746">
        <f t="shared" ca="1" si="362"/>
        <v>6</v>
      </c>
      <c r="N1746">
        <f t="shared" ca="1" si="363"/>
        <v>0</v>
      </c>
    </row>
    <row r="1747" spans="1:14" x14ac:dyDescent="0.35">
      <c r="A1747" t="s">
        <v>1764</v>
      </c>
      <c r="B1747" t="str">
        <f t="shared" si="351"/>
        <v>Test</v>
      </c>
      <c r="C1747">
        <f t="shared" ca="1" si="352"/>
        <v>29</v>
      </c>
      <c r="D1747" t="str">
        <f t="shared" ca="1" si="353"/>
        <v>Male</v>
      </c>
      <c r="E1747" t="str">
        <f t="shared" ca="1" si="354"/>
        <v>T-shirts</v>
      </c>
      <c r="F1747">
        <f t="shared" ca="1" si="355"/>
        <v>3443</v>
      </c>
      <c r="G1747">
        <f t="shared" ca="1" si="356"/>
        <v>15</v>
      </c>
      <c r="H1747">
        <f t="shared" ca="1" si="357"/>
        <v>2926.5499999999997</v>
      </c>
      <c r="I1747">
        <f t="shared" ca="1" si="358"/>
        <v>1</v>
      </c>
      <c r="J1747">
        <f t="shared" ca="1" si="359"/>
        <v>1</v>
      </c>
      <c r="K1747">
        <f t="shared" ca="1" si="360"/>
        <v>1</v>
      </c>
      <c r="L1747">
        <f t="shared" ca="1" si="361"/>
        <v>2926.5499999999997</v>
      </c>
      <c r="M1747">
        <f t="shared" ca="1" si="362"/>
        <v>2</v>
      </c>
      <c r="N1747">
        <f t="shared" ca="1" si="363"/>
        <v>0</v>
      </c>
    </row>
    <row r="1748" spans="1:14" x14ac:dyDescent="0.35">
      <c r="A1748" t="s">
        <v>1765</v>
      </c>
      <c r="B1748" t="str">
        <f t="shared" si="351"/>
        <v>Test</v>
      </c>
      <c r="C1748">
        <f t="shared" ca="1" si="352"/>
        <v>42</v>
      </c>
      <c r="D1748" t="str">
        <f t="shared" ca="1" si="353"/>
        <v>Female</v>
      </c>
      <c r="E1748" t="str">
        <f t="shared" ca="1" si="354"/>
        <v>T-shirts</v>
      </c>
      <c r="F1748">
        <f t="shared" ca="1" si="355"/>
        <v>930</v>
      </c>
      <c r="G1748">
        <f t="shared" ca="1" si="356"/>
        <v>25</v>
      </c>
      <c r="H1748">
        <f t="shared" ca="1" si="357"/>
        <v>697.5</v>
      </c>
      <c r="I1748">
        <f t="shared" ca="1" si="358"/>
        <v>1</v>
      </c>
      <c r="J1748">
        <f t="shared" ca="1" si="359"/>
        <v>0</v>
      </c>
      <c r="K1748">
        <f t="shared" ca="1" si="360"/>
        <v>0</v>
      </c>
      <c r="L1748">
        <f t="shared" ca="1" si="361"/>
        <v>0</v>
      </c>
      <c r="M1748">
        <f t="shared" ca="1" si="362"/>
        <v>3</v>
      </c>
      <c r="N1748">
        <f t="shared" ca="1" si="363"/>
        <v>0</v>
      </c>
    </row>
    <row r="1749" spans="1:14" x14ac:dyDescent="0.35">
      <c r="A1749" t="s">
        <v>1766</v>
      </c>
      <c r="B1749" t="str">
        <f t="shared" si="351"/>
        <v>Test</v>
      </c>
      <c r="C1749">
        <f t="shared" ca="1" si="352"/>
        <v>31</v>
      </c>
      <c r="D1749" t="str">
        <f t="shared" ca="1" si="353"/>
        <v>Male</v>
      </c>
      <c r="E1749" t="str">
        <f t="shared" ca="1" si="354"/>
        <v>Shoes</v>
      </c>
      <c r="F1749">
        <f t="shared" ca="1" si="355"/>
        <v>6551</v>
      </c>
      <c r="G1749">
        <f t="shared" ca="1" si="356"/>
        <v>20</v>
      </c>
      <c r="H1749">
        <f t="shared" ca="1" si="357"/>
        <v>5240.8</v>
      </c>
      <c r="I1749">
        <f t="shared" ca="1" si="358"/>
        <v>1</v>
      </c>
      <c r="J1749">
        <f t="shared" ca="1" si="359"/>
        <v>1</v>
      </c>
      <c r="K1749">
        <f t="shared" ca="1" si="360"/>
        <v>0</v>
      </c>
      <c r="L1749">
        <f t="shared" ca="1" si="361"/>
        <v>0</v>
      </c>
      <c r="M1749">
        <f t="shared" ca="1" si="362"/>
        <v>4</v>
      </c>
      <c r="N1749">
        <f t="shared" ca="1" si="363"/>
        <v>0</v>
      </c>
    </row>
    <row r="1750" spans="1:14" x14ac:dyDescent="0.35">
      <c r="A1750" t="s">
        <v>1767</v>
      </c>
      <c r="B1750" t="str">
        <f t="shared" si="351"/>
        <v>Test</v>
      </c>
      <c r="C1750">
        <f t="shared" ca="1" si="352"/>
        <v>35</v>
      </c>
      <c r="D1750" t="str">
        <f t="shared" ca="1" si="353"/>
        <v>Female</v>
      </c>
      <c r="E1750" t="str">
        <f t="shared" ca="1" si="354"/>
        <v>Accessories</v>
      </c>
      <c r="F1750">
        <f t="shared" ca="1" si="355"/>
        <v>2805</v>
      </c>
      <c r="G1750">
        <f t="shared" ca="1" si="356"/>
        <v>25</v>
      </c>
      <c r="H1750">
        <f t="shared" ca="1" si="357"/>
        <v>2103.75</v>
      </c>
      <c r="I1750">
        <f t="shared" ca="1" si="358"/>
        <v>1</v>
      </c>
      <c r="J1750">
        <f t="shared" ca="1" si="359"/>
        <v>0</v>
      </c>
      <c r="K1750">
        <f t="shared" ca="1" si="360"/>
        <v>0</v>
      </c>
      <c r="L1750">
        <f t="shared" ca="1" si="361"/>
        <v>0</v>
      </c>
      <c r="M1750">
        <f t="shared" ca="1" si="362"/>
        <v>6</v>
      </c>
      <c r="N1750">
        <f t="shared" ca="1" si="363"/>
        <v>0</v>
      </c>
    </row>
    <row r="1751" spans="1:14" x14ac:dyDescent="0.35">
      <c r="A1751" t="s">
        <v>1768</v>
      </c>
      <c r="B1751" t="str">
        <f t="shared" si="351"/>
        <v>Test</v>
      </c>
      <c r="C1751">
        <f t="shared" ca="1" si="352"/>
        <v>19</v>
      </c>
      <c r="D1751" t="str">
        <f t="shared" ca="1" si="353"/>
        <v>Female</v>
      </c>
      <c r="E1751" t="str">
        <f t="shared" ca="1" si="354"/>
        <v>T-shirts</v>
      </c>
      <c r="F1751">
        <f t="shared" ca="1" si="355"/>
        <v>2444</v>
      </c>
      <c r="G1751">
        <f t="shared" ca="1" si="356"/>
        <v>25</v>
      </c>
      <c r="H1751">
        <f t="shared" ca="1" si="357"/>
        <v>1833</v>
      </c>
      <c r="I1751">
        <f t="shared" ca="1" si="358"/>
        <v>1</v>
      </c>
      <c r="J1751">
        <f t="shared" ca="1" si="359"/>
        <v>0</v>
      </c>
      <c r="K1751">
        <f t="shared" ca="1" si="360"/>
        <v>0</v>
      </c>
      <c r="L1751">
        <f t="shared" ca="1" si="361"/>
        <v>0</v>
      </c>
      <c r="M1751">
        <f t="shared" ca="1" si="362"/>
        <v>1</v>
      </c>
      <c r="N1751">
        <f t="shared" ca="1" si="363"/>
        <v>0</v>
      </c>
    </row>
    <row r="1752" spans="1:14" x14ac:dyDescent="0.35">
      <c r="A1752" t="s">
        <v>1769</v>
      </c>
      <c r="B1752" t="str">
        <f t="shared" si="351"/>
        <v>Test</v>
      </c>
      <c r="C1752">
        <f t="shared" ca="1" si="352"/>
        <v>39</v>
      </c>
      <c r="D1752" t="str">
        <f t="shared" ca="1" si="353"/>
        <v>Male</v>
      </c>
      <c r="E1752" t="str">
        <f t="shared" ca="1" si="354"/>
        <v>Jeans</v>
      </c>
      <c r="F1752">
        <f t="shared" ca="1" si="355"/>
        <v>5560</v>
      </c>
      <c r="G1752">
        <f t="shared" ca="1" si="356"/>
        <v>15</v>
      </c>
      <c r="H1752">
        <f t="shared" ca="1" si="357"/>
        <v>4726</v>
      </c>
      <c r="I1752">
        <f t="shared" ca="1" si="358"/>
        <v>1</v>
      </c>
      <c r="J1752">
        <f t="shared" ca="1" si="359"/>
        <v>0</v>
      </c>
      <c r="K1752">
        <f t="shared" ca="1" si="360"/>
        <v>0</v>
      </c>
      <c r="L1752">
        <f t="shared" ca="1" si="361"/>
        <v>0</v>
      </c>
      <c r="M1752">
        <f t="shared" ca="1" si="362"/>
        <v>1</v>
      </c>
      <c r="N1752">
        <f t="shared" ca="1" si="363"/>
        <v>0</v>
      </c>
    </row>
    <row r="1753" spans="1:14" x14ac:dyDescent="0.35">
      <c r="A1753" t="s">
        <v>1770</v>
      </c>
      <c r="B1753" t="str">
        <f t="shared" si="351"/>
        <v>Test</v>
      </c>
      <c r="C1753">
        <f t="shared" ca="1" si="352"/>
        <v>30</v>
      </c>
      <c r="D1753" t="str">
        <f t="shared" ca="1" si="353"/>
        <v>Female</v>
      </c>
      <c r="E1753" t="str">
        <f t="shared" ca="1" si="354"/>
        <v>Ethnic Wear</v>
      </c>
      <c r="F1753">
        <f t="shared" ca="1" si="355"/>
        <v>3599</v>
      </c>
      <c r="G1753">
        <f t="shared" ca="1" si="356"/>
        <v>15</v>
      </c>
      <c r="H1753">
        <f t="shared" ca="1" si="357"/>
        <v>3059.15</v>
      </c>
      <c r="I1753">
        <f t="shared" ca="1" si="358"/>
        <v>1</v>
      </c>
      <c r="J1753">
        <f t="shared" ca="1" si="359"/>
        <v>0</v>
      </c>
      <c r="K1753">
        <f t="shared" ca="1" si="360"/>
        <v>0</v>
      </c>
      <c r="L1753">
        <f t="shared" ca="1" si="361"/>
        <v>0</v>
      </c>
      <c r="M1753">
        <f t="shared" ca="1" si="362"/>
        <v>1</v>
      </c>
      <c r="N1753">
        <f t="shared" ca="1" si="363"/>
        <v>0</v>
      </c>
    </row>
    <row r="1754" spans="1:14" x14ac:dyDescent="0.35">
      <c r="A1754" t="s">
        <v>1771</v>
      </c>
      <c r="B1754" t="str">
        <f t="shared" si="351"/>
        <v>Test</v>
      </c>
      <c r="C1754">
        <f t="shared" ca="1" si="352"/>
        <v>30</v>
      </c>
      <c r="D1754" t="str">
        <f t="shared" ca="1" si="353"/>
        <v>Female</v>
      </c>
      <c r="E1754" t="str">
        <f t="shared" ca="1" si="354"/>
        <v>Sportswear</v>
      </c>
      <c r="F1754">
        <f t="shared" ca="1" si="355"/>
        <v>7454</v>
      </c>
      <c r="G1754">
        <f t="shared" ca="1" si="356"/>
        <v>20</v>
      </c>
      <c r="H1754">
        <f t="shared" ca="1" si="357"/>
        <v>5963.2000000000007</v>
      </c>
      <c r="I1754">
        <f t="shared" ca="1" si="358"/>
        <v>1</v>
      </c>
      <c r="J1754">
        <f t="shared" ca="1" si="359"/>
        <v>0</v>
      </c>
      <c r="K1754">
        <f t="shared" ca="1" si="360"/>
        <v>0</v>
      </c>
      <c r="L1754">
        <f t="shared" ca="1" si="361"/>
        <v>0</v>
      </c>
      <c r="M1754">
        <f t="shared" ca="1" si="362"/>
        <v>2</v>
      </c>
      <c r="N1754">
        <f t="shared" ca="1" si="363"/>
        <v>0</v>
      </c>
    </row>
    <row r="1755" spans="1:14" x14ac:dyDescent="0.35">
      <c r="A1755" t="s">
        <v>1772</v>
      </c>
      <c r="B1755" t="str">
        <f t="shared" si="351"/>
        <v>Test</v>
      </c>
      <c r="C1755">
        <f t="shared" ca="1" si="352"/>
        <v>40</v>
      </c>
      <c r="D1755" t="str">
        <f t="shared" ca="1" si="353"/>
        <v>Other</v>
      </c>
      <c r="E1755" t="str">
        <f t="shared" ca="1" si="354"/>
        <v>Ethnic Wear</v>
      </c>
      <c r="F1755">
        <f t="shared" ca="1" si="355"/>
        <v>7515</v>
      </c>
      <c r="G1755">
        <f t="shared" ca="1" si="356"/>
        <v>25</v>
      </c>
      <c r="H1755">
        <f t="shared" ca="1" si="357"/>
        <v>5636.25</v>
      </c>
      <c r="I1755">
        <f t="shared" ca="1" si="358"/>
        <v>1</v>
      </c>
      <c r="J1755">
        <f t="shared" ca="1" si="359"/>
        <v>0</v>
      </c>
      <c r="K1755">
        <f t="shared" ca="1" si="360"/>
        <v>0</v>
      </c>
      <c r="L1755">
        <f t="shared" ca="1" si="361"/>
        <v>0</v>
      </c>
      <c r="M1755">
        <f t="shared" ca="1" si="362"/>
        <v>3</v>
      </c>
      <c r="N1755">
        <f t="shared" ca="1" si="363"/>
        <v>0</v>
      </c>
    </row>
    <row r="1756" spans="1:14" x14ac:dyDescent="0.35">
      <c r="A1756" t="s">
        <v>1773</v>
      </c>
      <c r="B1756" t="str">
        <f t="shared" si="351"/>
        <v>Test</v>
      </c>
      <c r="C1756">
        <f t="shared" ca="1" si="352"/>
        <v>19</v>
      </c>
      <c r="D1756" t="str">
        <f t="shared" ca="1" si="353"/>
        <v>Female</v>
      </c>
      <c r="E1756" t="str">
        <f t="shared" ca="1" si="354"/>
        <v>Jeans</v>
      </c>
      <c r="F1756">
        <f t="shared" ca="1" si="355"/>
        <v>1601</v>
      </c>
      <c r="G1756">
        <f t="shared" ca="1" si="356"/>
        <v>25</v>
      </c>
      <c r="H1756">
        <f t="shared" ca="1" si="357"/>
        <v>1200.75</v>
      </c>
      <c r="I1756">
        <f t="shared" ca="1" si="358"/>
        <v>1</v>
      </c>
      <c r="J1756">
        <f t="shared" ca="1" si="359"/>
        <v>1</v>
      </c>
      <c r="K1756">
        <f t="shared" ca="1" si="360"/>
        <v>0</v>
      </c>
      <c r="L1756">
        <f t="shared" ca="1" si="361"/>
        <v>0</v>
      </c>
      <c r="M1756">
        <f t="shared" ca="1" si="362"/>
        <v>3</v>
      </c>
      <c r="N1756">
        <f t="shared" ca="1" si="363"/>
        <v>0</v>
      </c>
    </row>
    <row r="1757" spans="1:14" x14ac:dyDescent="0.35">
      <c r="A1757" t="s">
        <v>1774</v>
      </c>
      <c r="B1757" t="str">
        <f t="shared" si="351"/>
        <v>Test</v>
      </c>
      <c r="C1757">
        <f t="shared" ca="1" si="352"/>
        <v>18</v>
      </c>
      <c r="D1757" t="str">
        <f t="shared" ca="1" si="353"/>
        <v>Male</v>
      </c>
      <c r="E1757" t="str">
        <f t="shared" ca="1" si="354"/>
        <v>Dresses</v>
      </c>
      <c r="F1757">
        <f t="shared" ca="1" si="355"/>
        <v>2716</v>
      </c>
      <c r="G1757">
        <f t="shared" ca="1" si="356"/>
        <v>20</v>
      </c>
      <c r="H1757">
        <f t="shared" ca="1" si="357"/>
        <v>2172.8000000000002</v>
      </c>
      <c r="I1757">
        <f t="shared" ca="1" si="358"/>
        <v>1</v>
      </c>
      <c r="J1757">
        <f t="shared" ca="1" si="359"/>
        <v>1</v>
      </c>
      <c r="K1757">
        <f t="shared" ca="1" si="360"/>
        <v>1</v>
      </c>
      <c r="L1757">
        <f t="shared" ca="1" si="361"/>
        <v>2172.8000000000002</v>
      </c>
      <c r="M1757">
        <f t="shared" ca="1" si="362"/>
        <v>6</v>
      </c>
      <c r="N1757">
        <f t="shared" ca="1" si="363"/>
        <v>0</v>
      </c>
    </row>
    <row r="1758" spans="1:14" x14ac:dyDescent="0.35">
      <c r="A1758" t="s">
        <v>1775</v>
      </c>
      <c r="B1758" t="str">
        <f t="shared" si="351"/>
        <v>Test</v>
      </c>
      <c r="C1758">
        <f t="shared" ca="1" si="352"/>
        <v>33</v>
      </c>
      <c r="D1758" t="str">
        <f t="shared" ca="1" si="353"/>
        <v>Female</v>
      </c>
      <c r="E1758" t="str">
        <f t="shared" ca="1" si="354"/>
        <v>Jeans</v>
      </c>
      <c r="F1758">
        <f t="shared" ca="1" si="355"/>
        <v>3325</v>
      </c>
      <c r="G1758">
        <f t="shared" ca="1" si="356"/>
        <v>15</v>
      </c>
      <c r="H1758">
        <f t="shared" ca="1" si="357"/>
        <v>2826.25</v>
      </c>
      <c r="I1758">
        <f t="shared" ca="1" si="358"/>
        <v>1</v>
      </c>
      <c r="J1758">
        <f t="shared" ca="1" si="359"/>
        <v>1</v>
      </c>
      <c r="K1758">
        <f t="shared" ca="1" si="360"/>
        <v>1</v>
      </c>
      <c r="L1758">
        <f t="shared" ca="1" si="361"/>
        <v>2826.25</v>
      </c>
      <c r="M1758">
        <f t="shared" ca="1" si="362"/>
        <v>7</v>
      </c>
      <c r="N1758">
        <f t="shared" ca="1" si="363"/>
        <v>0</v>
      </c>
    </row>
    <row r="1759" spans="1:14" x14ac:dyDescent="0.35">
      <c r="A1759" t="s">
        <v>1776</v>
      </c>
      <c r="B1759" t="str">
        <f t="shared" si="351"/>
        <v>Test</v>
      </c>
      <c r="C1759">
        <f t="shared" ca="1" si="352"/>
        <v>30</v>
      </c>
      <c r="D1759" t="str">
        <f t="shared" ca="1" si="353"/>
        <v>Female</v>
      </c>
      <c r="E1759" t="str">
        <f t="shared" ca="1" si="354"/>
        <v>T-shirts</v>
      </c>
      <c r="F1759">
        <f t="shared" ca="1" si="355"/>
        <v>7658</v>
      </c>
      <c r="G1759">
        <f t="shared" ca="1" si="356"/>
        <v>15</v>
      </c>
      <c r="H1759">
        <f t="shared" ca="1" si="357"/>
        <v>6509.3</v>
      </c>
      <c r="I1759">
        <f t="shared" ca="1" si="358"/>
        <v>1</v>
      </c>
      <c r="J1759">
        <f t="shared" ca="1" si="359"/>
        <v>0</v>
      </c>
      <c r="K1759">
        <f t="shared" ca="1" si="360"/>
        <v>0</v>
      </c>
      <c r="L1759">
        <f t="shared" ca="1" si="361"/>
        <v>0</v>
      </c>
      <c r="M1759">
        <f t="shared" ca="1" si="362"/>
        <v>5</v>
      </c>
      <c r="N1759">
        <f t="shared" ca="1" si="363"/>
        <v>0</v>
      </c>
    </row>
    <row r="1760" spans="1:14" x14ac:dyDescent="0.35">
      <c r="A1760" t="s">
        <v>1777</v>
      </c>
      <c r="B1760" t="str">
        <f t="shared" si="351"/>
        <v>Test</v>
      </c>
      <c r="C1760">
        <f t="shared" ca="1" si="352"/>
        <v>24</v>
      </c>
      <c r="D1760" t="str">
        <f t="shared" ca="1" si="353"/>
        <v>Female</v>
      </c>
      <c r="E1760" t="str">
        <f t="shared" ca="1" si="354"/>
        <v>T-shirts</v>
      </c>
      <c r="F1760">
        <f t="shared" ca="1" si="355"/>
        <v>5720</v>
      </c>
      <c r="G1760">
        <f t="shared" ca="1" si="356"/>
        <v>20</v>
      </c>
      <c r="H1760">
        <f t="shared" ca="1" si="357"/>
        <v>4576</v>
      </c>
      <c r="I1760">
        <f t="shared" ca="1" si="358"/>
        <v>1</v>
      </c>
      <c r="J1760">
        <f t="shared" ca="1" si="359"/>
        <v>1</v>
      </c>
      <c r="K1760">
        <f t="shared" ca="1" si="360"/>
        <v>1</v>
      </c>
      <c r="L1760">
        <f t="shared" ca="1" si="361"/>
        <v>4576</v>
      </c>
      <c r="M1760">
        <f t="shared" ca="1" si="362"/>
        <v>3</v>
      </c>
      <c r="N1760">
        <f t="shared" ca="1" si="363"/>
        <v>0</v>
      </c>
    </row>
    <row r="1761" spans="1:14" x14ac:dyDescent="0.35">
      <c r="A1761" t="s">
        <v>1778</v>
      </c>
      <c r="B1761" t="str">
        <f t="shared" si="351"/>
        <v>Test</v>
      </c>
      <c r="C1761">
        <f t="shared" ca="1" si="352"/>
        <v>26</v>
      </c>
      <c r="D1761" t="str">
        <f t="shared" ca="1" si="353"/>
        <v>Male</v>
      </c>
      <c r="E1761" t="str">
        <f t="shared" ca="1" si="354"/>
        <v>Jeans</v>
      </c>
      <c r="F1761">
        <f t="shared" ca="1" si="355"/>
        <v>523</v>
      </c>
      <c r="G1761">
        <f t="shared" ca="1" si="356"/>
        <v>25</v>
      </c>
      <c r="H1761">
        <f t="shared" ca="1" si="357"/>
        <v>392.25</v>
      </c>
      <c r="I1761">
        <f t="shared" ca="1" si="358"/>
        <v>1</v>
      </c>
      <c r="J1761">
        <f t="shared" ca="1" si="359"/>
        <v>0</v>
      </c>
      <c r="K1761">
        <f t="shared" ca="1" si="360"/>
        <v>0</v>
      </c>
      <c r="L1761">
        <f t="shared" ca="1" si="361"/>
        <v>0</v>
      </c>
      <c r="M1761">
        <f t="shared" ca="1" si="362"/>
        <v>2</v>
      </c>
      <c r="N1761">
        <f t="shared" ca="1" si="363"/>
        <v>0</v>
      </c>
    </row>
    <row r="1762" spans="1:14" x14ac:dyDescent="0.35">
      <c r="A1762" t="s">
        <v>1779</v>
      </c>
      <c r="B1762" t="str">
        <f t="shared" si="351"/>
        <v>Test</v>
      </c>
      <c r="C1762">
        <f t="shared" ca="1" si="352"/>
        <v>42</v>
      </c>
      <c r="D1762" t="str">
        <f t="shared" ca="1" si="353"/>
        <v>Female</v>
      </c>
      <c r="E1762" t="str">
        <f t="shared" ca="1" si="354"/>
        <v>Tops</v>
      </c>
      <c r="F1762">
        <f t="shared" ca="1" si="355"/>
        <v>3229</v>
      </c>
      <c r="G1762">
        <f t="shared" ca="1" si="356"/>
        <v>15</v>
      </c>
      <c r="H1762">
        <f t="shared" ca="1" si="357"/>
        <v>2744.65</v>
      </c>
      <c r="I1762">
        <f t="shared" ca="1" si="358"/>
        <v>1</v>
      </c>
      <c r="J1762">
        <f t="shared" ca="1" si="359"/>
        <v>1</v>
      </c>
      <c r="K1762">
        <f t="shared" ca="1" si="360"/>
        <v>1</v>
      </c>
      <c r="L1762">
        <f t="shared" ca="1" si="361"/>
        <v>2744.65</v>
      </c>
      <c r="M1762">
        <f t="shared" ca="1" si="362"/>
        <v>6</v>
      </c>
      <c r="N1762">
        <f t="shared" ca="1" si="363"/>
        <v>0</v>
      </c>
    </row>
    <row r="1763" spans="1:14" x14ac:dyDescent="0.35">
      <c r="A1763" t="s">
        <v>1780</v>
      </c>
      <c r="B1763" t="str">
        <f t="shared" si="351"/>
        <v>Test</v>
      </c>
      <c r="C1763">
        <f t="shared" ca="1" si="352"/>
        <v>24</v>
      </c>
      <c r="D1763" t="str">
        <f t="shared" ca="1" si="353"/>
        <v>Male</v>
      </c>
      <c r="E1763" t="str">
        <f t="shared" ca="1" si="354"/>
        <v>Jeans</v>
      </c>
      <c r="F1763">
        <f t="shared" ca="1" si="355"/>
        <v>784</v>
      </c>
      <c r="G1763">
        <f t="shared" ca="1" si="356"/>
        <v>25</v>
      </c>
      <c r="H1763">
        <f t="shared" ca="1" si="357"/>
        <v>588</v>
      </c>
      <c r="I1763">
        <f t="shared" ca="1" si="358"/>
        <v>1</v>
      </c>
      <c r="J1763">
        <f t="shared" ca="1" si="359"/>
        <v>0</v>
      </c>
      <c r="K1763">
        <f t="shared" ca="1" si="360"/>
        <v>0</v>
      </c>
      <c r="L1763">
        <f t="shared" ca="1" si="361"/>
        <v>0</v>
      </c>
      <c r="M1763">
        <f t="shared" ca="1" si="362"/>
        <v>3</v>
      </c>
      <c r="N1763">
        <f t="shared" ca="1" si="363"/>
        <v>0</v>
      </c>
    </row>
    <row r="1764" spans="1:14" x14ac:dyDescent="0.35">
      <c r="A1764" t="s">
        <v>1781</v>
      </c>
      <c r="B1764" t="str">
        <f t="shared" si="351"/>
        <v>Test</v>
      </c>
      <c r="C1764">
        <f t="shared" ca="1" si="352"/>
        <v>31</v>
      </c>
      <c r="D1764" t="str">
        <f t="shared" ca="1" si="353"/>
        <v>Female</v>
      </c>
      <c r="E1764" t="str">
        <f t="shared" ca="1" si="354"/>
        <v>Tops</v>
      </c>
      <c r="F1764">
        <f t="shared" ca="1" si="355"/>
        <v>3818</v>
      </c>
      <c r="G1764">
        <f t="shared" ca="1" si="356"/>
        <v>15</v>
      </c>
      <c r="H1764">
        <f t="shared" ca="1" si="357"/>
        <v>3245.2999999999997</v>
      </c>
      <c r="I1764">
        <f t="shared" ca="1" si="358"/>
        <v>1</v>
      </c>
      <c r="J1764">
        <f t="shared" ca="1" si="359"/>
        <v>0</v>
      </c>
      <c r="K1764">
        <f t="shared" ca="1" si="360"/>
        <v>0</v>
      </c>
      <c r="L1764">
        <f t="shared" ca="1" si="361"/>
        <v>0</v>
      </c>
      <c r="M1764">
        <f t="shared" ca="1" si="362"/>
        <v>6</v>
      </c>
      <c r="N1764">
        <f t="shared" ca="1" si="363"/>
        <v>0</v>
      </c>
    </row>
    <row r="1765" spans="1:14" x14ac:dyDescent="0.35">
      <c r="A1765" t="s">
        <v>1782</v>
      </c>
      <c r="B1765" t="str">
        <f t="shared" si="351"/>
        <v>Test</v>
      </c>
      <c r="C1765">
        <f t="shared" ca="1" si="352"/>
        <v>31</v>
      </c>
      <c r="D1765" t="str">
        <f t="shared" ca="1" si="353"/>
        <v>Other</v>
      </c>
      <c r="E1765" t="str">
        <f t="shared" ca="1" si="354"/>
        <v>Sportswear</v>
      </c>
      <c r="F1765">
        <f t="shared" ca="1" si="355"/>
        <v>6452</v>
      </c>
      <c r="G1765">
        <f t="shared" ca="1" si="356"/>
        <v>25</v>
      </c>
      <c r="H1765">
        <f t="shared" ca="1" si="357"/>
        <v>4839</v>
      </c>
      <c r="I1765">
        <f t="shared" ca="1" si="358"/>
        <v>1</v>
      </c>
      <c r="J1765">
        <f t="shared" ca="1" si="359"/>
        <v>1</v>
      </c>
      <c r="K1765">
        <f t="shared" ca="1" si="360"/>
        <v>0</v>
      </c>
      <c r="L1765">
        <f t="shared" ca="1" si="361"/>
        <v>0</v>
      </c>
      <c r="M1765">
        <f t="shared" ca="1" si="362"/>
        <v>6</v>
      </c>
      <c r="N1765">
        <f t="shared" ca="1" si="363"/>
        <v>0</v>
      </c>
    </row>
    <row r="1766" spans="1:14" x14ac:dyDescent="0.35">
      <c r="A1766" t="s">
        <v>1783</v>
      </c>
      <c r="B1766" t="str">
        <f t="shared" si="351"/>
        <v>Test</v>
      </c>
      <c r="C1766">
        <f t="shared" ca="1" si="352"/>
        <v>27</v>
      </c>
      <c r="D1766" t="str">
        <f t="shared" ca="1" si="353"/>
        <v>Male</v>
      </c>
      <c r="E1766" t="str">
        <f t="shared" ca="1" si="354"/>
        <v>Accessories</v>
      </c>
      <c r="F1766">
        <f t="shared" ca="1" si="355"/>
        <v>7267</v>
      </c>
      <c r="G1766">
        <f t="shared" ca="1" si="356"/>
        <v>20</v>
      </c>
      <c r="H1766">
        <f t="shared" ca="1" si="357"/>
        <v>5813.6</v>
      </c>
      <c r="I1766">
        <f t="shared" ca="1" si="358"/>
        <v>1</v>
      </c>
      <c r="J1766">
        <f t="shared" ca="1" si="359"/>
        <v>0</v>
      </c>
      <c r="K1766">
        <f t="shared" ca="1" si="360"/>
        <v>0</v>
      </c>
      <c r="L1766">
        <f t="shared" ca="1" si="361"/>
        <v>0</v>
      </c>
      <c r="M1766">
        <f t="shared" ca="1" si="362"/>
        <v>7</v>
      </c>
      <c r="N1766">
        <f t="shared" ca="1" si="363"/>
        <v>0</v>
      </c>
    </row>
    <row r="1767" spans="1:14" x14ac:dyDescent="0.35">
      <c r="A1767" t="s">
        <v>1784</v>
      </c>
      <c r="B1767" t="str">
        <f t="shared" si="351"/>
        <v>Test</v>
      </c>
      <c r="C1767">
        <f t="shared" ca="1" si="352"/>
        <v>19</v>
      </c>
      <c r="D1767" t="str">
        <f t="shared" ca="1" si="353"/>
        <v>Female</v>
      </c>
      <c r="E1767" t="str">
        <f t="shared" ca="1" si="354"/>
        <v>Tops</v>
      </c>
      <c r="F1767">
        <f t="shared" ca="1" si="355"/>
        <v>3175</v>
      </c>
      <c r="G1767">
        <f t="shared" ca="1" si="356"/>
        <v>25</v>
      </c>
      <c r="H1767">
        <f t="shared" ca="1" si="357"/>
        <v>2381.25</v>
      </c>
      <c r="I1767">
        <f t="shared" ca="1" si="358"/>
        <v>1</v>
      </c>
      <c r="J1767">
        <f t="shared" ca="1" si="359"/>
        <v>0</v>
      </c>
      <c r="K1767">
        <f t="shared" ca="1" si="360"/>
        <v>0</v>
      </c>
      <c r="L1767">
        <f t="shared" ca="1" si="361"/>
        <v>0</v>
      </c>
      <c r="M1767">
        <f t="shared" ca="1" si="362"/>
        <v>2</v>
      </c>
      <c r="N1767">
        <f t="shared" ca="1" si="363"/>
        <v>0</v>
      </c>
    </row>
    <row r="1768" spans="1:14" x14ac:dyDescent="0.35">
      <c r="A1768" t="s">
        <v>1785</v>
      </c>
      <c r="B1768" t="str">
        <f t="shared" si="351"/>
        <v>Test</v>
      </c>
      <c r="C1768">
        <f t="shared" ca="1" si="352"/>
        <v>41</v>
      </c>
      <c r="D1768" t="str">
        <f t="shared" ca="1" si="353"/>
        <v>Female</v>
      </c>
      <c r="E1768" t="str">
        <f t="shared" ca="1" si="354"/>
        <v>Sportswear</v>
      </c>
      <c r="F1768">
        <f t="shared" ca="1" si="355"/>
        <v>7826</v>
      </c>
      <c r="G1768">
        <f t="shared" ca="1" si="356"/>
        <v>25</v>
      </c>
      <c r="H1768">
        <f t="shared" ca="1" si="357"/>
        <v>5869.5</v>
      </c>
      <c r="I1768">
        <f t="shared" ca="1" si="358"/>
        <v>1</v>
      </c>
      <c r="J1768">
        <f t="shared" ca="1" si="359"/>
        <v>0</v>
      </c>
      <c r="K1768">
        <f t="shared" ca="1" si="360"/>
        <v>0</v>
      </c>
      <c r="L1768">
        <f t="shared" ca="1" si="361"/>
        <v>0</v>
      </c>
      <c r="M1768">
        <f t="shared" ca="1" si="362"/>
        <v>2</v>
      </c>
      <c r="N1768">
        <f t="shared" ca="1" si="363"/>
        <v>0</v>
      </c>
    </row>
    <row r="1769" spans="1:14" x14ac:dyDescent="0.35">
      <c r="A1769" t="s">
        <v>1786</v>
      </c>
      <c r="B1769" t="str">
        <f t="shared" si="351"/>
        <v>Test</v>
      </c>
      <c r="C1769">
        <f t="shared" ca="1" si="352"/>
        <v>37</v>
      </c>
      <c r="D1769" t="str">
        <f t="shared" ca="1" si="353"/>
        <v>Male</v>
      </c>
      <c r="E1769" t="str">
        <f t="shared" ca="1" si="354"/>
        <v>Accessories</v>
      </c>
      <c r="F1769">
        <f t="shared" ca="1" si="355"/>
        <v>779</v>
      </c>
      <c r="G1769">
        <f t="shared" ca="1" si="356"/>
        <v>15</v>
      </c>
      <c r="H1769">
        <f t="shared" ca="1" si="357"/>
        <v>662.15</v>
      </c>
      <c r="I1769">
        <f t="shared" ca="1" si="358"/>
        <v>1</v>
      </c>
      <c r="J1769">
        <f t="shared" ca="1" si="359"/>
        <v>1</v>
      </c>
      <c r="K1769">
        <f t="shared" ca="1" si="360"/>
        <v>0</v>
      </c>
      <c r="L1769">
        <f t="shared" ca="1" si="361"/>
        <v>0</v>
      </c>
      <c r="M1769">
        <f t="shared" ca="1" si="362"/>
        <v>4</v>
      </c>
      <c r="N1769">
        <f t="shared" ca="1" si="363"/>
        <v>0</v>
      </c>
    </row>
    <row r="1770" spans="1:14" x14ac:dyDescent="0.35">
      <c r="A1770" t="s">
        <v>1787</v>
      </c>
      <c r="B1770" t="str">
        <f t="shared" si="351"/>
        <v>Test</v>
      </c>
      <c r="C1770">
        <f t="shared" ca="1" si="352"/>
        <v>28</v>
      </c>
      <c r="D1770" t="str">
        <f t="shared" ca="1" si="353"/>
        <v>Male</v>
      </c>
      <c r="E1770" t="str">
        <f t="shared" ca="1" si="354"/>
        <v>Ethnic Wear</v>
      </c>
      <c r="F1770">
        <f t="shared" ca="1" si="355"/>
        <v>7331</v>
      </c>
      <c r="G1770">
        <f t="shared" ca="1" si="356"/>
        <v>20</v>
      </c>
      <c r="H1770">
        <f t="shared" ca="1" si="357"/>
        <v>5864.8</v>
      </c>
      <c r="I1770">
        <f t="shared" ca="1" si="358"/>
        <v>1</v>
      </c>
      <c r="J1770">
        <f t="shared" ca="1" si="359"/>
        <v>1</v>
      </c>
      <c r="K1770">
        <f t="shared" ca="1" si="360"/>
        <v>0</v>
      </c>
      <c r="L1770">
        <f t="shared" ca="1" si="361"/>
        <v>0</v>
      </c>
      <c r="M1770">
        <f t="shared" ca="1" si="362"/>
        <v>2</v>
      </c>
      <c r="N1770">
        <f t="shared" ca="1" si="363"/>
        <v>0</v>
      </c>
    </row>
    <row r="1771" spans="1:14" x14ac:dyDescent="0.35">
      <c r="A1771" t="s">
        <v>1788</v>
      </c>
      <c r="B1771" t="str">
        <f t="shared" si="351"/>
        <v>Test</v>
      </c>
      <c r="C1771">
        <f t="shared" ca="1" si="352"/>
        <v>32</v>
      </c>
      <c r="D1771" t="str">
        <f t="shared" ca="1" si="353"/>
        <v>Male</v>
      </c>
      <c r="E1771" t="str">
        <f t="shared" ca="1" si="354"/>
        <v>Jeans</v>
      </c>
      <c r="F1771">
        <f t="shared" ca="1" si="355"/>
        <v>4596</v>
      </c>
      <c r="G1771">
        <f t="shared" ca="1" si="356"/>
        <v>20</v>
      </c>
      <c r="H1771">
        <f t="shared" ca="1" si="357"/>
        <v>3676.8</v>
      </c>
      <c r="I1771">
        <f t="shared" ca="1" si="358"/>
        <v>0</v>
      </c>
      <c r="J1771">
        <f t="shared" ca="1" si="359"/>
        <v>0</v>
      </c>
      <c r="K1771">
        <f t="shared" ca="1" si="360"/>
        <v>0</v>
      </c>
      <c r="L1771">
        <f t="shared" ca="1" si="361"/>
        <v>0</v>
      </c>
      <c r="M1771">
        <f t="shared" ca="1" si="362"/>
        <v>2</v>
      </c>
      <c r="N1771">
        <f t="shared" ca="1" si="363"/>
        <v>0</v>
      </c>
    </row>
    <row r="1772" spans="1:14" x14ac:dyDescent="0.35">
      <c r="A1772" t="s">
        <v>1789</v>
      </c>
      <c r="B1772" t="str">
        <f t="shared" si="351"/>
        <v>Test</v>
      </c>
      <c r="C1772">
        <f t="shared" ca="1" si="352"/>
        <v>36</v>
      </c>
      <c r="D1772" t="str">
        <f t="shared" ca="1" si="353"/>
        <v>Female</v>
      </c>
      <c r="E1772" t="str">
        <f t="shared" ca="1" si="354"/>
        <v>Dresses</v>
      </c>
      <c r="F1772">
        <f t="shared" ca="1" si="355"/>
        <v>3474</v>
      </c>
      <c r="G1772">
        <f t="shared" ca="1" si="356"/>
        <v>20</v>
      </c>
      <c r="H1772">
        <f t="shared" ca="1" si="357"/>
        <v>2779.2000000000003</v>
      </c>
      <c r="I1772">
        <f t="shared" ca="1" si="358"/>
        <v>1</v>
      </c>
      <c r="J1772">
        <f t="shared" ca="1" si="359"/>
        <v>1</v>
      </c>
      <c r="K1772">
        <f t="shared" ca="1" si="360"/>
        <v>0</v>
      </c>
      <c r="L1772">
        <f t="shared" ca="1" si="361"/>
        <v>0</v>
      </c>
      <c r="M1772">
        <f t="shared" ca="1" si="362"/>
        <v>3</v>
      </c>
      <c r="N1772">
        <f t="shared" ca="1" si="363"/>
        <v>0</v>
      </c>
    </row>
    <row r="1773" spans="1:14" x14ac:dyDescent="0.35">
      <c r="A1773" t="s">
        <v>1790</v>
      </c>
      <c r="B1773" t="str">
        <f t="shared" si="351"/>
        <v>Test</v>
      </c>
      <c r="C1773">
        <f t="shared" ca="1" si="352"/>
        <v>35</v>
      </c>
      <c r="D1773" t="str">
        <f t="shared" ca="1" si="353"/>
        <v>Female</v>
      </c>
      <c r="E1773" t="str">
        <f t="shared" ca="1" si="354"/>
        <v>T-shirts</v>
      </c>
      <c r="F1773">
        <f t="shared" ca="1" si="355"/>
        <v>1234</v>
      </c>
      <c r="G1773">
        <f t="shared" ca="1" si="356"/>
        <v>15</v>
      </c>
      <c r="H1773">
        <f t="shared" ca="1" si="357"/>
        <v>1048.8999999999999</v>
      </c>
      <c r="I1773">
        <f t="shared" ca="1" si="358"/>
        <v>0</v>
      </c>
      <c r="J1773">
        <f t="shared" ca="1" si="359"/>
        <v>0</v>
      </c>
      <c r="K1773">
        <f t="shared" ca="1" si="360"/>
        <v>0</v>
      </c>
      <c r="L1773">
        <f t="shared" ca="1" si="361"/>
        <v>0</v>
      </c>
      <c r="M1773">
        <f t="shared" ca="1" si="362"/>
        <v>5</v>
      </c>
      <c r="N1773">
        <f t="shared" ca="1" si="363"/>
        <v>0</v>
      </c>
    </row>
    <row r="1774" spans="1:14" x14ac:dyDescent="0.35">
      <c r="A1774" t="s">
        <v>1791</v>
      </c>
      <c r="B1774" t="str">
        <f t="shared" si="351"/>
        <v>Test</v>
      </c>
      <c r="C1774">
        <f t="shared" ca="1" si="352"/>
        <v>43</v>
      </c>
      <c r="D1774" t="str">
        <f t="shared" ca="1" si="353"/>
        <v>Female</v>
      </c>
      <c r="E1774" t="str">
        <f t="shared" ca="1" si="354"/>
        <v>Dresses</v>
      </c>
      <c r="F1774">
        <f t="shared" ca="1" si="355"/>
        <v>7206</v>
      </c>
      <c r="G1774">
        <f t="shared" ca="1" si="356"/>
        <v>15</v>
      </c>
      <c r="H1774">
        <f t="shared" ca="1" si="357"/>
        <v>6125.0999999999995</v>
      </c>
      <c r="I1774">
        <f t="shared" ca="1" si="358"/>
        <v>1</v>
      </c>
      <c r="J1774">
        <f t="shared" ca="1" si="359"/>
        <v>1</v>
      </c>
      <c r="K1774">
        <f t="shared" ca="1" si="360"/>
        <v>0</v>
      </c>
      <c r="L1774">
        <f t="shared" ca="1" si="361"/>
        <v>0</v>
      </c>
      <c r="M1774">
        <f t="shared" ca="1" si="362"/>
        <v>4</v>
      </c>
      <c r="N1774">
        <f t="shared" ca="1" si="363"/>
        <v>0</v>
      </c>
    </row>
    <row r="1775" spans="1:14" x14ac:dyDescent="0.35">
      <c r="A1775" t="s">
        <v>1792</v>
      </c>
      <c r="B1775" t="str">
        <f t="shared" si="351"/>
        <v>Test</v>
      </c>
      <c r="C1775">
        <f t="shared" ca="1" si="352"/>
        <v>35</v>
      </c>
      <c r="D1775" t="str">
        <f t="shared" ca="1" si="353"/>
        <v>Male</v>
      </c>
      <c r="E1775" t="str">
        <f t="shared" ca="1" si="354"/>
        <v>Jeans</v>
      </c>
      <c r="F1775">
        <f t="shared" ca="1" si="355"/>
        <v>2088</v>
      </c>
      <c r="G1775">
        <f t="shared" ca="1" si="356"/>
        <v>25</v>
      </c>
      <c r="H1775">
        <f t="shared" ca="1" si="357"/>
        <v>1566</v>
      </c>
      <c r="I1775">
        <f t="shared" ca="1" si="358"/>
        <v>0</v>
      </c>
      <c r="J1775">
        <f t="shared" ca="1" si="359"/>
        <v>0</v>
      </c>
      <c r="K1775">
        <f t="shared" ca="1" si="360"/>
        <v>0</v>
      </c>
      <c r="L1775">
        <f t="shared" ca="1" si="361"/>
        <v>0</v>
      </c>
      <c r="M1775">
        <f t="shared" ca="1" si="362"/>
        <v>4</v>
      </c>
      <c r="N1775">
        <f t="shared" ca="1" si="363"/>
        <v>0</v>
      </c>
    </row>
    <row r="1776" spans="1:14" x14ac:dyDescent="0.35">
      <c r="A1776" t="s">
        <v>1793</v>
      </c>
      <c r="B1776" t="str">
        <f t="shared" si="351"/>
        <v>Test</v>
      </c>
      <c r="C1776">
        <f t="shared" ca="1" si="352"/>
        <v>39</v>
      </c>
      <c r="D1776" t="str">
        <f t="shared" ca="1" si="353"/>
        <v>Female</v>
      </c>
      <c r="E1776" t="str">
        <f t="shared" ca="1" si="354"/>
        <v>Dresses</v>
      </c>
      <c r="F1776">
        <f t="shared" ca="1" si="355"/>
        <v>3720</v>
      </c>
      <c r="G1776">
        <f t="shared" ca="1" si="356"/>
        <v>25</v>
      </c>
      <c r="H1776">
        <f t="shared" ca="1" si="357"/>
        <v>2790</v>
      </c>
      <c r="I1776">
        <f t="shared" ca="1" si="358"/>
        <v>1</v>
      </c>
      <c r="J1776">
        <f t="shared" ca="1" si="359"/>
        <v>0</v>
      </c>
      <c r="K1776">
        <f t="shared" ca="1" si="360"/>
        <v>0</v>
      </c>
      <c r="L1776">
        <f t="shared" ca="1" si="361"/>
        <v>0</v>
      </c>
      <c r="M1776">
        <f t="shared" ca="1" si="362"/>
        <v>4</v>
      </c>
      <c r="N1776">
        <f t="shared" ca="1" si="363"/>
        <v>0</v>
      </c>
    </row>
    <row r="1777" spans="1:14" x14ac:dyDescent="0.35">
      <c r="A1777" t="s">
        <v>1794</v>
      </c>
      <c r="B1777" t="str">
        <f t="shared" si="351"/>
        <v>Test</v>
      </c>
      <c r="C1777">
        <f t="shared" ca="1" si="352"/>
        <v>44</v>
      </c>
      <c r="D1777" t="str">
        <f t="shared" ca="1" si="353"/>
        <v>Female</v>
      </c>
      <c r="E1777" t="str">
        <f t="shared" ca="1" si="354"/>
        <v>Tops</v>
      </c>
      <c r="F1777">
        <f t="shared" ca="1" si="355"/>
        <v>2350</v>
      </c>
      <c r="G1777">
        <f t="shared" ca="1" si="356"/>
        <v>15</v>
      </c>
      <c r="H1777">
        <f t="shared" ca="1" si="357"/>
        <v>1997.5</v>
      </c>
      <c r="I1777">
        <f t="shared" ca="1" si="358"/>
        <v>1</v>
      </c>
      <c r="J1777">
        <f t="shared" ca="1" si="359"/>
        <v>0</v>
      </c>
      <c r="K1777">
        <f t="shared" ca="1" si="360"/>
        <v>0</v>
      </c>
      <c r="L1777">
        <f t="shared" ca="1" si="361"/>
        <v>0</v>
      </c>
      <c r="M1777">
        <f t="shared" ca="1" si="362"/>
        <v>7</v>
      </c>
      <c r="N1777">
        <f t="shared" ca="1" si="363"/>
        <v>0</v>
      </c>
    </row>
    <row r="1778" spans="1:14" x14ac:dyDescent="0.35">
      <c r="A1778" t="s">
        <v>1795</v>
      </c>
      <c r="B1778" t="str">
        <f t="shared" si="351"/>
        <v>Test</v>
      </c>
      <c r="C1778">
        <f t="shared" ca="1" si="352"/>
        <v>37</v>
      </c>
      <c r="D1778" t="str">
        <f t="shared" ca="1" si="353"/>
        <v>Female</v>
      </c>
      <c r="E1778" t="str">
        <f t="shared" ca="1" si="354"/>
        <v>Sportswear</v>
      </c>
      <c r="F1778">
        <f t="shared" ca="1" si="355"/>
        <v>5296</v>
      </c>
      <c r="G1778">
        <f t="shared" ca="1" si="356"/>
        <v>15</v>
      </c>
      <c r="H1778">
        <f t="shared" ca="1" si="357"/>
        <v>4501.5999999999995</v>
      </c>
      <c r="I1778">
        <f t="shared" ca="1" si="358"/>
        <v>1</v>
      </c>
      <c r="J1778">
        <f t="shared" ca="1" si="359"/>
        <v>1</v>
      </c>
      <c r="K1778">
        <f t="shared" ca="1" si="360"/>
        <v>1</v>
      </c>
      <c r="L1778">
        <f t="shared" ca="1" si="361"/>
        <v>4501.5999999999995</v>
      </c>
      <c r="M1778">
        <f t="shared" ca="1" si="362"/>
        <v>3</v>
      </c>
      <c r="N1778">
        <f t="shared" ca="1" si="363"/>
        <v>0</v>
      </c>
    </row>
    <row r="1779" spans="1:14" x14ac:dyDescent="0.35">
      <c r="A1779" t="s">
        <v>1796</v>
      </c>
      <c r="B1779" t="str">
        <f t="shared" si="351"/>
        <v>Test</v>
      </c>
      <c r="C1779">
        <f t="shared" ca="1" si="352"/>
        <v>18</v>
      </c>
      <c r="D1779" t="str">
        <f t="shared" ca="1" si="353"/>
        <v>Other</v>
      </c>
      <c r="E1779" t="str">
        <f t="shared" ca="1" si="354"/>
        <v>Accessories</v>
      </c>
      <c r="F1779">
        <f t="shared" ca="1" si="355"/>
        <v>7148</v>
      </c>
      <c r="G1779">
        <f t="shared" ca="1" si="356"/>
        <v>20</v>
      </c>
      <c r="H1779">
        <f t="shared" ca="1" si="357"/>
        <v>5718.4000000000005</v>
      </c>
      <c r="I1779">
        <f t="shared" ca="1" si="358"/>
        <v>1</v>
      </c>
      <c r="J1779">
        <f t="shared" ca="1" si="359"/>
        <v>0</v>
      </c>
      <c r="K1779">
        <f t="shared" ca="1" si="360"/>
        <v>0</v>
      </c>
      <c r="L1779">
        <f t="shared" ca="1" si="361"/>
        <v>0</v>
      </c>
      <c r="M1779">
        <f t="shared" ca="1" si="362"/>
        <v>3</v>
      </c>
      <c r="N1779">
        <f t="shared" ca="1" si="363"/>
        <v>0</v>
      </c>
    </row>
    <row r="1780" spans="1:14" x14ac:dyDescent="0.35">
      <c r="A1780" t="s">
        <v>1797</v>
      </c>
      <c r="B1780" t="str">
        <f t="shared" si="351"/>
        <v>Test</v>
      </c>
      <c r="C1780">
        <f t="shared" ca="1" si="352"/>
        <v>32</v>
      </c>
      <c r="D1780" t="str">
        <f t="shared" ca="1" si="353"/>
        <v>Male</v>
      </c>
      <c r="E1780" t="str">
        <f t="shared" ca="1" si="354"/>
        <v>Ethnic Wear</v>
      </c>
      <c r="F1780">
        <f t="shared" ca="1" si="355"/>
        <v>4620</v>
      </c>
      <c r="G1780">
        <f t="shared" ca="1" si="356"/>
        <v>25</v>
      </c>
      <c r="H1780">
        <f t="shared" ca="1" si="357"/>
        <v>3465</v>
      </c>
      <c r="I1780">
        <f t="shared" ca="1" si="358"/>
        <v>1</v>
      </c>
      <c r="J1780">
        <f t="shared" ca="1" si="359"/>
        <v>0</v>
      </c>
      <c r="K1780">
        <f t="shared" ca="1" si="360"/>
        <v>0</v>
      </c>
      <c r="L1780">
        <f t="shared" ca="1" si="361"/>
        <v>0</v>
      </c>
      <c r="M1780">
        <f t="shared" ca="1" si="362"/>
        <v>3</v>
      </c>
      <c r="N1780">
        <f t="shared" ca="1" si="363"/>
        <v>0</v>
      </c>
    </row>
    <row r="1781" spans="1:14" x14ac:dyDescent="0.35">
      <c r="A1781" t="s">
        <v>1798</v>
      </c>
      <c r="B1781" t="str">
        <f t="shared" si="351"/>
        <v>Test</v>
      </c>
      <c r="C1781">
        <f t="shared" ca="1" si="352"/>
        <v>21</v>
      </c>
      <c r="D1781" t="str">
        <f t="shared" ca="1" si="353"/>
        <v>Female</v>
      </c>
      <c r="E1781" t="str">
        <f t="shared" ca="1" si="354"/>
        <v>Dresses</v>
      </c>
      <c r="F1781">
        <f t="shared" ca="1" si="355"/>
        <v>6735</v>
      </c>
      <c r="G1781">
        <f t="shared" ca="1" si="356"/>
        <v>25</v>
      </c>
      <c r="H1781">
        <f t="shared" ca="1" si="357"/>
        <v>5051.25</v>
      </c>
      <c r="I1781">
        <f t="shared" ca="1" si="358"/>
        <v>1</v>
      </c>
      <c r="J1781">
        <f t="shared" ca="1" si="359"/>
        <v>0</v>
      </c>
      <c r="K1781">
        <f t="shared" ca="1" si="360"/>
        <v>0</v>
      </c>
      <c r="L1781">
        <f t="shared" ca="1" si="361"/>
        <v>0</v>
      </c>
      <c r="M1781">
        <f t="shared" ca="1" si="362"/>
        <v>7</v>
      </c>
      <c r="N1781">
        <f t="shared" ca="1" si="363"/>
        <v>0</v>
      </c>
    </row>
    <row r="1782" spans="1:14" x14ac:dyDescent="0.35">
      <c r="A1782" t="s">
        <v>1799</v>
      </c>
      <c r="B1782" t="str">
        <f t="shared" si="351"/>
        <v>Test</v>
      </c>
      <c r="C1782">
        <f t="shared" ca="1" si="352"/>
        <v>24</v>
      </c>
      <c r="D1782" t="str">
        <f t="shared" ca="1" si="353"/>
        <v>Female</v>
      </c>
      <c r="E1782" t="str">
        <f t="shared" ca="1" si="354"/>
        <v>Sportswear</v>
      </c>
      <c r="F1782">
        <f t="shared" ca="1" si="355"/>
        <v>7779</v>
      </c>
      <c r="G1782">
        <f t="shared" ca="1" si="356"/>
        <v>20</v>
      </c>
      <c r="H1782">
        <f t="shared" ca="1" si="357"/>
        <v>6223.2000000000007</v>
      </c>
      <c r="I1782">
        <f t="shared" ca="1" si="358"/>
        <v>1</v>
      </c>
      <c r="J1782">
        <f t="shared" ca="1" si="359"/>
        <v>1</v>
      </c>
      <c r="K1782">
        <f t="shared" ca="1" si="360"/>
        <v>0</v>
      </c>
      <c r="L1782">
        <f t="shared" ca="1" si="361"/>
        <v>0</v>
      </c>
      <c r="M1782">
        <f t="shared" ca="1" si="362"/>
        <v>1</v>
      </c>
      <c r="N1782">
        <f t="shared" ca="1" si="363"/>
        <v>0</v>
      </c>
    </row>
    <row r="1783" spans="1:14" x14ac:dyDescent="0.35">
      <c r="A1783" t="s">
        <v>1800</v>
      </c>
      <c r="B1783" t="str">
        <f t="shared" si="351"/>
        <v>Test</v>
      </c>
      <c r="C1783">
        <f t="shared" ca="1" si="352"/>
        <v>44</v>
      </c>
      <c r="D1783" t="str">
        <f t="shared" ca="1" si="353"/>
        <v>Female</v>
      </c>
      <c r="E1783" t="str">
        <f t="shared" ca="1" si="354"/>
        <v>Dresses</v>
      </c>
      <c r="F1783">
        <f t="shared" ca="1" si="355"/>
        <v>6257</v>
      </c>
      <c r="G1783">
        <f t="shared" ca="1" si="356"/>
        <v>15</v>
      </c>
      <c r="H1783">
        <f t="shared" ca="1" si="357"/>
        <v>5318.45</v>
      </c>
      <c r="I1783">
        <f t="shared" ca="1" si="358"/>
        <v>1</v>
      </c>
      <c r="J1783">
        <f t="shared" ca="1" si="359"/>
        <v>0</v>
      </c>
      <c r="K1783">
        <f t="shared" ca="1" si="360"/>
        <v>0</v>
      </c>
      <c r="L1783">
        <f t="shared" ca="1" si="361"/>
        <v>0</v>
      </c>
      <c r="M1783">
        <f t="shared" ca="1" si="362"/>
        <v>7</v>
      </c>
      <c r="N1783">
        <f t="shared" ca="1" si="363"/>
        <v>0</v>
      </c>
    </row>
    <row r="1784" spans="1:14" x14ac:dyDescent="0.35">
      <c r="A1784" t="s">
        <v>1801</v>
      </c>
      <c r="B1784" t="str">
        <f t="shared" si="351"/>
        <v>Test</v>
      </c>
      <c r="C1784">
        <f t="shared" ca="1" si="352"/>
        <v>28</v>
      </c>
      <c r="D1784" t="str">
        <f t="shared" ca="1" si="353"/>
        <v>Female</v>
      </c>
      <c r="E1784" t="str">
        <f t="shared" ca="1" si="354"/>
        <v>Tops</v>
      </c>
      <c r="F1784">
        <f t="shared" ca="1" si="355"/>
        <v>2567</v>
      </c>
      <c r="G1784">
        <f t="shared" ca="1" si="356"/>
        <v>15</v>
      </c>
      <c r="H1784">
        <f t="shared" ca="1" si="357"/>
        <v>2181.9499999999998</v>
      </c>
      <c r="I1784">
        <f t="shared" ca="1" si="358"/>
        <v>1</v>
      </c>
      <c r="J1784">
        <f t="shared" ca="1" si="359"/>
        <v>0</v>
      </c>
      <c r="K1784">
        <f t="shared" ca="1" si="360"/>
        <v>0</v>
      </c>
      <c r="L1784">
        <f t="shared" ca="1" si="361"/>
        <v>0</v>
      </c>
      <c r="M1784">
        <f t="shared" ca="1" si="362"/>
        <v>2</v>
      </c>
      <c r="N1784">
        <f t="shared" ca="1" si="363"/>
        <v>0</v>
      </c>
    </row>
    <row r="1785" spans="1:14" x14ac:dyDescent="0.35">
      <c r="A1785" t="s">
        <v>1802</v>
      </c>
      <c r="B1785" t="str">
        <f t="shared" si="351"/>
        <v>Test</v>
      </c>
      <c r="C1785">
        <f t="shared" ca="1" si="352"/>
        <v>34</v>
      </c>
      <c r="D1785" t="str">
        <f t="shared" ca="1" si="353"/>
        <v>Male</v>
      </c>
      <c r="E1785" t="str">
        <f t="shared" ca="1" si="354"/>
        <v>Tops</v>
      </c>
      <c r="F1785">
        <f t="shared" ca="1" si="355"/>
        <v>6329</v>
      </c>
      <c r="G1785">
        <f t="shared" ca="1" si="356"/>
        <v>20</v>
      </c>
      <c r="H1785">
        <f t="shared" ca="1" si="357"/>
        <v>5063.2000000000007</v>
      </c>
      <c r="I1785">
        <f t="shared" ca="1" si="358"/>
        <v>1</v>
      </c>
      <c r="J1785">
        <f t="shared" ca="1" si="359"/>
        <v>1</v>
      </c>
      <c r="K1785">
        <f t="shared" ca="1" si="360"/>
        <v>1</v>
      </c>
      <c r="L1785">
        <f t="shared" ca="1" si="361"/>
        <v>5063.2000000000007</v>
      </c>
      <c r="M1785">
        <f t="shared" ca="1" si="362"/>
        <v>3</v>
      </c>
      <c r="N1785">
        <f t="shared" ca="1" si="363"/>
        <v>0</v>
      </c>
    </row>
    <row r="1786" spans="1:14" x14ac:dyDescent="0.35">
      <c r="A1786" t="s">
        <v>1803</v>
      </c>
      <c r="B1786" t="str">
        <f t="shared" si="351"/>
        <v>Test</v>
      </c>
      <c r="C1786">
        <f t="shared" ca="1" si="352"/>
        <v>34</v>
      </c>
      <c r="D1786" t="str">
        <f t="shared" ca="1" si="353"/>
        <v>Female</v>
      </c>
      <c r="E1786" t="str">
        <f t="shared" ca="1" si="354"/>
        <v>Sportswear</v>
      </c>
      <c r="F1786">
        <f t="shared" ca="1" si="355"/>
        <v>7931</v>
      </c>
      <c r="G1786">
        <f t="shared" ca="1" si="356"/>
        <v>15</v>
      </c>
      <c r="H1786">
        <f t="shared" ca="1" si="357"/>
        <v>6741.3499999999995</v>
      </c>
      <c r="I1786">
        <f t="shared" ca="1" si="358"/>
        <v>1</v>
      </c>
      <c r="J1786">
        <f t="shared" ca="1" si="359"/>
        <v>0</v>
      </c>
      <c r="K1786">
        <f t="shared" ca="1" si="360"/>
        <v>0</v>
      </c>
      <c r="L1786">
        <f t="shared" ca="1" si="361"/>
        <v>0</v>
      </c>
      <c r="M1786">
        <f t="shared" ca="1" si="362"/>
        <v>1</v>
      </c>
      <c r="N1786">
        <f t="shared" ca="1" si="363"/>
        <v>0</v>
      </c>
    </row>
    <row r="1787" spans="1:14" x14ac:dyDescent="0.35">
      <c r="A1787" t="s">
        <v>1804</v>
      </c>
      <c r="B1787" t="str">
        <f t="shared" si="351"/>
        <v>Test</v>
      </c>
      <c r="C1787">
        <f t="shared" ca="1" si="352"/>
        <v>42</v>
      </c>
      <c r="D1787" t="str">
        <f t="shared" ca="1" si="353"/>
        <v>Female</v>
      </c>
      <c r="E1787" t="str">
        <f t="shared" ca="1" si="354"/>
        <v>Sportswear</v>
      </c>
      <c r="F1787">
        <f t="shared" ca="1" si="355"/>
        <v>3703</v>
      </c>
      <c r="G1787">
        <f t="shared" ca="1" si="356"/>
        <v>25</v>
      </c>
      <c r="H1787">
        <f t="shared" ca="1" si="357"/>
        <v>2777.25</v>
      </c>
      <c r="I1787">
        <f t="shared" ca="1" si="358"/>
        <v>1</v>
      </c>
      <c r="J1787">
        <f t="shared" ca="1" si="359"/>
        <v>0</v>
      </c>
      <c r="K1787">
        <f t="shared" ca="1" si="360"/>
        <v>0</v>
      </c>
      <c r="L1787">
        <f t="shared" ca="1" si="361"/>
        <v>0</v>
      </c>
      <c r="M1787">
        <f t="shared" ca="1" si="362"/>
        <v>1</v>
      </c>
      <c r="N1787">
        <f t="shared" ca="1" si="363"/>
        <v>0</v>
      </c>
    </row>
    <row r="1788" spans="1:14" x14ac:dyDescent="0.35">
      <c r="A1788" t="s">
        <v>1805</v>
      </c>
      <c r="B1788" t="str">
        <f t="shared" si="351"/>
        <v>Test</v>
      </c>
      <c r="C1788">
        <f t="shared" ca="1" si="352"/>
        <v>29</v>
      </c>
      <c r="D1788" t="str">
        <f t="shared" ca="1" si="353"/>
        <v>Female</v>
      </c>
      <c r="E1788" t="str">
        <f t="shared" ca="1" si="354"/>
        <v>Dresses</v>
      </c>
      <c r="F1788">
        <f t="shared" ca="1" si="355"/>
        <v>3126</v>
      </c>
      <c r="G1788">
        <f t="shared" ca="1" si="356"/>
        <v>15</v>
      </c>
      <c r="H1788">
        <f t="shared" ca="1" si="357"/>
        <v>2657.1</v>
      </c>
      <c r="I1788">
        <f t="shared" ca="1" si="358"/>
        <v>1</v>
      </c>
      <c r="J1788">
        <f t="shared" ca="1" si="359"/>
        <v>0</v>
      </c>
      <c r="K1788">
        <f t="shared" ca="1" si="360"/>
        <v>0</v>
      </c>
      <c r="L1788">
        <f t="shared" ca="1" si="361"/>
        <v>0</v>
      </c>
      <c r="M1788">
        <f t="shared" ca="1" si="362"/>
        <v>6</v>
      </c>
      <c r="N1788">
        <f t="shared" ca="1" si="363"/>
        <v>0</v>
      </c>
    </row>
    <row r="1789" spans="1:14" x14ac:dyDescent="0.35">
      <c r="A1789" t="s">
        <v>1806</v>
      </c>
      <c r="B1789" t="str">
        <f t="shared" si="351"/>
        <v>Test</v>
      </c>
      <c r="C1789">
        <f t="shared" ca="1" si="352"/>
        <v>45</v>
      </c>
      <c r="D1789" t="str">
        <f t="shared" ca="1" si="353"/>
        <v>Male</v>
      </c>
      <c r="E1789" t="str">
        <f t="shared" ca="1" si="354"/>
        <v>Ethnic Wear</v>
      </c>
      <c r="F1789">
        <f t="shared" ca="1" si="355"/>
        <v>7176</v>
      </c>
      <c r="G1789">
        <f t="shared" ca="1" si="356"/>
        <v>20</v>
      </c>
      <c r="H1789">
        <f t="shared" ca="1" si="357"/>
        <v>5740.8</v>
      </c>
      <c r="I1789">
        <f t="shared" ca="1" si="358"/>
        <v>1</v>
      </c>
      <c r="J1789">
        <f t="shared" ca="1" si="359"/>
        <v>0</v>
      </c>
      <c r="K1789">
        <f t="shared" ca="1" si="360"/>
        <v>0</v>
      </c>
      <c r="L1789">
        <f t="shared" ca="1" si="361"/>
        <v>0</v>
      </c>
      <c r="M1789">
        <f t="shared" ca="1" si="362"/>
        <v>7</v>
      </c>
      <c r="N1789">
        <f t="shared" ca="1" si="363"/>
        <v>0</v>
      </c>
    </row>
    <row r="1790" spans="1:14" x14ac:dyDescent="0.35">
      <c r="A1790" t="s">
        <v>1807</v>
      </c>
      <c r="B1790" t="str">
        <f t="shared" si="351"/>
        <v>Test</v>
      </c>
      <c r="C1790">
        <f t="shared" ca="1" si="352"/>
        <v>39</v>
      </c>
      <c r="D1790" t="str">
        <f t="shared" ca="1" si="353"/>
        <v>Female</v>
      </c>
      <c r="E1790" t="str">
        <f t="shared" ca="1" si="354"/>
        <v>Jeans</v>
      </c>
      <c r="F1790">
        <f t="shared" ca="1" si="355"/>
        <v>2340</v>
      </c>
      <c r="G1790">
        <f t="shared" ca="1" si="356"/>
        <v>25</v>
      </c>
      <c r="H1790">
        <f t="shared" ca="1" si="357"/>
        <v>1755</v>
      </c>
      <c r="I1790">
        <f t="shared" ca="1" si="358"/>
        <v>1</v>
      </c>
      <c r="J1790">
        <f t="shared" ca="1" si="359"/>
        <v>1</v>
      </c>
      <c r="K1790">
        <f t="shared" ca="1" si="360"/>
        <v>0</v>
      </c>
      <c r="L1790">
        <f t="shared" ca="1" si="361"/>
        <v>0</v>
      </c>
      <c r="M1790">
        <f t="shared" ca="1" si="362"/>
        <v>1</v>
      </c>
      <c r="N1790">
        <f t="shared" ca="1" si="363"/>
        <v>0</v>
      </c>
    </row>
    <row r="1791" spans="1:14" x14ac:dyDescent="0.35">
      <c r="A1791" t="s">
        <v>1808</v>
      </c>
      <c r="B1791" t="str">
        <f t="shared" si="351"/>
        <v>Test</v>
      </c>
      <c r="C1791">
        <f t="shared" ca="1" si="352"/>
        <v>27</v>
      </c>
      <c r="D1791" t="str">
        <f t="shared" ca="1" si="353"/>
        <v>Male</v>
      </c>
      <c r="E1791" t="str">
        <f t="shared" ca="1" si="354"/>
        <v>Shoes</v>
      </c>
      <c r="F1791">
        <f t="shared" ca="1" si="355"/>
        <v>2036</v>
      </c>
      <c r="G1791">
        <f t="shared" ca="1" si="356"/>
        <v>20</v>
      </c>
      <c r="H1791">
        <f t="shared" ca="1" si="357"/>
        <v>1628.8000000000002</v>
      </c>
      <c r="I1791">
        <f t="shared" ca="1" si="358"/>
        <v>1</v>
      </c>
      <c r="J1791">
        <f t="shared" ca="1" si="359"/>
        <v>0</v>
      </c>
      <c r="K1791">
        <f t="shared" ca="1" si="360"/>
        <v>0</v>
      </c>
      <c r="L1791">
        <f t="shared" ca="1" si="361"/>
        <v>0</v>
      </c>
      <c r="M1791">
        <f t="shared" ca="1" si="362"/>
        <v>1</v>
      </c>
      <c r="N1791">
        <f t="shared" ca="1" si="363"/>
        <v>0</v>
      </c>
    </row>
    <row r="1792" spans="1:14" x14ac:dyDescent="0.35">
      <c r="A1792" t="s">
        <v>1809</v>
      </c>
      <c r="B1792" t="str">
        <f t="shared" si="351"/>
        <v>Test</v>
      </c>
      <c r="C1792">
        <f t="shared" ca="1" si="352"/>
        <v>38</v>
      </c>
      <c r="D1792" t="str">
        <f t="shared" ca="1" si="353"/>
        <v>Female</v>
      </c>
      <c r="E1792" t="str">
        <f t="shared" ca="1" si="354"/>
        <v>Ethnic Wear</v>
      </c>
      <c r="F1792">
        <f t="shared" ca="1" si="355"/>
        <v>1847</v>
      </c>
      <c r="G1792">
        <f t="shared" ca="1" si="356"/>
        <v>15</v>
      </c>
      <c r="H1792">
        <f t="shared" ca="1" si="357"/>
        <v>1569.95</v>
      </c>
      <c r="I1792">
        <f t="shared" ca="1" si="358"/>
        <v>1</v>
      </c>
      <c r="J1792">
        <f t="shared" ca="1" si="359"/>
        <v>1</v>
      </c>
      <c r="K1792">
        <f t="shared" ca="1" si="360"/>
        <v>0</v>
      </c>
      <c r="L1792">
        <f t="shared" ca="1" si="361"/>
        <v>0</v>
      </c>
      <c r="M1792">
        <f t="shared" ca="1" si="362"/>
        <v>5</v>
      </c>
      <c r="N1792">
        <f t="shared" ca="1" si="363"/>
        <v>0</v>
      </c>
    </row>
    <row r="1793" spans="1:14" x14ac:dyDescent="0.35">
      <c r="A1793" t="s">
        <v>1810</v>
      </c>
      <c r="B1793" t="str">
        <f t="shared" si="351"/>
        <v>Test</v>
      </c>
      <c r="C1793">
        <f t="shared" ca="1" si="352"/>
        <v>39</v>
      </c>
      <c r="D1793" t="str">
        <f t="shared" ca="1" si="353"/>
        <v>Male</v>
      </c>
      <c r="E1793" t="str">
        <f t="shared" ca="1" si="354"/>
        <v>Tops</v>
      </c>
      <c r="F1793">
        <f t="shared" ca="1" si="355"/>
        <v>1012</v>
      </c>
      <c r="G1793">
        <f t="shared" ca="1" si="356"/>
        <v>25</v>
      </c>
      <c r="H1793">
        <f t="shared" ca="1" si="357"/>
        <v>759</v>
      </c>
      <c r="I1793">
        <f t="shared" ca="1" si="358"/>
        <v>1</v>
      </c>
      <c r="J1793">
        <f t="shared" ca="1" si="359"/>
        <v>1</v>
      </c>
      <c r="K1793">
        <f t="shared" ca="1" si="360"/>
        <v>0</v>
      </c>
      <c r="L1793">
        <f t="shared" ca="1" si="361"/>
        <v>0</v>
      </c>
      <c r="M1793">
        <f t="shared" ca="1" si="362"/>
        <v>1</v>
      </c>
      <c r="N1793">
        <f t="shared" ca="1" si="363"/>
        <v>0</v>
      </c>
    </row>
    <row r="1794" spans="1:14" x14ac:dyDescent="0.35">
      <c r="A1794" t="s">
        <v>1811</v>
      </c>
      <c r="B1794" t="str">
        <f t="shared" si="351"/>
        <v>Test</v>
      </c>
      <c r="C1794">
        <f t="shared" ca="1" si="352"/>
        <v>18</v>
      </c>
      <c r="D1794" t="str">
        <f t="shared" ca="1" si="353"/>
        <v>Female</v>
      </c>
      <c r="E1794" t="str">
        <f t="shared" ca="1" si="354"/>
        <v>Sportswear</v>
      </c>
      <c r="F1794">
        <f t="shared" ca="1" si="355"/>
        <v>2125</v>
      </c>
      <c r="G1794">
        <f t="shared" ca="1" si="356"/>
        <v>15</v>
      </c>
      <c r="H1794">
        <f t="shared" ca="1" si="357"/>
        <v>1806.25</v>
      </c>
      <c r="I1794">
        <f t="shared" ca="1" si="358"/>
        <v>1</v>
      </c>
      <c r="J1794">
        <f t="shared" ca="1" si="359"/>
        <v>0</v>
      </c>
      <c r="K1794">
        <f t="shared" ca="1" si="360"/>
        <v>0</v>
      </c>
      <c r="L1794">
        <f t="shared" ca="1" si="361"/>
        <v>0</v>
      </c>
      <c r="M1794">
        <f t="shared" ca="1" si="362"/>
        <v>4</v>
      </c>
      <c r="N1794">
        <f t="shared" ca="1" si="363"/>
        <v>0</v>
      </c>
    </row>
    <row r="1795" spans="1:14" x14ac:dyDescent="0.35">
      <c r="A1795" t="s">
        <v>1812</v>
      </c>
      <c r="B1795" t="str">
        <f t="shared" si="351"/>
        <v>Test</v>
      </c>
      <c r="C1795">
        <f t="shared" ca="1" si="352"/>
        <v>32</v>
      </c>
      <c r="D1795" t="str">
        <f t="shared" ca="1" si="353"/>
        <v>Female</v>
      </c>
      <c r="E1795" t="str">
        <f t="shared" ca="1" si="354"/>
        <v>Ethnic Wear</v>
      </c>
      <c r="F1795">
        <f t="shared" ca="1" si="355"/>
        <v>1142</v>
      </c>
      <c r="G1795">
        <f t="shared" ca="1" si="356"/>
        <v>25</v>
      </c>
      <c r="H1795">
        <f t="shared" ca="1" si="357"/>
        <v>856.5</v>
      </c>
      <c r="I1795">
        <f t="shared" ca="1" si="358"/>
        <v>1</v>
      </c>
      <c r="J1795">
        <f t="shared" ca="1" si="359"/>
        <v>1</v>
      </c>
      <c r="K1795">
        <f t="shared" ca="1" si="360"/>
        <v>1</v>
      </c>
      <c r="L1795">
        <f t="shared" ca="1" si="361"/>
        <v>856.5</v>
      </c>
      <c r="M1795">
        <f t="shared" ca="1" si="362"/>
        <v>3</v>
      </c>
      <c r="N1795">
        <f t="shared" ca="1" si="363"/>
        <v>0</v>
      </c>
    </row>
    <row r="1796" spans="1:14" x14ac:dyDescent="0.35">
      <c r="A1796" t="s">
        <v>1813</v>
      </c>
      <c r="B1796" t="str">
        <f t="shared" si="351"/>
        <v>Test</v>
      </c>
      <c r="C1796">
        <f t="shared" ca="1" si="352"/>
        <v>31</v>
      </c>
      <c r="D1796" t="str">
        <f t="shared" ca="1" si="353"/>
        <v>Female</v>
      </c>
      <c r="E1796" t="str">
        <f t="shared" ca="1" si="354"/>
        <v>T-shirts</v>
      </c>
      <c r="F1796">
        <f t="shared" ca="1" si="355"/>
        <v>2355</v>
      </c>
      <c r="G1796">
        <f t="shared" ca="1" si="356"/>
        <v>20</v>
      </c>
      <c r="H1796">
        <f t="shared" ca="1" si="357"/>
        <v>1884</v>
      </c>
      <c r="I1796">
        <f t="shared" ca="1" si="358"/>
        <v>1</v>
      </c>
      <c r="J1796">
        <f t="shared" ca="1" si="359"/>
        <v>1</v>
      </c>
      <c r="K1796">
        <f t="shared" ca="1" si="360"/>
        <v>0</v>
      </c>
      <c r="L1796">
        <f t="shared" ca="1" si="361"/>
        <v>0</v>
      </c>
      <c r="M1796">
        <f t="shared" ca="1" si="362"/>
        <v>7</v>
      </c>
      <c r="N1796">
        <f t="shared" ca="1" si="363"/>
        <v>0</v>
      </c>
    </row>
    <row r="1797" spans="1:14" x14ac:dyDescent="0.35">
      <c r="A1797" t="s">
        <v>1814</v>
      </c>
      <c r="B1797" t="str">
        <f t="shared" ref="B1797:B1860" si="364">IF(ROW()&lt;=1001,"Control","Test")</f>
        <v>Test</v>
      </c>
      <c r="C1797">
        <f t="shared" ref="C1797:C1860" ca="1" si="365">RANDBETWEEN(18,45)</f>
        <v>44</v>
      </c>
      <c r="D1797" t="str">
        <f t="shared" ref="D1797:D1860" ca="1" si="366">CHOOSE(RANDBETWEEN(1,20),"Female","Female","Female","Female","Female","Female","Female","Female","Female","Female","Male","Male","Male","Male","Male","Male","Male","Male","Other","Other")</f>
        <v>Male</v>
      </c>
      <c r="E1797" t="str">
        <f t="shared" ref="E1797:E1860" ca="1" si="367">CHOOSE(RANDBETWEEN(1,8),"T-shirts","Dresses","Jeans","Shoes","Ethnic Wear","Tops","Sportswear","Accessories")</f>
        <v>Shoes</v>
      </c>
      <c r="F1797">
        <f t="shared" ref="F1797:F1860" ca="1" si="368">RANDBETWEEN(300,8000)</f>
        <v>2545</v>
      </c>
      <c r="G1797">
        <f t="shared" ref="G1797:G1860" ca="1" si="369">IF(B1797="Control",10,CHOOSE(RANDBETWEEN(1,3),15,20,25))</f>
        <v>15</v>
      </c>
      <c r="H1797">
        <f t="shared" ref="H1797:H1860" ca="1" si="370">F1797*(1-G1797/100)</f>
        <v>2163.25</v>
      </c>
      <c r="I1797">
        <f t="shared" ref="I1797:I1860" ca="1" si="371">IF(RAND()&lt;0.85,1,0)</f>
        <v>1</v>
      </c>
      <c r="J1797">
        <f t="shared" ref="J1797:J1860" ca="1" si="372">IF(I1797=1,IF(RAND()&lt;0.55,1,0),0)</f>
        <v>1</v>
      </c>
      <c r="K1797">
        <f t="shared" ref="K1797:K1860" ca="1" si="373">IF(J1797=1,IF(B1797="Test",IF(RAND()&lt;0.4,1,0),IF(RAND()&lt;0.34,1,0)),0)</f>
        <v>1</v>
      </c>
      <c r="L1797">
        <f t="shared" ref="L1797:L1860" ca="1" si="374">IF(K1797=1,H1797,0)</f>
        <v>2163.25</v>
      </c>
      <c r="M1797">
        <f t="shared" ref="M1797:M1860" ca="1" si="375">RANDBETWEEN(1,7)</f>
        <v>7</v>
      </c>
      <c r="N1797">
        <f t="shared" ref="N1797:N1860" ca="1" si="376">IF(K1797=1,IF(RAND()&lt;0.15,1,0),0)</f>
        <v>0</v>
      </c>
    </row>
    <row r="1798" spans="1:14" x14ac:dyDescent="0.35">
      <c r="A1798" t="s">
        <v>1815</v>
      </c>
      <c r="B1798" t="str">
        <f t="shared" si="364"/>
        <v>Test</v>
      </c>
      <c r="C1798">
        <f t="shared" ca="1" si="365"/>
        <v>20</v>
      </c>
      <c r="D1798" t="str">
        <f t="shared" ca="1" si="366"/>
        <v>Female</v>
      </c>
      <c r="E1798" t="str">
        <f t="shared" ca="1" si="367"/>
        <v>T-shirts</v>
      </c>
      <c r="F1798">
        <f t="shared" ca="1" si="368"/>
        <v>6330</v>
      </c>
      <c r="G1798">
        <f t="shared" ca="1" si="369"/>
        <v>15</v>
      </c>
      <c r="H1798">
        <f t="shared" ca="1" si="370"/>
        <v>5380.5</v>
      </c>
      <c r="I1798">
        <f t="shared" ca="1" si="371"/>
        <v>1</v>
      </c>
      <c r="J1798">
        <f t="shared" ca="1" si="372"/>
        <v>1</v>
      </c>
      <c r="K1798">
        <f t="shared" ca="1" si="373"/>
        <v>1</v>
      </c>
      <c r="L1798">
        <f t="shared" ca="1" si="374"/>
        <v>5380.5</v>
      </c>
      <c r="M1798">
        <f t="shared" ca="1" si="375"/>
        <v>6</v>
      </c>
      <c r="N1798">
        <f t="shared" ca="1" si="376"/>
        <v>0</v>
      </c>
    </row>
    <row r="1799" spans="1:14" x14ac:dyDescent="0.35">
      <c r="A1799" t="s">
        <v>1816</v>
      </c>
      <c r="B1799" t="str">
        <f t="shared" si="364"/>
        <v>Test</v>
      </c>
      <c r="C1799">
        <f t="shared" ca="1" si="365"/>
        <v>40</v>
      </c>
      <c r="D1799" t="str">
        <f t="shared" ca="1" si="366"/>
        <v>Female</v>
      </c>
      <c r="E1799" t="str">
        <f t="shared" ca="1" si="367"/>
        <v>Accessories</v>
      </c>
      <c r="F1799">
        <f t="shared" ca="1" si="368"/>
        <v>5700</v>
      </c>
      <c r="G1799">
        <f t="shared" ca="1" si="369"/>
        <v>25</v>
      </c>
      <c r="H1799">
        <f t="shared" ca="1" si="370"/>
        <v>4275</v>
      </c>
      <c r="I1799">
        <f t="shared" ca="1" si="371"/>
        <v>0</v>
      </c>
      <c r="J1799">
        <f t="shared" ca="1" si="372"/>
        <v>0</v>
      </c>
      <c r="K1799">
        <f t="shared" ca="1" si="373"/>
        <v>0</v>
      </c>
      <c r="L1799">
        <f t="shared" ca="1" si="374"/>
        <v>0</v>
      </c>
      <c r="M1799">
        <f t="shared" ca="1" si="375"/>
        <v>2</v>
      </c>
      <c r="N1799">
        <f t="shared" ca="1" si="376"/>
        <v>0</v>
      </c>
    </row>
    <row r="1800" spans="1:14" x14ac:dyDescent="0.35">
      <c r="A1800" t="s">
        <v>1817</v>
      </c>
      <c r="B1800" t="str">
        <f t="shared" si="364"/>
        <v>Test</v>
      </c>
      <c r="C1800">
        <f t="shared" ca="1" si="365"/>
        <v>35</v>
      </c>
      <c r="D1800" t="str">
        <f t="shared" ca="1" si="366"/>
        <v>Male</v>
      </c>
      <c r="E1800" t="str">
        <f t="shared" ca="1" si="367"/>
        <v>Jeans</v>
      </c>
      <c r="F1800">
        <f t="shared" ca="1" si="368"/>
        <v>5798</v>
      </c>
      <c r="G1800">
        <f t="shared" ca="1" si="369"/>
        <v>25</v>
      </c>
      <c r="H1800">
        <f t="shared" ca="1" si="370"/>
        <v>4348.5</v>
      </c>
      <c r="I1800">
        <f t="shared" ca="1" si="371"/>
        <v>0</v>
      </c>
      <c r="J1800">
        <f t="shared" ca="1" si="372"/>
        <v>0</v>
      </c>
      <c r="K1800">
        <f t="shared" ca="1" si="373"/>
        <v>0</v>
      </c>
      <c r="L1800">
        <f t="shared" ca="1" si="374"/>
        <v>0</v>
      </c>
      <c r="M1800">
        <f t="shared" ca="1" si="375"/>
        <v>7</v>
      </c>
      <c r="N1800">
        <f t="shared" ca="1" si="376"/>
        <v>0</v>
      </c>
    </row>
    <row r="1801" spans="1:14" x14ac:dyDescent="0.35">
      <c r="A1801" t="s">
        <v>1818</v>
      </c>
      <c r="B1801" t="str">
        <f t="shared" si="364"/>
        <v>Test</v>
      </c>
      <c r="C1801">
        <f t="shared" ca="1" si="365"/>
        <v>38</v>
      </c>
      <c r="D1801" t="str">
        <f t="shared" ca="1" si="366"/>
        <v>Male</v>
      </c>
      <c r="E1801" t="str">
        <f t="shared" ca="1" si="367"/>
        <v>Dresses</v>
      </c>
      <c r="F1801">
        <f t="shared" ca="1" si="368"/>
        <v>703</v>
      </c>
      <c r="G1801">
        <f t="shared" ca="1" si="369"/>
        <v>25</v>
      </c>
      <c r="H1801">
        <f t="shared" ca="1" si="370"/>
        <v>527.25</v>
      </c>
      <c r="I1801">
        <f t="shared" ca="1" si="371"/>
        <v>1</v>
      </c>
      <c r="J1801">
        <f t="shared" ca="1" si="372"/>
        <v>0</v>
      </c>
      <c r="K1801">
        <f t="shared" ca="1" si="373"/>
        <v>0</v>
      </c>
      <c r="L1801">
        <f t="shared" ca="1" si="374"/>
        <v>0</v>
      </c>
      <c r="M1801">
        <f t="shared" ca="1" si="375"/>
        <v>5</v>
      </c>
      <c r="N1801">
        <f t="shared" ca="1" si="376"/>
        <v>0</v>
      </c>
    </row>
    <row r="1802" spans="1:14" x14ac:dyDescent="0.35">
      <c r="A1802" t="s">
        <v>1819</v>
      </c>
      <c r="B1802" t="str">
        <f t="shared" si="364"/>
        <v>Test</v>
      </c>
      <c r="C1802">
        <f t="shared" ca="1" si="365"/>
        <v>42</v>
      </c>
      <c r="D1802" t="str">
        <f t="shared" ca="1" si="366"/>
        <v>Male</v>
      </c>
      <c r="E1802" t="str">
        <f t="shared" ca="1" si="367"/>
        <v>Tops</v>
      </c>
      <c r="F1802">
        <f t="shared" ca="1" si="368"/>
        <v>4489</v>
      </c>
      <c r="G1802">
        <f t="shared" ca="1" si="369"/>
        <v>25</v>
      </c>
      <c r="H1802">
        <f t="shared" ca="1" si="370"/>
        <v>3366.75</v>
      </c>
      <c r="I1802">
        <f t="shared" ca="1" si="371"/>
        <v>1</v>
      </c>
      <c r="J1802">
        <f t="shared" ca="1" si="372"/>
        <v>1</v>
      </c>
      <c r="K1802">
        <f t="shared" ca="1" si="373"/>
        <v>0</v>
      </c>
      <c r="L1802">
        <f t="shared" ca="1" si="374"/>
        <v>0</v>
      </c>
      <c r="M1802">
        <f t="shared" ca="1" si="375"/>
        <v>2</v>
      </c>
      <c r="N1802">
        <f t="shared" ca="1" si="376"/>
        <v>0</v>
      </c>
    </row>
    <row r="1803" spans="1:14" x14ac:dyDescent="0.35">
      <c r="A1803" t="s">
        <v>1820</v>
      </c>
      <c r="B1803" t="str">
        <f t="shared" si="364"/>
        <v>Test</v>
      </c>
      <c r="C1803">
        <f t="shared" ca="1" si="365"/>
        <v>38</v>
      </c>
      <c r="D1803" t="str">
        <f t="shared" ca="1" si="366"/>
        <v>Female</v>
      </c>
      <c r="E1803" t="str">
        <f t="shared" ca="1" si="367"/>
        <v>Shoes</v>
      </c>
      <c r="F1803">
        <f t="shared" ca="1" si="368"/>
        <v>2724</v>
      </c>
      <c r="G1803">
        <f t="shared" ca="1" si="369"/>
        <v>15</v>
      </c>
      <c r="H1803">
        <f t="shared" ca="1" si="370"/>
        <v>2315.4</v>
      </c>
      <c r="I1803">
        <f t="shared" ca="1" si="371"/>
        <v>1</v>
      </c>
      <c r="J1803">
        <f t="shared" ca="1" si="372"/>
        <v>1</v>
      </c>
      <c r="K1803">
        <f t="shared" ca="1" si="373"/>
        <v>0</v>
      </c>
      <c r="L1803">
        <f t="shared" ca="1" si="374"/>
        <v>0</v>
      </c>
      <c r="M1803">
        <f t="shared" ca="1" si="375"/>
        <v>6</v>
      </c>
      <c r="N1803">
        <f t="shared" ca="1" si="376"/>
        <v>0</v>
      </c>
    </row>
    <row r="1804" spans="1:14" x14ac:dyDescent="0.35">
      <c r="A1804" t="s">
        <v>1821</v>
      </c>
      <c r="B1804" t="str">
        <f t="shared" si="364"/>
        <v>Test</v>
      </c>
      <c r="C1804">
        <f t="shared" ca="1" si="365"/>
        <v>39</v>
      </c>
      <c r="D1804" t="str">
        <f t="shared" ca="1" si="366"/>
        <v>Other</v>
      </c>
      <c r="E1804" t="str">
        <f t="shared" ca="1" si="367"/>
        <v>Sportswear</v>
      </c>
      <c r="F1804">
        <f t="shared" ca="1" si="368"/>
        <v>4420</v>
      </c>
      <c r="G1804">
        <f t="shared" ca="1" si="369"/>
        <v>20</v>
      </c>
      <c r="H1804">
        <f t="shared" ca="1" si="370"/>
        <v>3536</v>
      </c>
      <c r="I1804">
        <f t="shared" ca="1" si="371"/>
        <v>0</v>
      </c>
      <c r="J1804">
        <f t="shared" ca="1" si="372"/>
        <v>0</v>
      </c>
      <c r="K1804">
        <f t="shared" ca="1" si="373"/>
        <v>0</v>
      </c>
      <c r="L1804">
        <f t="shared" ca="1" si="374"/>
        <v>0</v>
      </c>
      <c r="M1804">
        <f t="shared" ca="1" si="375"/>
        <v>2</v>
      </c>
      <c r="N1804">
        <f t="shared" ca="1" si="376"/>
        <v>0</v>
      </c>
    </row>
    <row r="1805" spans="1:14" x14ac:dyDescent="0.35">
      <c r="A1805" t="s">
        <v>1822</v>
      </c>
      <c r="B1805" t="str">
        <f t="shared" si="364"/>
        <v>Test</v>
      </c>
      <c r="C1805">
        <f t="shared" ca="1" si="365"/>
        <v>40</v>
      </c>
      <c r="D1805" t="str">
        <f t="shared" ca="1" si="366"/>
        <v>Male</v>
      </c>
      <c r="E1805" t="str">
        <f t="shared" ca="1" si="367"/>
        <v>Tops</v>
      </c>
      <c r="F1805">
        <f t="shared" ca="1" si="368"/>
        <v>5577</v>
      </c>
      <c r="G1805">
        <f t="shared" ca="1" si="369"/>
        <v>25</v>
      </c>
      <c r="H1805">
        <f t="shared" ca="1" si="370"/>
        <v>4182.75</v>
      </c>
      <c r="I1805">
        <f t="shared" ca="1" si="371"/>
        <v>1</v>
      </c>
      <c r="J1805">
        <f t="shared" ca="1" si="372"/>
        <v>1</v>
      </c>
      <c r="K1805">
        <f t="shared" ca="1" si="373"/>
        <v>0</v>
      </c>
      <c r="L1805">
        <f t="shared" ca="1" si="374"/>
        <v>0</v>
      </c>
      <c r="M1805">
        <f t="shared" ca="1" si="375"/>
        <v>6</v>
      </c>
      <c r="N1805">
        <f t="shared" ca="1" si="376"/>
        <v>0</v>
      </c>
    </row>
    <row r="1806" spans="1:14" x14ac:dyDescent="0.35">
      <c r="A1806" t="s">
        <v>1823</v>
      </c>
      <c r="B1806" t="str">
        <f t="shared" si="364"/>
        <v>Test</v>
      </c>
      <c r="C1806">
        <f t="shared" ca="1" si="365"/>
        <v>34</v>
      </c>
      <c r="D1806" t="str">
        <f t="shared" ca="1" si="366"/>
        <v>Female</v>
      </c>
      <c r="E1806" t="str">
        <f t="shared" ca="1" si="367"/>
        <v>Tops</v>
      </c>
      <c r="F1806">
        <f t="shared" ca="1" si="368"/>
        <v>7512</v>
      </c>
      <c r="G1806">
        <f t="shared" ca="1" si="369"/>
        <v>25</v>
      </c>
      <c r="H1806">
        <f t="shared" ca="1" si="370"/>
        <v>5634</v>
      </c>
      <c r="I1806">
        <f t="shared" ca="1" si="371"/>
        <v>1</v>
      </c>
      <c r="J1806">
        <f t="shared" ca="1" si="372"/>
        <v>1</v>
      </c>
      <c r="K1806">
        <f t="shared" ca="1" si="373"/>
        <v>1</v>
      </c>
      <c r="L1806">
        <f t="shared" ca="1" si="374"/>
        <v>5634</v>
      </c>
      <c r="M1806">
        <f t="shared" ca="1" si="375"/>
        <v>1</v>
      </c>
      <c r="N1806">
        <f t="shared" ca="1" si="376"/>
        <v>0</v>
      </c>
    </row>
    <row r="1807" spans="1:14" x14ac:dyDescent="0.35">
      <c r="A1807" t="s">
        <v>1824</v>
      </c>
      <c r="B1807" t="str">
        <f t="shared" si="364"/>
        <v>Test</v>
      </c>
      <c r="C1807">
        <f t="shared" ca="1" si="365"/>
        <v>31</v>
      </c>
      <c r="D1807" t="str">
        <f t="shared" ca="1" si="366"/>
        <v>Male</v>
      </c>
      <c r="E1807" t="str">
        <f t="shared" ca="1" si="367"/>
        <v>Accessories</v>
      </c>
      <c r="F1807">
        <f t="shared" ca="1" si="368"/>
        <v>5445</v>
      </c>
      <c r="G1807">
        <f t="shared" ca="1" si="369"/>
        <v>20</v>
      </c>
      <c r="H1807">
        <f t="shared" ca="1" si="370"/>
        <v>4356</v>
      </c>
      <c r="I1807">
        <f t="shared" ca="1" si="371"/>
        <v>0</v>
      </c>
      <c r="J1807">
        <f t="shared" ca="1" si="372"/>
        <v>0</v>
      </c>
      <c r="K1807">
        <f t="shared" ca="1" si="373"/>
        <v>0</v>
      </c>
      <c r="L1807">
        <f t="shared" ca="1" si="374"/>
        <v>0</v>
      </c>
      <c r="M1807">
        <f t="shared" ca="1" si="375"/>
        <v>7</v>
      </c>
      <c r="N1807">
        <f t="shared" ca="1" si="376"/>
        <v>0</v>
      </c>
    </row>
    <row r="1808" spans="1:14" x14ac:dyDescent="0.35">
      <c r="A1808" t="s">
        <v>1825</v>
      </c>
      <c r="B1808" t="str">
        <f t="shared" si="364"/>
        <v>Test</v>
      </c>
      <c r="C1808">
        <f t="shared" ca="1" si="365"/>
        <v>44</v>
      </c>
      <c r="D1808" t="str">
        <f t="shared" ca="1" si="366"/>
        <v>Male</v>
      </c>
      <c r="E1808" t="str">
        <f t="shared" ca="1" si="367"/>
        <v>Tops</v>
      </c>
      <c r="F1808">
        <f t="shared" ca="1" si="368"/>
        <v>6088</v>
      </c>
      <c r="G1808">
        <f t="shared" ca="1" si="369"/>
        <v>20</v>
      </c>
      <c r="H1808">
        <f t="shared" ca="1" si="370"/>
        <v>4870.4000000000005</v>
      </c>
      <c r="I1808">
        <f t="shared" ca="1" si="371"/>
        <v>1</v>
      </c>
      <c r="J1808">
        <f t="shared" ca="1" si="372"/>
        <v>1</v>
      </c>
      <c r="K1808">
        <f t="shared" ca="1" si="373"/>
        <v>0</v>
      </c>
      <c r="L1808">
        <f t="shared" ca="1" si="374"/>
        <v>0</v>
      </c>
      <c r="M1808">
        <f t="shared" ca="1" si="375"/>
        <v>7</v>
      </c>
      <c r="N1808">
        <f t="shared" ca="1" si="376"/>
        <v>0</v>
      </c>
    </row>
    <row r="1809" spans="1:14" x14ac:dyDescent="0.35">
      <c r="A1809" t="s">
        <v>1826</v>
      </c>
      <c r="B1809" t="str">
        <f t="shared" si="364"/>
        <v>Test</v>
      </c>
      <c r="C1809">
        <f t="shared" ca="1" si="365"/>
        <v>40</v>
      </c>
      <c r="D1809" t="str">
        <f t="shared" ca="1" si="366"/>
        <v>Female</v>
      </c>
      <c r="E1809" t="str">
        <f t="shared" ca="1" si="367"/>
        <v>Ethnic Wear</v>
      </c>
      <c r="F1809">
        <f t="shared" ca="1" si="368"/>
        <v>4820</v>
      </c>
      <c r="G1809">
        <f t="shared" ca="1" si="369"/>
        <v>25</v>
      </c>
      <c r="H1809">
        <f t="shared" ca="1" si="370"/>
        <v>3615</v>
      </c>
      <c r="I1809">
        <f t="shared" ca="1" si="371"/>
        <v>1</v>
      </c>
      <c r="J1809">
        <f t="shared" ca="1" si="372"/>
        <v>0</v>
      </c>
      <c r="K1809">
        <f t="shared" ca="1" si="373"/>
        <v>0</v>
      </c>
      <c r="L1809">
        <f t="shared" ca="1" si="374"/>
        <v>0</v>
      </c>
      <c r="M1809">
        <f t="shared" ca="1" si="375"/>
        <v>3</v>
      </c>
      <c r="N1809">
        <f t="shared" ca="1" si="376"/>
        <v>0</v>
      </c>
    </row>
    <row r="1810" spans="1:14" x14ac:dyDescent="0.35">
      <c r="A1810" t="s">
        <v>1827</v>
      </c>
      <c r="B1810" t="str">
        <f t="shared" si="364"/>
        <v>Test</v>
      </c>
      <c r="C1810">
        <f t="shared" ca="1" si="365"/>
        <v>32</v>
      </c>
      <c r="D1810" t="str">
        <f t="shared" ca="1" si="366"/>
        <v>Other</v>
      </c>
      <c r="E1810" t="str">
        <f t="shared" ca="1" si="367"/>
        <v>Accessories</v>
      </c>
      <c r="F1810">
        <f t="shared" ca="1" si="368"/>
        <v>3623</v>
      </c>
      <c r="G1810">
        <f t="shared" ca="1" si="369"/>
        <v>20</v>
      </c>
      <c r="H1810">
        <f t="shared" ca="1" si="370"/>
        <v>2898.4</v>
      </c>
      <c r="I1810">
        <f t="shared" ca="1" si="371"/>
        <v>1</v>
      </c>
      <c r="J1810">
        <f t="shared" ca="1" si="372"/>
        <v>1</v>
      </c>
      <c r="K1810">
        <f t="shared" ca="1" si="373"/>
        <v>0</v>
      </c>
      <c r="L1810">
        <f t="shared" ca="1" si="374"/>
        <v>0</v>
      </c>
      <c r="M1810">
        <f t="shared" ca="1" si="375"/>
        <v>3</v>
      </c>
      <c r="N1810">
        <f t="shared" ca="1" si="376"/>
        <v>0</v>
      </c>
    </row>
    <row r="1811" spans="1:14" x14ac:dyDescent="0.35">
      <c r="A1811" t="s">
        <v>1828</v>
      </c>
      <c r="B1811" t="str">
        <f t="shared" si="364"/>
        <v>Test</v>
      </c>
      <c r="C1811">
        <f t="shared" ca="1" si="365"/>
        <v>24</v>
      </c>
      <c r="D1811" t="str">
        <f t="shared" ca="1" si="366"/>
        <v>Female</v>
      </c>
      <c r="E1811" t="str">
        <f t="shared" ca="1" si="367"/>
        <v>T-shirts</v>
      </c>
      <c r="F1811">
        <f t="shared" ca="1" si="368"/>
        <v>3793</v>
      </c>
      <c r="G1811">
        <f t="shared" ca="1" si="369"/>
        <v>15</v>
      </c>
      <c r="H1811">
        <f t="shared" ca="1" si="370"/>
        <v>3224.0499999999997</v>
      </c>
      <c r="I1811">
        <f t="shared" ca="1" si="371"/>
        <v>1</v>
      </c>
      <c r="J1811">
        <f t="shared" ca="1" si="372"/>
        <v>0</v>
      </c>
      <c r="K1811">
        <f t="shared" ca="1" si="373"/>
        <v>0</v>
      </c>
      <c r="L1811">
        <f t="shared" ca="1" si="374"/>
        <v>0</v>
      </c>
      <c r="M1811">
        <f t="shared" ca="1" si="375"/>
        <v>7</v>
      </c>
      <c r="N1811">
        <f t="shared" ca="1" si="376"/>
        <v>0</v>
      </c>
    </row>
    <row r="1812" spans="1:14" x14ac:dyDescent="0.35">
      <c r="A1812" t="s">
        <v>1829</v>
      </c>
      <c r="B1812" t="str">
        <f t="shared" si="364"/>
        <v>Test</v>
      </c>
      <c r="C1812">
        <f t="shared" ca="1" si="365"/>
        <v>33</v>
      </c>
      <c r="D1812" t="str">
        <f t="shared" ca="1" si="366"/>
        <v>Female</v>
      </c>
      <c r="E1812" t="str">
        <f t="shared" ca="1" si="367"/>
        <v>Ethnic Wear</v>
      </c>
      <c r="F1812">
        <f t="shared" ca="1" si="368"/>
        <v>4174</v>
      </c>
      <c r="G1812">
        <f t="shared" ca="1" si="369"/>
        <v>15</v>
      </c>
      <c r="H1812">
        <f t="shared" ca="1" si="370"/>
        <v>3547.9</v>
      </c>
      <c r="I1812">
        <f t="shared" ca="1" si="371"/>
        <v>1</v>
      </c>
      <c r="J1812">
        <f t="shared" ca="1" si="372"/>
        <v>1</v>
      </c>
      <c r="K1812">
        <f t="shared" ca="1" si="373"/>
        <v>1</v>
      </c>
      <c r="L1812">
        <f t="shared" ca="1" si="374"/>
        <v>3547.9</v>
      </c>
      <c r="M1812">
        <f t="shared" ca="1" si="375"/>
        <v>6</v>
      </c>
      <c r="N1812">
        <f t="shared" ca="1" si="376"/>
        <v>0</v>
      </c>
    </row>
    <row r="1813" spans="1:14" x14ac:dyDescent="0.35">
      <c r="A1813" t="s">
        <v>1830</v>
      </c>
      <c r="B1813" t="str">
        <f t="shared" si="364"/>
        <v>Test</v>
      </c>
      <c r="C1813">
        <f t="shared" ca="1" si="365"/>
        <v>23</v>
      </c>
      <c r="D1813" t="str">
        <f t="shared" ca="1" si="366"/>
        <v>Male</v>
      </c>
      <c r="E1813" t="str">
        <f t="shared" ca="1" si="367"/>
        <v>Jeans</v>
      </c>
      <c r="F1813">
        <f t="shared" ca="1" si="368"/>
        <v>4548</v>
      </c>
      <c r="G1813">
        <f t="shared" ca="1" si="369"/>
        <v>20</v>
      </c>
      <c r="H1813">
        <f t="shared" ca="1" si="370"/>
        <v>3638.4</v>
      </c>
      <c r="I1813">
        <f t="shared" ca="1" si="371"/>
        <v>1</v>
      </c>
      <c r="J1813">
        <f t="shared" ca="1" si="372"/>
        <v>0</v>
      </c>
      <c r="K1813">
        <f t="shared" ca="1" si="373"/>
        <v>0</v>
      </c>
      <c r="L1813">
        <f t="shared" ca="1" si="374"/>
        <v>0</v>
      </c>
      <c r="M1813">
        <f t="shared" ca="1" si="375"/>
        <v>1</v>
      </c>
      <c r="N1813">
        <f t="shared" ca="1" si="376"/>
        <v>0</v>
      </c>
    </row>
    <row r="1814" spans="1:14" x14ac:dyDescent="0.35">
      <c r="A1814" t="s">
        <v>1831</v>
      </c>
      <c r="B1814" t="str">
        <f t="shared" si="364"/>
        <v>Test</v>
      </c>
      <c r="C1814">
        <f t="shared" ca="1" si="365"/>
        <v>26</v>
      </c>
      <c r="D1814" t="str">
        <f t="shared" ca="1" si="366"/>
        <v>Female</v>
      </c>
      <c r="E1814" t="str">
        <f t="shared" ca="1" si="367"/>
        <v>T-shirts</v>
      </c>
      <c r="F1814">
        <f t="shared" ca="1" si="368"/>
        <v>313</v>
      </c>
      <c r="G1814">
        <f t="shared" ca="1" si="369"/>
        <v>15</v>
      </c>
      <c r="H1814">
        <f t="shared" ca="1" si="370"/>
        <v>266.05</v>
      </c>
      <c r="I1814">
        <f t="shared" ca="1" si="371"/>
        <v>1</v>
      </c>
      <c r="J1814">
        <f t="shared" ca="1" si="372"/>
        <v>1</v>
      </c>
      <c r="K1814">
        <f t="shared" ca="1" si="373"/>
        <v>0</v>
      </c>
      <c r="L1814">
        <f t="shared" ca="1" si="374"/>
        <v>0</v>
      </c>
      <c r="M1814">
        <f t="shared" ca="1" si="375"/>
        <v>2</v>
      </c>
      <c r="N1814">
        <f t="shared" ca="1" si="376"/>
        <v>0</v>
      </c>
    </row>
    <row r="1815" spans="1:14" x14ac:dyDescent="0.35">
      <c r="A1815" t="s">
        <v>1832</v>
      </c>
      <c r="B1815" t="str">
        <f t="shared" si="364"/>
        <v>Test</v>
      </c>
      <c r="C1815">
        <f t="shared" ca="1" si="365"/>
        <v>34</v>
      </c>
      <c r="D1815" t="str">
        <f t="shared" ca="1" si="366"/>
        <v>Male</v>
      </c>
      <c r="E1815" t="str">
        <f t="shared" ca="1" si="367"/>
        <v>Shoes</v>
      </c>
      <c r="F1815">
        <f t="shared" ca="1" si="368"/>
        <v>6837</v>
      </c>
      <c r="G1815">
        <f t="shared" ca="1" si="369"/>
        <v>25</v>
      </c>
      <c r="H1815">
        <f t="shared" ca="1" si="370"/>
        <v>5127.75</v>
      </c>
      <c r="I1815">
        <f t="shared" ca="1" si="371"/>
        <v>0</v>
      </c>
      <c r="J1815">
        <f t="shared" ca="1" si="372"/>
        <v>0</v>
      </c>
      <c r="K1815">
        <f t="shared" ca="1" si="373"/>
        <v>0</v>
      </c>
      <c r="L1815">
        <f t="shared" ca="1" si="374"/>
        <v>0</v>
      </c>
      <c r="M1815">
        <f t="shared" ca="1" si="375"/>
        <v>6</v>
      </c>
      <c r="N1815">
        <f t="shared" ca="1" si="376"/>
        <v>0</v>
      </c>
    </row>
    <row r="1816" spans="1:14" x14ac:dyDescent="0.35">
      <c r="A1816" t="s">
        <v>1833</v>
      </c>
      <c r="B1816" t="str">
        <f t="shared" si="364"/>
        <v>Test</v>
      </c>
      <c r="C1816">
        <f t="shared" ca="1" si="365"/>
        <v>38</v>
      </c>
      <c r="D1816" t="str">
        <f t="shared" ca="1" si="366"/>
        <v>Female</v>
      </c>
      <c r="E1816" t="str">
        <f t="shared" ca="1" si="367"/>
        <v>Ethnic Wear</v>
      </c>
      <c r="F1816">
        <f t="shared" ca="1" si="368"/>
        <v>5336</v>
      </c>
      <c r="G1816">
        <f t="shared" ca="1" si="369"/>
        <v>20</v>
      </c>
      <c r="H1816">
        <f t="shared" ca="1" si="370"/>
        <v>4268.8</v>
      </c>
      <c r="I1816">
        <f t="shared" ca="1" si="371"/>
        <v>1</v>
      </c>
      <c r="J1816">
        <f t="shared" ca="1" si="372"/>
        <v>0</v>
      </c>
      <c r="K1816">
        <f t="shared" ca="1" si="373"/>
        <v>0</v>
      </c>
      <c r="L1816">
        <f t="shared" ca="1" si="374"/>
        <v>0</v>
      </c>
      <c r="M1816">
        <f t="shared" ca="1" si="375"/>
        <v>5</v>
      </c>
      <c r="N1816">
        <f t="shared" ca="1" si="376"/>
        <v>0</v>
      </c>
    </row>
    <row r="1817" spans="1:14" x14ac:dyDescent="0.35">
      <c r="A1817" t="s">
        <v>1834</v>
      </c>
      <c r="B1817" t="str">
        <f t="shared" si="364"/>
        <v>Test</v>
      </c>
      <c r="C1817">
        <f t="shared" ca="1" si="365"/>
        <v>31</v>
      </c>
      <c r="D1817" t="str">
        <f t="shared" ca="1" si="366"/>
        <v>Female</v>
      </c>
      <c r="E1817" t="str">
        <f t="shared" ca="1" si="367"/>
        <v>Sportswear</v>
      </c>
      <c r="F1817">
        <f t="shared" ca="1" si="368"/>
        <v>3353</v>
      </c>
      <c r="G1817">
        <f t="shared" ca="1" si="369"/>
        <v>15</v>
      </c>
      <c r="H1817">
        <f t="shared" ca="1" si="370"/>
        <v>2850.0499999999997</v>
      </c>
      <c r="I1817">
        <f t="shared" ca="1" si="371"/>
        <v>1</v>
      </c>
      <c r="J1817">
        <f t="shared" ca="1" si="372"/>
        <v>0</v>
      </c>
      <c r="K1817">
        <f t="shared" ca="1" si="373"/>
        <v>0</v>
      </c>
      <c r="L1817">
        <f t="shared" ca="1" si="374"/>
        <v>0</v>
      </c>
      <c r="M1817">
        <f t="shared" ca="1" si="375"/>
        <v>6</v>
      </c>
      <c r="N1817">
        <f t="shared" ca="1" si="376"/>
        <v>0</v>
      </c>
    </row>
    <row r="1818" spans="1:14" x14ac:dyDescent="0.35">
      <c r="A1818" t="s">
        <v>1835</v>
      </c>
      <c r="B1818" t="str">
        <f t="shared" si="364"/>
        <v>Test</v>
      </c>
      <c r="C1818">
        <f t="shared" ca="1" si="365"/>
        <v>34</v>
      </c>
      <c r="D1818" t="str">
        <f t="shared" ca="1" si="366"/>
        <v>Male</v>
      </c>
      <c r="E1818" t="str">
        <f t="shared" ca="1" si="367"/>
        <v>Sportswear</v>
      </c>
      <c r="F1818">
        <f t="shared" ca="1" si="368"/>
        <v>6755</v>
      </c>
      <c r="G1818">
        <f t="shared" ca="1" si="369"/>
        <v>20</v>
      </c>
      <c r="H1818">
        <f t="shared" ca="1" si="370"/>
        <v>5404</v>
      </c>
      <c r="I1818">
        <f t="shared" ca="1" si="371"/>
        <v>1</v>
      </c>
      <c r="J1818">
        <f t="shared" ca="1" si="372"/>
        <v>1</v>
      </c>
      <c r="K1818">
        <f t="shared" ca="1" si="373"/>
        <v>0</v>
      </c>
      <c r="L1818">
        <f t="shared" ca="1" si="374"/>
        <v>0</v>
      </c>
      <c r="M1818">
        <f t="shared" ca="1" si="375"/>
        <v>4</v>
      </c>
      <c r="N1818">
        <f t="shared" ca="1" si="376"/>
        <v>0</v>
      </c>
    </row>
    <row r="1819" spans="1:14" x14ac:dyDescent="0.35">
      <c r="A1819" t="s">
        <v>1836</v>
      </c>
      <c r="B1819" t="str">
        <f t="shared" si="364"/>
        <v>Test</v>
      </c>
      <c r="C1819">
        <f t="shared" ca="1" si="365"/>
        <v>39</v>
      </c>
      <c r="D1819" t="str">
        <f t="shared" ca="1" si="366"/>
        <v>Female</v>
      </c>
      <c r="E1819" t="str">
        <f t="shared" ca="1" si="367"/>
        <v>Jeans</v>
      </c>
      <c r="F1819">
        <f t="shared" ca="1" si="368"/>
        <v>1842</v>
      </c>
      <c r="G1819">
        <f t="shared" ca="1" si="369"/>
        <v>15</v>
      </c>
      <c r="H1819">
        <f t="shared" ca="1" si="370"/>
        <v>1565.7</v>
      </c>
      <c r="I1819">
        <f t="shared" ca="1" si="371"/>
        <v>1</v>
      </c>
      <c r="J1819">
        <f t="shared" ca="1" si="372"/>
        <v>0</v>
      </c>
      <c r="K1819">
        <f t="shared" ca="1" si="373"/>
        <v>0</v>
      </c>
      <c r="L1819">
        <f t="shared" ca="1" si="374"/>
        <v>0</v>
      </c>
      <c r="M1819">
        <f t="shared" ca="1" si="375"/>
        <v>7</v>
      </c>
      <c r="N1819">
        <f t="shared" ca="1" si="376"/>
        <v>0</v>
      </c>
    </row>
    <row r="1820" spans="1:14" x14ac:dyDescent="0.35">
      <c r="A1820" t="s">
        <v>1837</v>
      </c>
      <c r="B1820" t="str">
        <f t="shared" si="364"/>
        <v>Test</v>
      </c>
      <c r="C1820">
        <f t="shared" ca="1" si="365"/>
        <v>31</v>
      </c>
      <c r="D1820" t="str">
        <f t="shared" ca="1" si="366"/>
        <v>Other</v>
      </c>
      <c r="E1820" t="str">
        <f t="shared" ca="1" si="367"/>
        <v>Tops</v>
      </c>
      <c r="F1820">
        <f t="shared" ca="1" si="368"/>
        <v>2057</v>
      </c>
      <c r="G1820">
        <f t="shared" ca="1" si="369"/>
        <v>15</v>
      </c>
      <c r="H1820">
        <f t="shared" ca="1" si="370"/>
        <v>1748.45</v>
      </c>
      <c r="I1820">
        <f t="shared" ca="1" si="371"/>
        <v>1</v>
      </c>
      <c r="J1820">
        <f t="shared" ca="1" si="372"/>
        <v>1</v>
      </c>
      <c r="K1820">
        <f t="shared" ca="1" si="373"/>
        <v>0</v>
      </c>
      <c r="L1820">
        <f t="shared" ca="1" si="374"/>
        <v>0</v>
      </c>
      <c r="M1820">
        <f t="shared" ca="1" si="375"/>
        <v>2</v>
      </c>
      <c r="N1820">
        <f t="shared" ca="1" si="376"/>
        <v>0</v>
      </c>
    </row>
    <row r="1821" spans="1:14" x14ac:dyDescent="0.35">
      <c r="A1821" t="s">
        <v>1838</v>
      </c>
      <c r="B1821" t="str">
        <f t="shared" si="364"/>
        <v>Test</v>
      </c>
      <c r="C1821">
        <f t="shared" ca="1" si="365"/>
        <v>34</v>
      </c>
      <c r="D1821" t="str">
        <f t="shared" ca="1" si="366"/>
        <v>Other</v>
      </c>
      <c r="E1821" t="str">
        <f t="shared" ca="1" si="367"/>
        <v>T-shirts</v>
      </c>
      <c r="F1821">
        <f t="shared" ca="1" si="368"/>
        <v>7760</v>
      </c>
      <c r="G1821">
        <f t="shared" ca="1" si="369"/>
        <v>20</v>
      </c>
      <c r="H1821">
        <f t="shared" ca="1" si="370"/>
        <v>6208</v>
      </c>
      <c r="I1821">
        <f t="shared" ca="1" si="371"/>
        <v>1</v>
      </c>
      <c r="J1821">
        <f t="shared" ca="1" si="372"/>
        <v>0</v>
      </c>
      <c r="K1821">
        <f t="shared" ca="1" si="373"/>
        <v>0</v>
      </c>
      <c r="L1821">
        <f t="shared" ca="1" si="374"/>
        <v>0</v>
      </c>
      <c r="M1821">
        <f t="shared" ca="1" si="375"/>
        <v>3</v>
      </c>
      <c r="N1821">
        <f t="shared" ca="1" si="376"/>
        <v>0</v>
      </c>
    </row>
    <row r="1822" spans="1:14" x14ac:dyDescent="0.35">
      <c r="A1822" t="s">
        <v>1839</v>
      </c>
      <c r="B1822" t="str">
        <f t="shared" si="364"/>
        <v>Test</v>
      </c>
      <c r="C1822">
        <f t="shared" ca="1" si="365"/>
        <v>27</v>
      </c>
      <c r="D1822" t="str">
        <f t="shared" ca="1" si="366"/>
        <v>Female</v>
      </c>
      <c r="E1822" t="str">
        <f t="shared" ca="1" si="367"/>
        <v>Shoes</v>
      </c>
      <c r="F1822">
        <f t="shared" ca="1" si="368"/>
        <v>1143</v>
      </c>
      <c r="G1822">
        <f t="shared" ca="1" si="369"/>
        <v>15</v>
      </c>
      <c r="H1822">
        <f t="shared" ca="1" si="370"/>
        <v>971.55</v>
      </c>
      <c r="I1822">
        <f t="shared" ca="1" si="371"/>
        <v>1</v>
      </c>
      <c r="J1822">
        <f t="shared" ca="1" si="372"/>
        <v>1</v>
      </c>
      <c r="K1822">
        <f t="shared" ca="1" si="373"/>
        <v>1</v>
      </c>
      <c r="L1822">
        <f t="shared" ca="1" si="374"/>
        <v>971.55</v>
      </c>
      <c r="M1822">
        <f t="shared" ca="1" si="375"/>
        <v>3</v>
      </c>
      <c r="N1822">
        <f t="shared" ca="1" si="376"/>
        <v>0</v>
      </c>
    </row>
    <row r="1823" spans="1:14" x14ac:dyDescent="0.35">
      <c r="A1823" t="s">
        <v>1840</v>
      </c>
      <c r="B1823" t="str">
        <f t="shared" si="364"/>
        <v>Test</v>
      </c>
      <c r="C1823">
        <f t="shared" ca="1" si="365"/>
        <v>22</v>
      </c>
      <c r="D1823" t="str">
        <f t="shared" ca="1" si="366"/>
        <v>Male</v>
      </c>
      <c r="E1823" t="str">
        <f t="shared" ca="1" si="367"/>
        <v>Sportswear</v>
      </c>
      <c r="F1823">
        <f t="shared" ca="1" si="368"/>
        <v>3836</v>
      </c>
      <c r="G1823">
        <f t="shared" ca="1" si="369"/>
        <v>15</v>
      </c>
      <c r="H1823">
        <f t="shared" ca="1" si="370"/>
        <v>3260.6</v>
      </c>
      <c r="I1823">
        <f t="shared" ca="1" si="371"/>
        <v>1</v>
      </c>
      <c r="J1823">
        <f t="shared" ca="1" si="372"/>
        <v>1</v>
      </c>
      <c r="K1823">
        <f t="shared" ca="1" si="373"/>
        <v>0</v>
      </c>
      <c r="L1823">
        <f t="shared" ca="1" si="374"/>
        <v>0</v>
      </c>
      <c r="M1823">
        <f t="shared" ca="1" si="375"/>
        <v>4</v>
      </c>
      <c r="N1823">
        <f t="shared" ca="1" si="376"/>
        <v>0</v>
      </c>
    </row>
    <row r="1824" spans="1:14" x14ac:dyDescent="0.35">
      <c r="A1824" t="s">
        <v>1841</v>
      </c>
      <c r="B1824" t="str">
        <f t="shared" si="364"/>
        <v>Test</v>
      </c>
      <c r="C1824">
        <f t="shared" ca="1" si="365"/>
        <v>25</v>
      </c>
      <c r="D1824" t="str">
        <f t="shared" ca="1" si="366"/>
        <v>Female</v>
      </c>
      <c r="E1824" t="str">
        <f t="shared" ca="1" si="367"/>
        <v>Sportswear</v>
      </c>
      <c r="F1824">
        <f t="shared" ca="1" si="368"/>
        <v>1514</v>
      </c>
      <c r="G1824">
        <f t="shared" ca="1" si="369"/>
        <v>20</v>
      </c>
      <c r="H1824">
        <f t="shared" ca="1" si="370"/>
        <v>1211.2</v>
      </c>
      <c r="I1824">
        <f t="shared" ca="1" si="371"/>
        <v>1</v>
      </c>
      <c r="J1824">
        <f t="shared" ca="1" si="372"/>
        <v>1</v>
      </c>
      <c r="K1824">
        <f t="shared" ca="1" si="373"/>
        <v>1</v>
      </c>
      <c r="L1824">
        <f t="shared" ca="1" si="374"/>
        <v>1211.2</v>
      </c>
      <c r="M1824">
        <f t="shared" ca="1" si="375"/>
        <v>3</v>
      </c>
      <c r="N1824">
        <f t="shared" ca="1" si="376"/>
        <v>0</v>
      </c>
    </row>
    <row r="1825" spans="1:14" x14ac:dyDescent="0.35">
      <c r="A1825" t="s">
        <v>1842</v>
      </c>
      <c r="B1825" t="str">
        <f t="shared" si="364"/>
        <v>Test</v>
      </c>
      <c r="C1825">
        <f t="shared" ca="1" si="365"/>
        <v>37</v>
      </c>
      <c r="D1825" t="str">
        <f t="shared" ca="1" si="366"/>
        <v>Female</v>
      </c>
      <c r="E1825" t="str">
        <f t="shared" ca="1" si="367"/>
        <v>Tops</v>
      </c>
      <c r="F1825">
        <f t="shared" ca="1" si="368"/>
        <v>475</v>
      </c>
      <c r="G1825">
        <f t="shared" ca="1" si="369"/>
        <v>25</v>
      </c>
      <c r="H1825">
        <f t="shared" ca="1" si="370"/>
        <v>356.25</v>
      </c>
      <c r="I1825">
        <f t="shared" ca="1" si="371"/>
        <v>1</v>
      </c>
      <c r="J1825">
        <f t="shared" ca="1" si="372"/>
        <v>0</v>
      </c>
      <c r="K1825">
        <f t="shared" ca="1" si="373"/>
        <v>0</v>
      </c>
      <c r="L1825">
        <f t="shared" ca="1" si="374"/>
        <v>0</v>
      </c>
      <c r="M1825">
        <f t="shared" ca="1" si="375"/>
        <v>3</v>
      </c>
      <c r="N1825">
        <f t="shared" ca="1" si="376"/>
        <v>0</v>
      </c>
    </row>
    <row r="1826" spans="1:14" x14ac:dyDescent="0.35">
      <c r="A1826" t="s">
        <v>1843</v>
      </c>
      <c r="B1826" t="str">
        <f t="shared" si="364"/>
        <v>Test</v>
      </c>
      <c r="C1826">
        <f t="shared" ca="1" si="365"/>
        <v>34</v>
      </c>
      <c r="D1826" t="str">
        <f t="shared" ca="1" si="366"/>
        <v>Female</v>
      </c>
      <c r="E1826" t="str">
        <f t="shared" ca="1" si="367"/>
        <v>Sportswear</v>
      </c>
      <c r="F1826">
        <f t="shared" ca="1" si="368"/>
        <v>6213</v>
      </c>
      <c r="G1826">
        <f t="shared" ca="1" si="369"/>
        <v>25</v>
      </c>
      <c r="H1826">
        <f t="shared" ca="1" si="370"/>
        <v>4659.75</v>
      </c>
      <c r="I1826">
        <f t="shared" ca="1" si="371"/>
        <v>1</v>
      </c>
      <c r="J1826">
        <f t="shared" ca="1" si="372"/>
        <v>1</v>
      </c>
      <c r="K1826">
        <f t="shared" ca="1" si="373"/>
        <v>1</v>
      </c>
      <c r="L1826">
        <f t="shared" ca="1" si="374"/>
        <v>4659.75</v>
      </c>
      <c r="M1826">
        <f t="shared" ca="1" si="375"/>
        <v>1</v>
      </c>
      <c r="N1826">
        <f t="shared" ca="1" si="376"/>
        <v>0</v>
      </c>
    </row>
    <row r="1827" spans="1:14" x14ac:dyDescent="0.35">
      <c r="A1827" t="s">
        <v>1844</v>
      </c>
      <c r="B1827" t="str">
        <f t="shared" si="364"/>
        <v>Test</v>
      </c>
      <c r="C1827">
        <f t="shared" ca="1" si="365"/>
        <v>24</v>
      </c>
      <c r="D1827" t="str">
        <f t="shared" ca="1" si="366"/>
        <v>Female</v>
      </c>
      <c r="E1827" t="str">
        <f t="shared" ca="1" si="367"/>
        <v>Ethnic Wear</v>
      </c>
      <c r="F1827">
        <f t="shared" ca="1" si="368"/>
        <v>7399</v>
      </c>
      <c r="G1827">
        <f t="shared" ca="1" si="369"/>
        <v>25</v>
      </c>
      <c r="H1827">
        <f t="shared" ca="1" si="370"/>
        <v>5549.25</v>
      </c>
      <c r="I1827">
        <f t="shared" ca="1" si="371"/>
        <v>1</v>
      </c>
      <c r="J1827">
        <f t="shared" ca="1" si="372"/>
        <v>1</v>
      </c>
      <c r="K1827">
        <f t="shared" ca="1" si="373"/>
        <v>1</v>
      </c>
      <c r="L1827">
        <f t="shared" ca="1" si="374"/>
        <v>5549.25</v>
      </c>
      <c r="M1827">
        <f t="shared" ca="1" si="375"/>
        <v>2</v>
      </c>
      <c r="N1827">
        <f t="shared" ca="1" si="376"/>
        <v>0</v>
      </c>
    </row>
    <row r="1828" spans="1:14" x14ac:dyDescent="0.35">
      <c r="A1828" t="s">
        <v>1845</v>
      </c>
      <c r="B1828" t="str">
        <f t="shared" si="364"/>
        <v>Test</v>
      </c>
      <c r="C1828">
        <f t="shared" ca="1" si="365"/>
        <v>21</v>
      </c>
      <c r="D1828" t="str">
        <f t="shared" ca="1" si="366"/>
        <v>Male</v>
      </c>
      <c r="E1828" t="str">
        <f t="shared" ca="1" si="367"/>
        <v>Ethnic Wear</v>
      </c>
      <c r="F1828">
        <f t="shared" ca="1" si="368"/>
        <v>7264</v>
      </c>
      <c r="G1828">
        <f t="shared" ca="1" si="369"/>
        <v>20</v>
      </c>
      <c r="H1828">
        <f t="shared" ca="1" si="370"/>
        <v>5811.2000000000007</v>
      </c>
      <c r="I1828">
        <f t="shared" ca="1" si="371"/>
        <v>1</v>
      </c>
      <c r="J1828">
        <f t="shared" ca="1" si="372"/>
        <v>0</v>
      </c>
      <c r="K1828">
        <f t="shared" ca="1" si="373"/>
        <v>0</v>
      </c>
      <c r="L1828">
        <f t="shared" ca="1" si="374"/>
        <v>0</v>
      </c>
      <c r="M1828">
        <f t="shared" ca="1" si="375"/>
        <v>1</v>
      </c>
      <c r="N1828">
        <f t="shared" ca="1" si="376"/>
        <v>0</v>
      </c>
    </row>
    <row r="1829" spans="1:14" x14ac:dyDescent="0.35">
      <c r="A1829" t="s">
        <v>1846</v>
      </c>
      <c r="B1829" t="str">
        <f t="shared" si="364"/>
        <v>Test</v>
      </c>
      <c r="C1829">
        <f t="shared" ca="1" si="365"/>
        <v>21</v>
      </c>
      <c r="D1829" t="str">
        <f t="shared" ca="1" si="366"/>
        <v>Male</v>
      </c>
      <c r="E1829" t="str">
        <f t="shared" ca="1" si="367"/>
        <v>Shoes</v>
      </c>
      <c r="F1829">
        <f t="shared" ca="1" si="368"/>
        <v>727</v>
      </c>
      <c r="G1829">
        <f t="shared" ca="1" si="369"/>
        <v>25</v>
      </c>
      <c r="H1829">
        <f t="shared" ca="1" si="370"/>
        <v>545.25</v>
      </c>
      <c r="I1829">
        <f t="shared" ca="1" si="371"/>
        <v>1</v>
      </c>
      <c r="J1829">
        <f t="shared" ca="1" si="372"/>
        <v>1</v>
      </c>
      <c r="K1829">
        <f t="shared" ca="1" si="373"/>
        <v>1</v>
      </c>
      <c r="L1829">
        <f t="shared" ca="1" si="374"/>
        <v>545.25</v>
      </c>
      <c r="M1829">
        <f t="shared" ca="1" si="375"/>
        <v>5</v>
      </c>
      <c r="N1829">
        <f t="shared" ca="1" si="376"/>
        <v>0</v>
      </c>
    </row>
    <row r="1830" spans="1:14" x14ac:dyDescent="0.35">
      <c r="A1830" t="s">
        <v>1847</v>
      </c>
      <c r="B1830" t="str">
        <f t="shared" si="364"/>
        <v>Test</v>
      </c>
      <c r="C1830">
        <f t="shared" ca="1" si="365"/>
        <v>36</v>
      </c>
      <c r="D1830" t="str">
        <f t="shared" ca="1" si="366"/>
        <v>Male</v>
      </c>
      <c r="E1830" t="str">
        <f t="shared" ca="1" si="367"/>
        <v>Jeans</v>
      </c>
      <c r="F1830">
        <f t="shared" ca="1" si="368"/>
        <v>7379</v>
      </c>
      <c r="G1830">
        <f t="shared" ca="1" si="369"/>
        <v>25</v>
      </c>
      <c r="H1830">
        <f t="shared" ca="1" si="370"/>
        <v>5534.25</v>
      </c>
      <c r="I1830">
        <f t="shared" ca="1" si="371"/>
        <v>1</v>
      </c>
      <c r="J1830">
        <f t="shared" ca="1" si="372"/>
        <v>0</v>
      </c>
      <c r="K1830">
        <f t="shared" ca="1" si="373"/>
        <v>0</v>
      </c>
      <c r="L1830">
        <f t="shared" ca="1" si="374"/>
        <v>0</v>
      </c>
      <c r="M1830">
        <f t="shared" ca="1" si="375"/>
        <v>7</v>
      </c>
      <c r="N1830">
        <f t="shared" ca="1" si="376"/>
        <v>0</v>
      </c>
    </row>
    <row r="1831" spans="1:14" x14ac:dyDescent="0.35">
      <c r="A1831" t="s">
        <v>1848</v>
      </c>
      <c r="B1831" t="str">
        <f t="shared" si="364"/>
        <v>Test</v>
      </c>
      <c r="C1831">
        <f t="shared" ca="1" si="365"/>
        <v>31</v>
      </c>
      <c r="D1831" t="str">
        <f t="shared" ca="1" si="366"/>
        <v>Female</v>
      </c>
      <c r="E1831" t="str">
        <f t="shared" ca="1" si="367"/>
        <v>T-shirts</v>
      </c>
      <c r="F1831">
        <f t="shared" ca="1" si="368"/>
        <v>5150</v>
      </c>
      <c r="G1831">
        <f t="shared" ca="1" si="369"/>
        <v>15</v>
      </c>
      <c r="H1831">
        <f t="shared" ca="1" si="370"/>
        <v>4377.5</v>
      </c>
      <c r="I1831">
        <f t="shared" ca="1" si="371"/>
        <v>1</v>
      </c>
      <c r="J1831">
        <f t="shared" ca="1" si="372"/>
        <v>1</v>
      </c>
      <c r="K1831">
        <f t="shared" ca="1" si="373"/>
        <v>1</v>
      </c>
      <c r="L1831">
        <f t="shared" ca="1" si="374"/>
        <v>4377.5</v>
      </c>
      <c r="M1831">
        <f t="shared" ca="1" si="375"/>
        <v>5</v>
      </c>
      <c r="N1831">
        <f t="shared" ca="1" si="376"/>
        <v>0</v>
      </c>
    </row>
    <row r="1832" spans="1:14" x14ac:dyDescent="0.35">
      <c r="A1832" t="s">
        <v>1849</v>
      </c>
      <c r="B1832" t="str">
        <f t="shared" si="364"/>
        <v>Test</v>
      </c>
      <c r="C1832">
        <f t="shared" ca="1" si="365"/>
        <v>19</v>
      </c>
      <c r="D1832" t="str">
        <f t="shared" ca="1" si="366"/>
        <v>Male</v>
      </c>
      <c r="E1832" t="str">
        <f t="shared" ca="1" si="367"/>
        <v>Dresses</v>
      </c>
      <c r="F1832">
        <f t="shared" ca="1" si="368"/>
        <v>5096</v>
      </c>
      <c r="G1832">
        <f t="shared" ca="1" si="369"/>
        <v>20</v>
      </c>
      <c r="H1832">
        <f t="shared" ca="1" si="370"/>
        <v>4076.8</v>
      </c>
      <c r="I1832">
        <f t="shared" ca="1" si="371"/>
        <v>1</v>
      </c>
      <c r="J1832">
        <f t="shared" ca="1" si="372"/>
        <v>0</v>
      </c>
      <c r="K1832">
        <f t="shared" ca="1" si="373"/>
        <v>0</v>
      </c>
      <c r="L1832">
        <f t="shared" ca="1" si="374"/>
        <v>0</v>
      </c>
      <c r="M1832">
        <f t="shared" ca="1" si="375"/>
        <v>1</v>
      </c>
      <c r="N1832">
        <f t="shared" ca="1" si="376"/>
        <v>0</v>
      </c>
    </row>
    <row r="1833" spans="1:14" x14ac:dyDescent="0.35">
      <c r="A1833" t="s">
        <v>1850</v>
      </c>
      <c r="B1833" t="str">
        <f t="shared" si="364"/>
        <v>Test</v>
      </c>
      <c r="C1833">
        <f t="shared" ca="1" si="365"/>
        <v>44</v>
      </c>
      <c r="D1833" t="str">
        <f t="shared" ca="1" si="366"/>
        <v>Female</v>
      </c>
      <c r="E1833" t="str">
        <f t="shared" ca="1" si="367"/>
        <v>Tops</v>
      </c>
      <c r="F1833">
        <f t="shared" ca="1" si="368"/>
        <v>7751</v>
      </c>
      <c r="G1833">
        <f t="shared" ca="1" si="369"/>
        <v>15</v>
      </c>
      <c r="H1833">
        <f t="shared" ca="1" si="370"/>
        <v>6588.3499999999995</v>
      </c>
      <c r="I1833">
        <f t="shared" ca="1" si="371"/>
        <v>1</v>
      </c>
      <c r="J1833">
        <f t="shared" ca="1" si="372"/>
        <v>1</v>
      </c>
      <c r="K1833">
        <f t="shared" ca="1" si="373"/>
        <v>0</v>
      </c>
      <c r="L1833">
        <f t="shared" ca="1" si="374"/>
        <v>0</v>
      </c>
      <c r="M1833">
        <f t="shared" ca="1" si="375"/>
        <v>5</v>
      </c>
      <c r="N1833">
        <f t="shared" ca="1" si="376"/>
        <v>0</v>
      </c>
    </row>
    <row r="1834" spans="1:14" x14ac:dyDescent="0.35">
      <c r="A1834" t="s">
        <v>1851</v>
      </c>
      <c r="B1834" t="str">
        <f t="shared" si="364"/>
        <v>Test</v>
      </c>
      <c r="C1834">
        <f t="shared" ca="1" si="365"/>
        <v>29</v>
      </c>
      <c r="D1834" t="str">
        <f t="shared" ca="1" si="366"/>
        <v>Male</v>
      </c>
      <c r="E1834" t="str">
        <f t="shared" ca="1" si="367"/>
        <v>Tops</v>
      </c>
      <c r="F1834">
        <f t="shared" ca="1" si="368"/>
        <v>793</v>
      </c>
      <c r="G1834">
        <f t="shared" ca="1" si="369"/>
        <v>20</v>
      </c>
      <c r="H1834">
        <f t="shared" ca="1" si="370"/>
        <v>634.40000000000009</v>
      </c>
      <c r="I1834">
        <f t="shared" ca="1" si="371"/>
        <v>1</v>
      </c>
      <c r="J1834">
        <f t="shared" ca="1" si="372"/>
        <v>1</v>
      </c>
      <c r="K1834">
        <f t="shared" ca="1" si="373"/>
        <v>0</v>
      </c>
      <c r="L1834">
        <f t="shared" ca="1" si="374"/>
        <v>0</v>
      </c>
      <c r="M1834">
        <f t="shared" ca="1" si="375"/>
        <v>2</v>
      </c>
      <c r="N1834">
        <f t="shared" ca="1" si="376"/>
        <v>0</v>
      </c>
    </row>
    <row r="1835" spans="1:14" x14ac:dyDescent="0.35">
      <c r="A1835" t="s">
        <v>1852</v>
      </c>
      <c r="B1835" t="str">
        <f t="shared" si="364"/>
        <v>Test</v>
      </c>
      <c r="C1835">
        <f t="shared" ca="1" si="365"/>
        <v>34</v>
      </c>
      <c r="D1835" t="str">
        <f t="shared" ca="1" si="366"/>
        <v>Male</v>
      </c>
      <c r="E1835" t="str">
        <f t="shared" ca="1" si="367"/>
        <v>Accessories</v>
      </c>
      <c r="F1835">
        <f t="shared" ca="1" si="368"/>
        <v>4248</v>
      </c>
      <c r="G1835">
        <f t="shared" ca="1" si="369"/>
        <v>25</v>
      </c>
      <c r="H1835">
        <f t="shared" ca="1" si="370"/>
        <v>3186</v>
      </c>
      <c r="I1835">
        <f t="shared" ca="1" si="371"/>
        <v>1</v>
      </c>
      <c r="J1835">
        <f t="shared" ca="1" si="372"/>
        <v>0</v>
      </c>
      <c r="K1835">
        <f t="shared" ca="1" si="373"/>
        <v>0</v>
      </c>
      <c r="L1835">
        <f t="shared" ca="1" si="374"/>
        <v>0</v>
      </c>
      <c r="M1835">
        <f t="shared" ca="1" si="375"/>
        <v>7</v>
      </c>
      <c r="N1835">
        <f t="shared" ca="1" si="376"/>
        <v>0</v>
      </c>
    </row>
    <row r="1836" spans="1:14" x14ac:dyDescent="0.35">
      <c r="A1836" t="s">
        <v>1853</v>
      </c>
      <c r="B1836" t="str">
        <f t="shared" si="364"/>
        <v>Test</v>
      </c>
      <c r="C1836">
        <f t="shared" ca="1" si="365"/>
        <v>30</v>
      </c>
      <c r="D1836" t="str">
        <f t="shared" ca="1" si="366"/>
        <v>Female</v>
      </c>
      <c r="E1836" t="str">
        <f t="shared" ca="1" si="367"/>
        <v>Shoes</v>
      </c>
      <c r="F1836">
        <f t="shared" ca="1" si="368"/>
        <v>2206</v>
      </c>
      <c r="G1836">
        <f t="shared" ca="1" si="369"/>
        <v>25</v>
      </c>
      <c r="H1836">
        <f t="shared" ca="1" si="370"/>
        <v>1654.5</v>
      </c>
      <c r="I1836">
        <f t="shared" ca="1" si="371"/>
        <v>1</v>
      </c>
      <c r="J1836">
        <f t="shared" ca="1" si="372"/>
        <v>0</v>
      </c>
      <c r="K1836">
        <f t="shared" ca="1" si="373"/>
        <v>0</v>
      </c>
      <c r="L1836">
        <f t="shared" ca="1" si="374"/>
        <v>0</v>
      </c>
      <c r="M1836">
        <f t="shared" ca="1" si="375"/>
        <v>5</v>
      </c>
      <c r="N1836">
        <f t="shared" ca="1" si="376"/>
        <v>0</v>
      </c>
    </row>
    <row r="1837" spans="1:14" x14ac:dyDescent="0.35">
      <c r="A1837" t="s">
        <v>1854</v>
      </c>
      <c r="B1837" t="str">
        <f t="shared" si="364"/>
        <v>Test</v>
      </c>
      <c r="C1837">
        <f t="shared" ca="1" si="365"/>
        <v>19</v>
      </c>
      <c r="D1837" t="str">
        <f t="shared" ca="1" si="366"/>
        <v>Female</v>
      </c>
      <c r="E1837" t="str">
        <f t="shared" ca="1" si="367"/>
        <v>Dresses</v>
      </c>
      <c r="F1837">
        <f t="shared" ca="1" si="368"/>
        <v>4958</v>
      </c>
      <c r="G1837">
        <f t="shared" ca="1" si="369"/>
        <v>15</v>
      </c>
      <c r="H1837">
        <f t="shared" ca="1" si="370"/>
        <v>4214.3</v>
      </c>
      <c r="I1837">
        <f t="shared" ca="1" si="371"/>
        <v>1</v>
      </c>
      <c r="J1837">
        <f t="shared" ca="1" si="372"/>
        <v>0</v>
      </c>
      <c r="K1837">
        <f t="shared" ca="1" si="373"/>
        <v>0</v>
      </c>
      <c r="L1837">
        <f t="shared" ca="1" si="374"/>
        <v>0</v>
      </c>
      <c r="M1837">
        <f t="shared" ca="1" si="375"/>
        <v>4</v>
      </c>
      <c r="N1837">
        <f t="shared" ca="1" si="376"/>
        <v>0</v>
      </c>
    </row>
    <row r="1838" spans="1:14" x14ac:dyDescent="0.35">
      <c r="A1838" t="s">
        <v>1855</v>
      </c>
      <c r="B1838" t="str">
        <f t="shared" si="364"/>
        <v>Test</v>
      </c>
      <c r="C1838">
        <f t="shared" ca="1" si="365"/>
        <v>29</v>
      </c>
      <c r="D1838" t="str">
        <f t="shared" ca="1" si="366"/>
        <v>Male</v>
      </c>
      <c r="E1838" t="str">
        <f t="shared" ca="1" si="367"/>
        <v>T-shirts</v>
      </c>
      <c r="F1838">
        <f t="shared" ca="1" si="368"/>
        <v>5007</v>
      </c>
      <c r="G1838">
        <f t="shared" ca="1" si="369"/>
        <v>15</v>
      </c>
      <c r="H1838">
        <f t="shared" ca="1" si="370"/>
        <v>4255.95</v>
      </c>
      <c r="I1838">
        <f t="shared" ca="1" si="371"/>
        <v>1</v>
      </c>
      <c r="J1838">
        <f t="shared" ca="1" si="372"/>
        <v>0</v>
      </c>
      <c r="K1838">
        <f t="shared" ca="1" si="373"/>
        <v>0</v>
      </c>
      <c r="L1838">
        <f t="shared" ca="1" si="374"/>
        <v>0</v>
      </c>
      <c r="M1838">
        <f t="shared" ca="1" si="375"/>
        <v>1</v>
      </c>
      <c r="N1838">
        <f t="shared" ca="1" si="376"/>
        <v>0</v>
      </c>
    </row>
    <row r="1839" spans="1:14" x14ac:dyDescent="0.35">
      <c r="A1839" t="s">
        <v>1856</v>
      </c>
      <c r="B1839" t="str">
        <f t="shared" si="364"/>
        <v>Test</v>
      </c>
      <c r="C1839">
        <f t="shared" ca="1" si="365"/>
        <v>38</v>
      </c>
      <c r="D1839" t="str">
        <f t="shared" ca="1" si="366"/>
        <v>Other</v>
      </c>
      <c r="E1839" t="str">
        <f t="shared" ca="1" si="367"/>
        <v>Tops</v>
      </c>
      <c r="F1839">
        <f t="shared" ca="1" si="368"/>
        <v>4331</v>
      </c>
      <c r="G1839">
        <f t="shared" ca="1" si="369"/>
        <v>15</v>
      </c>
      <c r="H1839">
        <f t="shared" ca="1" si="370"/>
        <v>3681.35</v>
      </c>
      <c r="I1839">
        <f t="shared" ca="1" si="371"/>
        <v>1</v>
      </c>
      <c r="J1839">
        <f t="shared" ca="1" si="372"/>
        <v>1</v>
      </c>
      <c r="K1839">
        <f t="shared" ca="1" si="373"/>
        <v>0</v>
      </c>
      <c r="L1839">
        <f t="shared" ca="1" si="374"/>
        <v>0</v>
      </c>
      <c r="M1839">
        <f t="shared" ca="1" si="375"/>
        <v>1</v>
      </c>
      <c r="N1839">
        <f t="shared" ca="1" si="376"/>
        <v>0</v>
      </c>
    </row>
    <row r="1840" spans="1:14" x14ac:dyDescent="0.35">
      <c r="A1840" t="s">
        <v>1857</v>
      </c>
      <c r="B1840" t="str">
        <f t="shared" si="364"/>
        <v>Test</v>
      </c>
      <c r="C1840">
        <f t="shared" ca="1" si="365"/>
        <v>40</v>
      </c>
      <c r="D1840" t="str">
        <f t="shared" ca="1" si="366"/>
        <v>Female</v>
      </c>
      <c r="E1840" t="str">
        <f t="shared" ca="1" si="367"/>
        <v>Tops</v>
      </c>
      <c r="F1840">
        <f t="shared" ca="1" si="368"/>
        <v>2324</v>
      </c>
      <c r="G1840">
        <f t="shared" ca="1" si="369"/>
        <v>25</v>
      </c>
      <c r="H1840">
        <f t="shared" ca="1" si="370"/>
        <v>1743</v>
      </c>
      <c r="I1840">
        <f t="shared" ca="1" si="371"/>
        <v>1</v>
      </c>
      <c r="J1840">
        <f t="shared" ca="1" si="372"/>
        <v>0</v>
      </c>
      <c r="K1840">
        <f t="shared" ca="1" si="373"/>
        <v>0</v>
      </c>
      <c r="L1840">
        <f t="shared" ca="1" si="374"/>
        <v>0</v>
      </c>
      <c r="M1840">
        <f t="shared" ca="1" si="375"/>
        <v>3</v>
      </c>
      <c r="N1840">
        <f t="shared" ca="1" si="376"/>
        <v>0</v>
      </c>
    </row>
    <row r="1841" spans="1:14" x14ac:dyDescent="0.35">
      <c r="A1841" t="s">
        <v>1858</v>
      </c>
      <c r="B1841" t="str">
        <f t="shared" si="364"/>
        <v>Test</v>
      </c>
      <c r="C1841">
        <f t="shared" ca="1" si="365"/>
        <v>26</v>
      </c>
      <c r="D1841" t="str">
        <f t="shared" ca="1" si="366"/>
        <v>Other</v>
      </c>
      <c r="E1841" t="str">
        <f t="shared" ca="1" si="367"/>
        <v>Tops</v>
      </c>
      <c r="F1841">
        <f t="shared" ca="1" si="368"/>
        <v>2071</v>
      </c>
      <c r="G1841">
        <f t="shared" ca="1" si="369"/>
        <v>15</v>
      </c>
      <c r="H1841">
        <f t="shared" ca="1" si="370"/>
        <v>1760.35</v>
      </c>
      <c r="I1841">
        <f t="shared" ca="1" si="371"/>
        <v>0</v>
      </c>
      <c r="J1841">
        <f t="shared" ca="1" si="372"/>
        <v>0</v>
      </c>
      <c r="K1841">
        <f t="shared" ca="1" si="373"/>
        <v>0</v>
      </c>
      <c r="L1841">
        <f t="shared" ca="1" si="374"/>
        <v>0</v>
      </c>
      <c r="M1841">
        <f t="shared" ca="1" si="375"/>
        <v>2</v>
      </c>
      <c r="N1841">
        <f t="shared" ca="1" si="376"/>
        <v>0</v>
      </c>
    </row>
    <row r="1842" spans="1:14" x14ac:dyDescent="0.35">
      <c r="A1842" t="s">
        <v>1859</v>
      </c>
      <c r="B1842" t="str">
        <f t="shared" si="364"/>
        <v>Test</v>
      </c>
      <c r="C1842">
        <f t="shared" ca="1" si="365"/>
        <v>42</v>
      </c>
      <c r="D1842" t="str">
        <f t="shared" ca="1" si="366"/>
        <v>Male</v>
      </c>
      <c r="E1842" t="str">
        <f t="shared" ca="1" si="367"/>
        <v>Jeans</v>
      </c>
      <c r="F1842">
        <f t="shared" ca="1" si="368"/>
        <v>4906</v>
      </c>
      <c r="G1842">
        <f t="shared" ca="1" si="369"/>
        <v>25</v>
      </c>
      <c r="H1842">
        <f t="shared" ca="1" si="370"/>
        <v>3679.5</v>
      </c>
      <c r="I1842">
        <f t="shared" ca="1" si="371"/>
        <v>1</v>
      </c>
      <c r="J1842">
        <f t="shared" ca="1" si="372"/>
        <v>1</v>
      </c>
      <c r="K1842">
        <f t="shared" ca="1" si="373"/>
        <v>0</v>
      </c>
      <c r="L1842">
        <f t="shared" ca="1" si="374"/>
        <v>0</v>
      </c>
      <c r="M1842">
        <f t="shared" ca="1" si="375"/>
        <v>7</v>
      </c>
      <c r="N1842">
        <f t="shared" ca="1" si="376"/>
        <v>0</v>
      </c>
    </row>
    <row r="1843" spans="1:14" x14ac:dyDescent="0.35">
      <c r="A1843" t="s">
        <v>1860</v>
      </c>
      <c r="B1843" t="str">
        <f t="shared" si="364"/>
        <v>Test</v>
      </c>
      <c r="C1843">
        <f t="shared" ca="1" si="365"/>
        <v>36</v>
      </c>
      <c r="D1843" t="str">
        <f t="shared" ca="1" si="366"/>
        <v>Other</v>
      </c>
      <c r="E1843" t="str">
        <f t="shared" ca="1" si="367"/>
        <v>Dresses</v>
      </c>
      <c r="F1843">
        <f t="shared" ca="1" si="368"/>
        <v>6684</v>
      </c>
      <c r="G1843">
        <f t="shared" ca="1" si="369"/>
        <v>15</v>
      </c>
      <c r="H1843">
        <f t="shared" ca="1" si="370"/>
        <v>5681.4</v>
      </c>
      <c r="I1843">
        <f t="shared" ca="1" si="371"/>
        <v>1</v>
      </c>
      <c r="J1843">
        <f t="shared" ca="1" si="372"/>
        <v>1</v>
      </c>
      <c r="K1843">
        <f t="shared" ca="1" si="373"/>
        <v>0</v>
      </c>
      <c r="L1843">
        <f t="shared" ca="1" si="374"/>
        <v>0</v>
      </c>
      <c r="M1843">
        <f t="shared" ca="1" si="375"/>
        <v>7</v>
      </c>
      <c r="N1843">
        <f t="shared" ca="1" si="376"/>
        <v>0</v>
      </c>
    </row>
    <row r="1844" spans="1:14" x14ac:dyDescent="0.35">
      <c r="A1844" t="s">
        <v>1861</v>
      </c>
      <c r="B1844" t="str">
        <f t="shared" si="364"/>
        <v>Test</v>
      </c>
      <c r="C1844">
        <f t="shared" ca="1" si="365"/>
        <v>33</v>
      </c>
      <c r="D1844" t="str">
        <f t="shared" ca="1" si="366"/>
        <v>Female</v>
      </c>
      <c r="E1844" t="str">
        <f t="shared" ca="1" si="367"/>
        <v>T-shirts</v>
      </c>
      <c r="F1844">
        <f t="shared" ca="1" si="368"/>
        <v>866</v>
      </c>
      <c r="G1844">
        <f t="shared" ca="1" si="369"/>
        <v>15</v>
      </c>
      <c r="H1844">
        <f t="shared" ca="1" si="370"/>
        <v>736.1</v>
      </c>
      <c r="I1844">
        <f t="shared" ca="1" si="371"/>
        <v>0</v>
      </c>
      <c r="J1844">
        <f t="shared" ca="1" si="372"/>
        <v>0</v>
      </c>
      <c r="K1844">
        <f t="shared" ca="1" si="373"/>
        <v>0</v>
      </c>
      <c r="L1844">
        <f t="shared" ca="1" si="374"/>
        <v>0</v>
      </c>
      <c r="M1844">
        <f t="shared" ca="1" si="375"/>
        <v>1</v>
      </c>
      <c r="N1844">
        <f t="shared" ca="1" si="376"/>
        <v>0</v>
      </c>
    </row>
    <row r="1845" spans="1:14" x14ac:dyDescent="0.35">
      <c r="A1845" t="s">
        <v>1862</v>
      </c>
      <c r="B1845" t="str">
        <f t="shared" si="364"/>
        <v>Test</v>
      </c>
      <c r="C1845">
        <f t="shared" ca="1" si="365"/>
        <v>27</v>
      </c>
      <c r="D1845" t="str">
        <f t="shared" ca="1" si="366"/>
        <v>Female</v>
      </c>
      <c r="E1845" t="str">
        <f t="shared" ca="1" si="367"/>
        <v>Accessories</v>
      </c>
      <c r="F1845">
        <f t="shared" ca="1" si="368"/>
        <v>4181</v>
      </c>
      <c r="G1845">
        <f t="shared" ca="1" si="369"/>
        <v>25</v>
      </c>
      <c r="H1845">
        <f t="shared" ca="1" si="370"/>
        <v>3135.75</v>
      </c>
      <c r="I1845">
        <f t="shared" ca="1" si="371"/>
        <v>0</v>
      </c>
      <c r="J1845">
        <f t="shared" ca="1" si="372"/>
        <v>0</v>
      </c>
      <c r="K1845">
        <f t="shared" ca="1" si="373"/>
        <v>0</v>
      </c>
      <c r="L1845">
        <f t="shared" ca="1" si="374"/>
        <v>0</v>
      </c>
      <c r="M1845">
        <f t="shared" ca="1" si="375"/>
        <v>3</v>
      </c>
      <c r="N1845">
        <f t="shared" ca="1" si="376"/>
        <v>0</v>
      </c>
    </row>
    <row r="1846" spans="1:14" x14ac:dyDescent="0.35">
      <c r="A1846" t="s">
        <v>1863</v>
      </c>
      <c r="B1846" t="str">
        <f t="shared" si="364"/>
        <v>Test</v>
      </c>
      <c r="C1846">
        <f t="shared" ca="1" si="365"/>
        <v>42</v>
      </c>
      <c r="D1846" t="str">
        <f t="shared" ca="1" si="366"/>
        <v>Female</v>
      </c>
      <c r="E1846" t="str">
        <f t="shared" ca="1" si="367"/>
        <v>T-shirts</v>
      </c>
      <c r="F1846">
        <f t="shared" ca="1" si="368"/>
        <v>1879</v>
      </c>
      <c r="G1846">
        <f t="shared" ca="1" si="369"/>
        <v>20</v>
      </c>
      <c r="H1846">
        <f t="shared" ca="1" si="370"/>
        <v>1503.2</v>
      </c>
      <c r="I1846">
        <f t="shared" ca="1" si="371"/>
        <v>1</v>
      </c>
      <c r="J1846">
        <f t="shared" ca="1" si="372"/>
        <v>1</v>
      </c>
      <c r="K1846">
        <f t="shared" ca="1" si="373"/>
        <v>0</v>
      </c>
      <c r="L1846">
        <f t="shared" ca="1" si="374"/>
        <v>0</v>
      </c>
      <c r="M1846">
        <f t="shared" ca="1" si="375"/>
        <v>1</v>
      </c>
      <c r="N1846">
        <f t="shared" ca="1" si="376"/>
        <v>0</v>
      </c>
    </row>
    <row r="1847" spans="1:14" x14ac:dyDescent="0.35">
      <c r="A1847" t="s">
        <v>1864</v>
      </c>
      <c r="B1847" t="str">
        <f t="shared" si="364"/>
        <v>Test</v>
      </c>
      <c r="C1847">
        <f t="shared" ca="1" si="365"/>
        <v>38</v>
      </c>
      <c r="D1847" t="str">
        <f t="shared" ca="1" si="366"/>
        <v>Male</v>
      </c>
      <c r="E1847" t="str">
        <f t="shared" ca="1" si="367"/>
        <v>Dresses</v>
      </c>
      <c r="F1847">
        <f t="shared" ca="1" si="368"/>
        <v>560</v>
      </c>
      <c r="G1847">
        <f t="shared" ca="1" si="369"/>
        <v>20</v>
      </c>
      <c r="H1847">
        <f t="shared" ca="1" si="370"/>
        <v>448</v>
      </c>
      <c r="I1847">
        <f t="shared" ca="1" si="371"/>
        <v>1</v>
      </c>
      <c r="J1847">
        <f t="shared" ca="1" si="372"/>
        <v>1</v>
      </c>
      <c r="K1847">
        <f t="shared" ca="1" si="373"/>
        <v>0</v>
      </c>
      <c r="L1847">
        <f t="shared" ca="1" si="374"/>
        <v>0</v>
      </c>
      <c r="M1847">
        <f t="shared" ca="1" si="375"/>
        <v>3</v>
      </c>
      <c r="N1847">
        <f t="shared" ca="1" si="376"/>
        <v>0</v>
      </c>
    </row>
    <row r="1848" spans="1:14" x14ac:dyDescent="0.35">
      <c r="A1848" t="s">
        <v>1865</v>
      </c>
      <c r="B1848" t="str">
        <f t="shared" si="364"/>
        <v>Test</v>
      </c>
      <c r="C1848">
        <f t="shared" ca="1" si="365"/>
        <v>32</v>
      </c>
      <c r="D1848" t="str">
        <f t="shared" ca="1" si="366"/>
        <v>Female</v>
      </c>
      <c r="E1848" t="str">
        <f t="shared" ca="1" si="367"/>
        <v>Tops</v>
      </c>
      <c r="F1848">
        <f t="shared" ca="1" si="368"/>
        <v>6100</v>
      </c>
      <c r="G1848">
        <f t="shared" ca="1" si="369"/>
        <v>20</v>
      </c>
      <c r="H1848">
        <f t="shared" ca="1" si="370"/>
        <v>4880</v>
      </c>
      <c r="I1848">
        <f t="shared" ca="1" si="371"/>
        <v>1</v>
      </c>
      <c r="J1848">
        <f t="shared" ca="1" si="372"/>
        <v>1</v>
      </c>
      <c r="K1848">
        <f t="shared" ca="1" si="373"/>
        <v>0</v>
      </c>
      <c r="L1848">
        <f t="shared" ca="1" si="374"/>
        <v>0</v>
      </c>
      <c r="M1848">
        <f t="shared" ca="1" si="375"/>
        <v>3</v>
      </c>
      <c r="N1848">
        <f t="shared" ca="1" si="376"/>
        <v>0</v>
      </c>
    </row>
    <row r="1849" spans="1:14" x14ac:dyDescent="0.35">
      <c r="A1849" t="s">
        <v>1866</v>
      </c>
      <c r="B1849" t="str">
        <f t="shared" si="364"/>
        <v>Test</v>
      </c>
      <c r="C1849">
        <f t="shared" ca="1" si="365"/>
        <v>33</v>
      </c>
      <c r="D1849" t="str">
        <f t="shared" ca="1" si="366"/>
        <v>Male</v>
      </c>
      <c r="E1849" t="str">
        <f t="shared" ca="1" si="367"/>
        <v>T-shirts</v>
      </c>
      <c r="F1849">
        <f t="shared" ca="1" si="368"/>
        <v>1434</v>
      </c>
      <c r="G1849">
        <f t="shared" ca="1" si="369"/>
        <v>25</v>
      </c>
      <c r="H1849">
        <f t="shared" ca="1" si="370"/>
        <v>1075.5</v>
      </c>
      <c r="I1849">
        <f t="shared" ca="1" si="371"/>
        <v>0</v>
      </c>
      <c r="J1849">
        <f t="shared" ca="1" si="372"/>
        <v>0</v>
      </c>
      <c r="K1849">
        <f t="shared" ca="1" si="373"/>
        <v>0</v>
      </c>
      <c r="L1849">
        <f t="shared" ca="1" si="374"/>
        <v>0</v>
      </c>
      <c r="M1849">
        <f t="shared" ca="1" si="375"/>
        <v>2</v>
      </c>
      <c r="N1849">
        <f t="shared" ca="1" si="376"/>
        <v>0</v>
      </c>
    </row>
    <row r="1850" spans="1:14" x14ac:dyDescent="0.35">
      <c r="A1850" t="s">
        <v>1867</v>
      </c>
      <c r="B1850" t="str">
        <f t="shared" si="364"/>
        <v>Test</v>
      </c>
      <c r="C1850">
        <f t="shared" ca="1" si="365"/>
        <v>38</v>
      </c>
      <c r="D1850" t="str">
        <f t="shared" ca="1" si="366"/>
        <v>Female</v>
      </c>
      <c r="E1850" t="str">
        <f t="shared" ca="1" si="367"/>
        <v>Jeans</v>
      </c>
      <c r="F1850">
        <f t="shared" ca="1" si="368"/>
        <v>2851</v>
      </c>
      <c r="G1850">
        <f t="shared" ca="1" si="369"/>
        <v>15</v>
      </c>
      <c r="H1850">
        <f t="shared" ca="1" si="370"/>
        <v>2423.35</v>
      </c>
      <c r="I1850">
        <f t="shared" ca="1" si="371"/>
        <v>1</v>
      </c>
      <c r="J1850">
        <f t="shared" ca="1" si="372"/>
        <v>1</v>
      </c>
      <c r="K1850">
        <f t="shared" ca="1" si="373"/>
        <v>0</v>
      </c>
      <c r="L1850">
        <f t="shared" ca="1" si="374"/>
        <v>0</v>
      </c>
      <c r="M1850">
        <f t="shared" ca="1" si="375"/>
        <v>3</v>
      </c>
      <c r="N1850">
        <f t="shared" ca="1" si="376"/>
        <v>0</v>
      </c>
    </row>
    <row r="1851" spans="1:14" x14ac:dyDescent="0.35">
      <c r="A1851" t="s">
        <v>1868</v>
      </c>
      <c r="B1851" t="str">
        <f t="shared" si="364"/>
        <v>Test</v>
      </c>
      <c r="C1851">
        <f t="shared" ca="1" si="365"/>
        <v>32</v>
      </c>
      <c r="D1851" t="str">
        <f t="shared" ca="1" si="366"/>
        <v>Male</v>
      </c>
      <c r="E1851" t="str">
        <f t="shared" ca="1" si="367"/>
        <v>Accessories</v>
      </c>
      <c r="F1851">
        <f t="shared" ca="1" si="368"/>
        <v>7890</v>
      </c>
      <c r="G1851">
        <f t="shared" ca="1" si="369"/>
        <v>15</v>
      </c>
      <c r="H1851">
        <f t="shared" ca="1" si="370"/>
        <v>6706.5</v>
      </c>
      <c r="I1851">
        <f t="shared" ca="1" si="371"/>
        <v>1</v>
      </c>
      <c r="J1851">
        <f t="shared" ca="1" si="372"/>
        <v>0</v>
      </c>
      <c r="K1851">
        <f t="shared" ca="1" si="373"/>
        <v>0</v>
      </c>
      <c r="L1851">
        <f t="shared" ca="1" si="374"/>
        <v>0</v>
      </c>
      <c r="M1851">
        <f t="shared" ca="1" si="375"/>
        <v>3</v>
      </c>
      <c r="N1851">
        <f t="shared" ca="1" si="376"/>
        <v>0</v>
      </c>
    </row>
    <row r="1852" spans="1:14" x14ac:dyDescent="0.35">
      <c r="A1852" t="s">
        <v>1869</v>
      </c>
      <c r="B1852" t="str">
        <f t="shared" si="364"/>
        <v>Test</v>
      </c>
      <c r="C1852">
        <f t="shared" ca="1" si="365"/>
        <v>28</v>
      </c>
      <c r="D1852" t="str">
        <f t="shared" ca="1" si="366"/>
        <v>Female</v>
      </c>
      <c r="E1852" t="str">
        <f t="shared" ca="1" si="367"/>
        <v>Shoes</v>
      </c>
      <c r="F1852">
        <f t="shared" ca="1" si="368"/>
        <v>1414</v>
      </c>
      <c r="G1852">
        <f t="shared" ca="1" si="369"/>
        <v>25</v>
      </c>
      <c r="H1852">
        <f t="shared" ca="1" si="370"/>
        <v>1060.5</v>
      </c>
      <c r="I1852">
        <f t="shared" ca="1" si="371"/>
        <v>0</v>
      </c>
      <c r="J1852">
        <f t="shared" ca="1" si="372"/>
        <v>0</v>
      </c>
      <c r="K1852">
        <f t="shared" ca="1" si="373"/>
        <v>0</v>
      </c>
      <c r="L1852">
        <f t="shared" ca="1" si="374"/>
        <v>0</v>
      </c>
      <c r="M1852">
        <f t="shared" ca="1" si="375"/>
        <v>1</v>
      </c>
      <c r="N1852">
        <f t="shared" ca="1" si="376"/>
        <v>0</v>
      </c>
    </row>
    <row r="1853" spans="1:14" x14ac:dyDescent="0.35">
      <c r="A1853" t="s">
        <v>1870</v>
      </c>
      <c r="B1853" t="str">
        <f t="shared" si="364"/>
        <v>Test</v>
      </c>
      <c r="C1853">
        <f t="shared" ca="1" si="365"/>
        <v>41</v>
      </c>
      <c r="D1853" t="str">
        <f t="shared" ca="1" si="366"/>
        <v>Female</v>
      </c>
      <c r="E1853" t="str">
        <f t="shared" ca="1" si="367"/>
        <v>Sportswear</v>
      </c>
      <c r="F1853">
        <f t="shared" ca="1" si="368"/>
        <v>447</v>
      </c>
      <c r="G1853">
        <f t="shared" ca="1" si="369"/>
        <v>25</v>
      </c>
      <c r="H1853">
        <f t="shared" ca="1" si="370"/>
        <v>335.25</v>
      </c>
      <c r="I1853">
        <f t="shared" ca="1" si="371"/>
        <v>1</v>
      </c>
      <c r="J1853">
        <f t="shared" ca="1" si="372"/>
        <v>0</v>
      </c>
      <c r="K1853">
        <f t="shared" ca="1" si="373"/>
        <v>0</v>
      </c>
      <c r="L1853">
        <f t="shared" ca="1" si="374"/>
        <v>0</v>
      </c>
      <c r="M1853">
        <f t="shared" ca="1" si="375"/>
        <v>2</v>
      </c>
      <c r="N1853">
        <f t="shared" ca="1" si="376"/>
        <v>0</v>
      </c>
    </row>
    <row r="1854" spans="1:14" x14ac:dyDescent="0.35">
      <c r="A1854" t="s">
        <v>1871</v>
      </c>
      <c r="B1854" t="str">
        <f t="shared" si="364"/>
        <v>Test</v>
      </c>
      <c r="C1854">
        <f t="shared" ca="1" si="365"/>
        <v>33</v>
      </c>
      <c r="D1854" t="str">
        <f t="shared" ca="1" si="366"/>
        <v>Male</v>
      </c>
      <c r="E1854" t="str">
        <f t="shared" ca="1" si="367"/>
        <v>T-shirts</v>
      </c>
      <c r="F1854">
        <f t="shared" ca="1" si="368"/>
        <v>3496</v>
      </c>
      <c r="G1854">
        <f t="shared" ca="1" si="369"/>
        <v>20</v>
      </c>
      <c r="H1854">
        <f t="shared" ca="1" si="370"/>
        <v>2796.8</v>
      </c>
      <c r="I1854">
        <f t="shared" ca="1" si="371"/>
        <v>1</v>
      </c>
      <c r="J1854">
        <f t="shared" ca="1" si="372"/>
        <v>1</v>
      </c>
      <c r="K1854">
        <f t="shared" ca="1" si="373"/>
        <v>0</v>
      </c>
      <c r="L1854">
        <f t="shared" ca="1" si="374"/>
        <v>0</v>
      </c>
      <c r="M1854">
        <f t="shared" ca="1" si="375"/>
        <v>2</v>
      </c>
      <c r="N1854">
        <f t="shared" ca="1" si="376"/>
        <v>0</v>
      </c>
    </row>
    <row r="1855" spans="1:14" x14ac:dyDescent="0.35">
      <c r="A1855" t="s">
        <v>1872</v>
      </c>
      <c r="B1855" t="str">
        <f t="shared" si="364"/>
        <v>Test</v>
      </c>
      <c r="C1855">
        <f t="shared" ca="1" si="365"/>
        <v>24</v>
      </c>
      <c r="D1855" t="str">
        <f t="shared" ca="1" si="366"/>
        <v>Female</v>
      </c>
      <c r="E1855" t="str">
        <f t="shared" ca="1" si="367"/>
        <v>Sportswear</v>
      </c>
      <c r="F1855">
        <f t="shared" ca="1" si="368"/>
        <v>7134</v>
      </c>
      <c r="G1855">
        <f t="shared" ca="1" si="369"/>
        <v>25</v>
      </c>
      <c r="H1855">
        <f t="shared" ca="1" si="370"/>
        <v>5350.5</v>
      </c>
      <c r="I1855">
        <f t="shared" ca="1" si="371"/>
        <v>1</v>
      </c>
      <c r="J1855">
        <f t="shared" ca="1" si="372"/>
        <v>0</v>
      </c>
      <c r="K1855">
        <f t="shared" ca="1" si="373"/>
        <v>0</v>
      </c>
      <c r="L1855">
        <f t="shared" ca="1" si="374"/>
        <v>0</v>
      </c>
      <c r="M1855">
        <f t="shared" ca="1" si="375"/>
        <v>2</v>
      </c>
      <c r="N1855">
        <f t="shared" ca="1" si="376"/>
        <v>0</v>
      </c>
    </row>
    <row r="1856" spans="1:14" x14ac:dyDescent="0.35">
      <c r="A1856" t="s">
        <v>1873</v>
      </c>
      <c r="B1856" t="str">
        <f t="shared" si="364"/>
        <v>Test</v>
      </c>
      <c r="C1856">
        <f t="shared" ca="1" si="365"/>
        <v>32</v>
      </c>
      <c r="D1856" t="str">
        <f t="shared" ca="1" si="366"/>
        <v>Male</v>
      </c>
      <c r="E1856" t="str">
        <f t="shared" ca="1" si="367"/>
        <v>Tops</v>
      </c>
      <c r="F1856">
        <f t="shared" ca="1" si="368"/>
        <v>6598</v>
      </c>
      <c r="G1856">
        <f t="shared" ca="1" si="369"/>
        <v>15</v>
      </c>
      <c r="H1856">
        <f t="shared" ca="1" si="370"/>
        <v>5608.3</v>
      </c>
      <c r="I1856">
        <f t="shared" ca="1" si="371"/>
        <v>1</v>
      </c>
      <c r="J1856">
        <f t="shared" ca="1" si="372"/>
        <v>1</v>
      </c>
      <c r="K1856">
        <f t="shared" ca="1" si="373"/>
        <v>0</v>
      </c>
      <c r="L1856">
        <f t="shared" ca="1" si="374"/>
        <v>0</v>
      </c>
      <c r="M1856">
        <f t="shared" ca="1" si="375"/>
        <v>1</v>
      </c>
      <c r="N1856">
        <f t="shared" ca="1" si="376"/>
        <v>0</v>
      </c>
    </row>
    <row r="1857" spans="1:14" x14ac:dyDescent="0.35">
      <c r="A1857" t="s">
        <v>1874</v>
      </c>
      <c r="B1857" t="str">
        <f t="shared" si="364"/>
        <v>Test</v>
      </c>
      <c r="C1857">
        <f t="shared" ca="1" si="365"/>
        <v>45</v>
      </c>
      <c r="D1857" t="str">
        <f t="shared" ca="1" si="366"/>
        <v>Other</v>
      </c>
      <c r="E1857" t="str">
        <f t="shared" ca="1" si="367"/>
        <v>T-shirts</v>
      </c>
      <c r="F1857">
        <f t="shared" ca="1" si="368"/>
        <v>4112</v>
      </c>
      <c r="G1857">
        <f t="shared" ca="1" si="369"/>
        <v>25</v>
      </c>
      <c r="H1857">
        <f t="shared" ca="1" si="370"/>
        <v>3084</v>
      </c>
      <c r="I1857">
        <f t="shared" ca="1" si="371"/>
        <v>1</v>
      </c>
      <c r="J1857">
        <f t="shared" ca="1" si="372"/>
        <v>0</v>
      </c>
      <c r="K1857">
        <f t="shared" ca="1" si="373"/>
        <v>0</v>
      </c>
      <c r="L1857">
        <f t="shared" ca="1" si="374"/>
        <v>0</v>
      </c>
      <c r="M1857">
        <f t="shared" ca="1" si="375"/>
        <v>6</v>
      </c>
      <c r="N1857">
        <f t="shared" ca="1" si="376"/>
        <v>0</v>
      </c>
    </row>
    <row r="1858" spans="1:14" x14ac:dyDescent="0.35">
      <c r="A1858" t="s">
        <v>1875</v>
      </c>
      <c r="B1858" t="str">
        <f t="shared" si="364"/>
        <v>Test</v>
      </c>
      <c r="C1858">
        <f t="shared" ca="1" si="365"/>
        <v>42</v>
      </c>
      <c r="D1858" t="str">
        <f t="shared" ca="1" si="366"/>
        <v>Other</v>
      </c>
      <c r="E1858" t="str">
        <f t="shared" ca="1" si="367"/>
        <v>Tops</v>
      </c>
      <c r="F1858">
        <f t="shared" ca="1" si="368"/>
        <v>4631</v>
      </c>
      <c r="G1858">
        <f t="shared" ca="1" si="369"/>
        <v>15</v>
      </c>
      <c r="H1858">
        <f t="shared" ca="1" si="370"/>
        <v>3936.35</v>
      </c>
      <c r="I1858">
        <f t="shared" ca="1" si="371"/>
        <v>0</v>
      </c>
      <c r="J1858">
        <f t="shared" ca="1" si="372"/>
        <v>0</v>
      </c>
      <c r="K1858">
        <f t="shared" ca="1" si="373"/>
        <v>0</v>
      </c>
      <c r="L1858">
        <f t="shared" ca="1" si="374"/>
        <v>0</v>
      </c>
      <c r="M1858">
        <f t="shared" ca="1" si="375"/>
        <v>4</v>
      </c>
      <c r="N1858">
        <f t="shared" ca="1" si="376"/>
        <v>0</v>
      </c>
    </row>
    <row r="1859" spans="1:14" x14ac:dyDescent="0.35">
      <c r="A1859" t="s">
        <v>1876</v>
      </c>
      <c r="B1859" t="str">
        <f t="shared" si="364"/>
        <v>Test</v>
      </c>
      <c r="C1859">
        <f t="shared" ca="1" si="365"/>
        <v>21</v>
      </c>
      <c r="D1859" t="str">
        <f t="shared" ca="1" si="366"/>
        <v>Female</v>
      </c>
      <c r="E1859" t="str">
        <f t="shared" ca="1" si="367"/>
        <v>Shoes</v>
      </c>
      <c r="F1859">
        <f t="shared" ca="1" si="368"/>
        <v>5307</v>
      </c>
      <c r="G1859">
        <f t="shared" ca="1" si="369"/>
        <v>25</v>
      </c>
      <c r="H1859">
        <f t="shared" ca="1" si="370"/>
        <v>3980.25</v>
      </c>
      <c r="I1859">
        <f t="shared" ca="1" si="371"/>
        <v>1</v>
      </c>
      <c r="J1859">
        <f t="shared" ca="1" si="372"/>
        <v>1</v>
      </c>
      <c r="K1859">
        <f t="shared" ca="1" si="373"/>
        <v>1</v>
      </c>
      <c r="L1859">
        <f t="shared" ca="1" si="374"/>
        <v>3980.25</v>
      </c>
      <c r="M1859">
        <f t="shared" ca="1" si="375"/>
        <v>1</v>
      </c>
      <c r="N1859">
        <f t="shared" ca="1" si="376"/>
        <v>0</v>
      </c>
    </row>
    <row r="1860" spans="1:14" x14ac:dyDescent="0.35">
      <c r="A1860" t="s">
        <v>1877</v>
      </c>
      <c r="B1860" t="str">
        <f t="shared" si="364"/>
        <v>Test</v>
      </c>
      <c r="C1860">
        <f t="shared" ca="1" si="365"/>
        <v>42</v>
      </c>
      <c r="D1860" t="str">
        <f t="shared" ca="1" si="366"/>
        <v>Male</v>
      </c>
      <c r="E1860" t="str">
        <f t="shared" ca="1" si="367"/>
        <v>Accessories</v>
      </c>
      <c r="F1860">
        <f t="shared" ca="1" si="368"/>
        <v>6303</v>
      </c>
      <c r="G1860">
        <f t="shared" ca="1" si="369"/>
        <v>20</v>
      </c>
      <c r="H1860">
        <f t="shared" ca="1" si="370"/>
        <v>5042.4000000000005</v>
      </c>
      <c r="I1860">
        <f t="shared" ca="1" si="371"/>
        <v>1</v>
      </c>
      <c r="J1860">
        <f t="shared" ca="1" si="372"/>
        <v>1</v>
      </c>
      <c r="K1860">
        <f t="shared" ca="1" si="373"/>
        <v>0</v>
      </c>
      <c r="L1860">
        <f t="shared" ca="1" si="374"/>
        <v>0</v>
      </c>
      <c r="M1860">
        <f t="shared" ca="1" si="375"/>
        <v>4</v>
      </c>
      <c r="N1860">
        <f t="shared" ca="1" si="376"/>
        <v>0</v>
      </c>
    </row>
    <row r="1861" spans="1:14" x14ac:dyDescent="0.35">
      <c r="A1861" t="s">
        <v>1878</v>
      </c>
      <c r="B1861" t="str">
        <f t="shared" ref="B1861:B1924" si="377">IF(ROW()&lt;=1001,"Control","Test")</f>
        <v>Test</v>
      </c>
      <c r="C1861">
        <f t="shared" ref="C1861:C1924" ca="1" si="378">RANDBETWEEN(18,45)</f>
        <v>28</v>
      </c>
      <c r="D1861" t="str">
        <f t="shared" ref="D1861:D1924" ca="1" si="379">CHOOSE(RANDBETWEEN(1,20),"Female","Female","Female","Female","Female","Female","Female","Female","Female","Female","Male","Male","Male","Male","Male","Male","Male","Male","Other","Other")</f>
        <v>Female</v>
      </c>
      <c r="E1861" t="str">
        <f t="shared" ref="E1861:E1924" ca="1" si="380">CHOOSE(RANDBETWEEN(1,8),"T-shirts","Dresses","Jeans","Shoes","Ethnic Wear","Tops","Sportswear","Accessories")</f>
        <v>Shoes</v>
      </c>
      <c r="F1861">
        <f t="shared" ref="F1861:F1924" ca="1" si="381">RANDBETWEEN(300,8000)</f>
        <v>6897</v>
      </c>
      <c r="G1861">
        <f t="shared" ref="G1861:G1924" ca="1" si="382">IF(B1861="Control",10,CHOOSE(RANDBETWEEN(1,3),15,20,25))</f>
        <v>20</v>
      </c>
      <c r="H1861">
        <f t="shared" ref="H1861:H1924" ca="1" si="383">F1861*(1-G1861/100)</f>
        <v>5517.6</v>
      </c>
      <c r="I1861">
        <f t="shared" ref="I1861:I1924" ca="1" si="384">IF(RAND()&lt;0.85,1,0)</f>
        <v>1</v>
      </c>
      <c r="J1861">
        <f t="shared" ref="J1861:J1924" ca="1" si="385">IF(I1861=1,IF(RAND()&lt;0.55,1,0),0)</f>
        <v>1</v>
      </c>
      <c r="K1861">
        <f t="shared" ref="K1861:K1924" ca="1" si="386">IF(J1861=1,IF(B1861="Test",IF(RAND()&lt;0.4,1,0),IF(RAND()&lt;0.34,1,0)),0)</f>
        <v>0</v>
      </c>
      <c r="L1861">
        <f t="shared" ref="L1861:L1924" ca="1" si="387">IF(K1861=1,H1861,0)</f>
        <v>0</v>
      </c>
      <c r="M1861">
        <f t="shared" ref="M1861:M1924" ca="1" si="388">RANDBETWEEN(1,7)</f>
        <v>7</v>
      </c>
      <c r="N1861">
        <f t="shared" ref="N1861:N1924" ca="1" si="389">IF(K1861=1,IF(RAND()&lt;0.15,1,0),0)</f>
        <v>0</v>
      </c>
    </row>
    <row r="1862" spans="1:14" x14ac:dyDescent="0.35">
      <c r="A1862" t="s">
        <v>1879</v>
      </c>
      <c r="B1862" t="str">
        <f t="shared" si="377"/>
        <v>Test</v>
      </c>
      <c r="C1862">
        <f t="shared" ca="1" si="378"/>
        <v>41</v>
      </c>
      <c r="D1862" t="str">
        <f t="shared" ca="1" si="379"/>
        <v>Female</v>
      </c>
      <c r="E1862" t="str">
        <f t="shared" ca="1" si="380"/>
        <v>Tops</v>
      </c>
      <c r="F1862">
        <f t="shared" ca="1" si="381"/>
        <v>1000</v>
      </c>
      <c r="G1862">
        <f t="shared" ca="1" si="382"/>
        <v>15</v>
      </c>
      <c r="H1862">
        <f t="shared" ca="1" si="383"/>
        <v>850</v>
      </c>
      <c r="I1862">
        <f t="shared" ca="1" si="384"/>
        <v>1</v>
      </c>
      <c r="J1862">
        <f t="shared" ca="1" si="385"/>
        <v>0</v>
      </c>
      <c r="K1862">
        <f t="shared" ca="1" si="386"/>
        <v>0</v>
      </c>
      <c r="L1862">
        <f t="shared" ca="1" si="387"/>
        <v>0</v>
      </c>
      <c r="M1862">
        <f t="shared" ca="1" si="388"/>
        <v>7</v>
      </c>
      <c r="N1862">
        <f t="shared" ca="1" si="389"/>
        <v>0</v>
      </c>
    </row>
    <row r="1863" spans="1:14" x14ac:dyDescent="0.35">
      <c r="A1863" t="s">
        <v>1880</v>
      </c>
      <c r="B1863" t="str">
        <f t="shared" si="377"/>
        <v>Test</v>
      </c>
      <c r="C1863">
        <f t="shared" ca="1" si="378"/>
        <v>30</v>
      </c>
      <c r="D1863" t="str">
        <f t="shared" ca="1" si="379"/>
        <v>Female</v>
      </c>
      <c r="E1863" t="str">
        <f t="shared" ca="1" si="380"/>
        <v>Jeans</v>
      </c>
      <c r="F1863">
        <f t="shared" ca="1" si="381"/>
        <v>4869</v>
      </c>
      <c r="G1863">
        <f t="shared" ca="1" si="382"/>
        <v>20</v>
      </c>
      <c r="H1863">
        <f t="shared" ca="1" si="383"/>
        <v>3895.2000000000003</v>
      </c>
      <c r="I1863">
        <f t="shared" ca="1" si="384"/>
        <v>1</v>
      </c>
      <c r="J1863">
        <f t="shared" ca="1" si="385"/>
        <v>0</v>
      </c>
      <c r="K1863">
        <f t="shared" ca="1" si="386"/>
        <v>0</v>
      </c>
      <c r="L1863">
        <f t="shared" ca="1" si="387"/>
        <v>0</v>
      </c>
      <c r="M1863">
        <f t="shared" ca="1" si="388"/>
        <v>5</v>
      </c>
      <c r="N1863">
        <f t="shared" ca="1" si="389"/>
        <v>0</v>
      </c>
    </row>
    <row r="1864" spans="1:14" x14ac:dyDescent="0.35">
      <c r="A1864" t="s">
        <v>1881</v>
      </c>
      <c r="B1864" t="str">
        <f t="shared" si="377"/>
        <v>Test</v>
      </c>
      <c r="C1864">
        <f t="shared" ca="1" si="378"/>
        <v>25</v>
      </c>
      <c r="D1864" t="str">
        <f t="shared" ca="1" si="379"/>
        <v>Female</v>
      </c>
      <c r="E1864" t="str">
        <f t="shared" ca="1" si="380"/>
        <v>Dresses</v>
      </c>
      <c r="F1864">
        <f t="shared" ca="1" si="381"/>
        <v>5000</v>
      </c>
      <c r="G1864">
        <f t="shared" ca="1" si="382"/>
        <v>25</v>
      </c>
      <c r="H1864">
        <f t="shared" ca="1" si="383"/>
        <v>3750</v>
      </c>
      <c r="I1864">
        <f t="shared" ca="1" si="384"/>
        <v>0</v>
      </c>
      <c r="J1864">
        <f t="shared" ca="1" si="385"/>
        <v>0</v>
      </c>
      <c r="K1864">
        <f t="shared" ca="1" si="386"/>
        <v>0</v>
      </c>
      <c r="L1864">
        <f t="shared" ca="1" si="387"/>
        <v>0</v>
      </c>
      <c r="M1864">
        <f t="shared" ca="1" si="388"/>
        <v>2</v>
      </c>
      <c r="N1864">
        <f t="shared" ca="1" si="389"/>
        <v>0</v>
      </c>
    </row>
    <row r="1865" spans="1:14" x14ac:dyDescent="0.35">
      <c r="A1865" t="s">
        <v>1882</v>
      </c>
      <c r="B1865" t="str">
        <f t="shared" si="377"/>
        <v>Test</v>
      </c>
      <c r="C1865">
        <f t="shared" ca="1" si="378"/>
        <v>35</v>
      </c>
      <c r="D1865" t="str">
        <f t="shared" ca="1" si="379"/>
        <v>Female</v>
      </c>
      <c r="E1865" t="str">
        <f t="shared" ca="1" si="380"/>
        <v>Jeans</v>
      </c>
      <c r="F1865">
        <f t="shared" ca="1" si="381"/>
        <v>6022</v>
      </c>
      <c r="G1865">
        <f t="shared" ca="1" si="382"/>
        <v>20</v>
      </c>
      <c r="H1865">
        <f t="shared" ca="1" si="383"/>
        <v>4817.6000000000004</v>
      </c>
      <c r="I1865">
        <f t="shared" ca="1" si="384"/>
        <v>1</v>
      </c>
      <c r="J1865">
        <f t="shared" ca="1" si="385"/>
        <v>1</v>
      </c>
      <c r="K1865">
        <f t="shared" ca="1" si="386"/>
        <v>1</v>
      </c>
      <c r="L1865">
        <f t="shared" ca="1" si="387"/>
        <v>4817.6000000000004</v>
      </c>
      <c r="M1865">
        <f t="shared" ca="1" si="388"/>
        <v>7</v>
      </c>
      <c r="N1865">
        <f t="shared" ca="1" si="389"/>
        <v>0</v>
      </c>
    </row>
    <row r="1866" spans="1:14" x14ac:dyDescent="0.35">
      <c r="A1866" t="s">
        <v>1883</v>
      </c>
      <c r="B1866" t="str">
        <f t="shared" si="377"/>
        <v>Test</v>
      </c>
      <c r="C1866">
        <f t="shared" ca="1" si="378"/>
        <v>27</v>
      </c>
      <c r="D1866" t="str">
        <f t="shared" ca="1" si="379"/>
        <v>Male</v>
      </c>
      <c r="E1866" t="str">
        <f t="shared" ca="1" si="380"/>
        <v>Ethnic Wear</v>
      </c>
      <c r="F1866">
        <f t="shared" ca="1" si="381"/>
        <v>4145</v>
      </c>
      <c r="G1866">
        <f t="shared" ca="1" si="382"/>
        <v>15</v>
      </c>
      <c r="H1866">
        <f t="shared" ca="1" si="383"/>
        <v>3523.25</v>
      </c>
      <c r="I1866">
        <f t="shared" ca="1" si="384"/>
        <v>1</v>
      </c>
      <c r="J1866">
        <f t="shared" ca="1" si="385"/>
        <v>0</v>
      </c>
      <c r="K1866">
        <f t="shared" ca="1" si="386"/>
        <v>0</v>
      </c>
      <c r="L1866">
        <f t="shared" ca="1" si="387"/>
        <v>0</v>
      </c>
      <c r="M1866">
        <f t="shared" ca="1" si="388"/>
        <v>1</v>
      </c>
      <c r="N1866">
        <f t="shared" ca="1" si="389"/>
        <v>0</v>
      </c>
    </row>
    <row r="1867" spans="1:14" x14ac:dyDescent="0.35">
      <c r="A1867" t="s">
        <v>1884</v>
      </c>
      <c r="B1867" t="str">
        <f t="shared" si="377"/>
        <v>Test</v>
      </c>
      <c r="C1867">
        <f t="shared" ca="1" si="378"/>
        <v>33</v>
      </c>
      <c r="D1867" t="str">
        <f t="shared" ca="1" si="379"/>
        <v>Female</v>
      </c>
      <c r="E1867" t="str">
        <f t="shared" ca="1" si="380"/>
        <v>Tops</v>
      </c>
      <c r="F1867">
        <f t="shared" ca="1" si="381"/>
        <v>5055</v>
      </c>
      <c r="G1867">
        <f t="shared" ca="1" si="382"/>
        <v>20</v>
      </c>
      <c r="H1867">
        <f t="shared" ca="1" si="383"/>
        <v>4044</v>
      </c>
      <c r="I1867">
        <f t="shared" ca="1" si="384"/>
        <v>1</v>
      </c>
      <c r="J1867">
        <f t="shared" ca="1" si="385"/>
        <v>0</v>
      </c>
      <c r="K1867">
        <f t="shared" ca="1" si="386"/>
        <v>0</v>
      </c>
      <c r="L1867">
        <f t="shared" ca="1" si="387"/>
        <v>0</v>
      </c>
      <c r="M1867">
        <f t="shared" ca="1" si="388"/>
        <v>4</v>
      </c>
      <c r="N1867">
        <f t="shared" ca="1" si="389"/>
        <v>0</v>
      </c>
    </row>
    <row r="1868" spans="1:14" x14ac:dyDescent="0.35">
      <c r="A1868" t="s">
        <v>1885</v>
      </c>
      <c r="B1868" t="str">
        <f t="shared" si="377"/>
        <v>Test</v>
      </c>
      <c r="C1868">
        <f t="shared" ca="1" si="378"/>
        <v>35</v>
      </c>
      <c r="D1868" t="str">
        <f t="shared" ca="1" si="379"/>
        <v>Female</v>
      </c>
      <c r="E1868" t="str">
        <f t="shared" ca="1" si="380"/>
        <v>Accessories</v>
      </c>
      <c r="F1868">
        <f t="shared" ca="1" si="381"/>
        <v>6326</v>
      </c>
      <c r="G1868">
        <f t="shared" ca="1" si="382"/>
        <v>15</v>
      </c>
      <c r="H1868">
        <f t="shared" ca="1" si="383"/>
        <v>5377.0999999999995</v>
      </c>
      <c r="I1868">
        <f t="shared" ca="1" si="384"/>
        <v>0</v>
      </c>
      <c r="J1868">
        <f t="shared" ca="1" si="385"/>
        <v>0</v>
      </c>
      <c r="K1868">
        <f t="shared" ca="1" si="386"/>
        <v>0</v>
      </c>
      <c r="L1868">
        <f t="shared" ca="1" si="387"/>
        <v>0</v>
      </c>
      <c r="M1868">
        <f t="shared" ca="1" si="388"/>
        <v>6</v>
      </c>
      <c r="N1868">
        <f t="shared" ca="1" si="389"/>
        <v>0</v>
      </c>
    </row>
    <row r="1869" spans="1:14" x14ac:dyDescent="0.35">
      <c r="A1869" t="s">
        <v>1886</v>
      </c>
      <c r="B1869" t="str">
        <f t="shared" si="377"/>
        <v>Test</v>
      </c>
      <c r="C1869">
        <f t="shared" ca="1" si="378"/>
        <v>25</v>
      </c>
      <c r="D1869" t="str">
        <f t="shared" ca="1" si="379"/>
        <v>Female</v>
      </c>
      <c r="E1869" t="str">
        <f t="shared" ca="1" si="380"/>
        <v>T-shirts</v>
      </c>
      <c r="F1869">
        <f t="shared" ca="1" si="381"/>
        <v>4877</v>
      </c>
      <c r="G1869">
        <f t="shared" ca="1" si="382"/>
        <v>25</v>
      </c>
      <c r="H1869">
        <f t="shared" ca="1" si="383"/>
        <v>3657.75</v>
      </c>
      <c r="I1869">
        <f t="shared" ca="1" si="384"/>
        <v>0</v>
      </c>
      <c r="J1869">
        <f t="shared" ca="1" si="385"/>
        <v>0</v>
      </c>
      <c r="K1869">
        <f t="shared" ca="1" si="386"/>
        <v>0</v>
      </c>
      <c r="L1869">
        <f t="shared" ca="1" si="387"/>
        <v>0</v>
      </c>
      <c r="M1869">
        <f t="shared" ca="1" si="388"/>
        <v>6</v>
      </c>
      <c r="N1869">
        <f t="shared" ca="1" si="389"/>
        <v>0</v>
      </c>
    </row>
    <row r="1870" spans="1:14" x14ac:dyDescent="0.35">
      <c r="A1870" t="s">
        <v>1887</v>
      </c>
      <c r="B1870" t="str">
        <f t="shared" si="377"/>
        <v>Test</v>
      </c>
      <c r="C1870">
        <f t="shared" ca="1" si="378"/>
        <v>33</v>
      </c>
      <c r="D1870" t="str">
        <f t="shared" ca="1" si="379"/>
        <v>Female</v>
      </c>
      <c r="E1870" t="str">
        <f t="shared" ca="1" si="380"/>
        <v>T-shirts</v>
      </c>
      <c r="F1870">
        <f t="shared" ca="1" si="381"/>
        <v>7248</v>
      </c>
      <c r="G1870">
        <f t="shared" ca="1" si="382"/>
        <v>15</v>
      </c>
      <c r="H1870">
        <f t="shared" ca="1" si="383"/>
        <v>6160.8</v>
      </c>
      <c r="I1870">
        <f t="shared" ca="1" si="384"/>
        <v>1</v>
      </c>
      <c r="J1870">
        <f t="shared" ca="1" si="385"/>
        <v>1</v>
      </c>
      <c r="K1870">
        <f t="shared" ca="1" si="386"/>
        <v>0</v>
      </c>
      <c r="L1870">
        <f t="shared" ca="1" si="387"/>
        <v>0</v>
      </c>
      <c r="M1870">
        <f t="shared" ca="1" si="388"/>
        <v>2</v>
      </c>
      <c r="N1870">
        <f t="shared" ca="1" si="389"/>
        <v>0</v>
      </c>
    </row>
    <row r="1871" spans="1:14" x14ac:dyDescent="0.35">
      <c r="A1871" t="s">
        <v>1888</v>
      </c>
      <c r="B1871" t="str">
        <f t="shared" si="377"/>
        <v>Test</v>
      </c>
      <c r="C1871">
        <f t="shared" ca="1" si="378"/>
        <v>36</v>
      </c>
      <c r="D1871" t="str">
        <f t="shared" ca="1" si="379"/>
        <v>Male</v>
      </c>
      <c r="E1871" t="str">
        <f t="shared" ca="1" si="380"/>
        <v>Accessories</v>
      </c>
      <c r="F1871">
        <f t="shared" ca="1" si="381"/>
        <v>2357</v>
      </c>
      <c r="G1871">
        <f t="shared" ca="1" si="382"/>
        <v>25</v>
      </c>
      <c r="H1871">
        <f t="shared" ca="1" si="383"/>
        <v>1767.75</v>
      </c>
      <c r="I1871">
        <f t="shared" ca="1" si="384"/>
        <v>1</v>
      </c>
      <c r="J1871">
        <f t="shared" ca="1" si="385"/>
        <v>0</v>
      </c>
      <c r="K1871">
        <f t="shared" ca="1" si="386"/>
        <v>0</v>
      </c>
      <c r="L1871">
        <f t="shared" ca="1" si="387"/>
        <v>0</v>
      </c>
      <c r="M1871">
        <f t="shared" ca="1" si="388"/>
        <v>2</v>
      </c>
      <c r="N1871">
        <f t="shared" ca="1" si="389"/>
        <v>0</v>
      </c>
    </row>
    <row r="1872" spans="1:14" x14ac:dyDescent="0.35">
      <c r="A1872" t="s">
        <v>1889</v>
      </c>
      <c r="B1872" t="str">
        <f t="shared" si="377"/>
        <v>Test</v>
      </c>
      <c r="C1872">
        <f t="shared" ca="1" si="378"/>
        <v>40</v>
      </c>
      <c r="D1872" t="str">
        <f t="shared" ca="1" si="379"/>
        <v>Female</v>
      </c>
      <c r="E1872" t="str">
        <f t="shared" ca="1" si="380"/>
        <v>T-shirts</v>
      </c>
      <c r="F1872">
        <f t="shared" ca="1" si="381"/>
        <v>4639</v>
      </c>
      <c r="G1872">
        <f t="shared" ca="1" si="382"/>
        <v>25</v>
      </c>
      <c r="H1872">
        <f t="shared" ca="1" si="383"/>
        <v>3479.25</v>
      </c>
      <c r="I1872">
        <f t="shared" ca="1" si="384"/>
        <v>1</v>
      </c>
      <c r="J1872">
        <f t="shared" ca="1" si="385"/>
        <v>1</v>
      </c>
      <c r="K1872">
        <f t="shared" ca="1" si="386"/>
        <v>1</v>
      </c>
      <c r="L1872">
        <f t="shared" ca="1" si="387"/>
        <v>3479.25</v>
      </c>
      <c r="M1872">
        <f t="shared" ca="1" si="388"/>
        <v>7</v>
      </c>
      <c r="N1872">
        <f t="shared" ca="1" si="389"/>
        <v>0</v>
      </c>
    </row>
    <row r="1873" spans="1:14" x14ac:dyDescent="0.35">
      <c r="A1873" t="s">
        <v>1890</v>
      </c>
      <c r="B1873" t="str">
        <f t="shared" si="377"/>
        <v>Test</v>
      </c>
      <c r="C1873">
        <f t="shared" ca="1" si="378"/>
        <v>25</v>
      </c>
      <c r="D1873" t="str">
        <f t="shared" ca="1" si="379"/>
        <v>Other</v>
      </c>
      <c r="E1873" t="str">
        <f t="shared" ca="1" si="380"/>
        <v>Tops</v>
      </c>
      <c r="F1873">
        <f t="shared" ca="1" si="381"/>
        <v>1343</v>
      </c>
      <c r="G1873">
        <f t="shared" ca="1" si="382"/>
        <v>20</v>
      </c>
      <c r="H1873">
        <f t="shared" ca="1" si="383"/>
        <v>1074.4000000000001</v>
      </c>
      <c r="I1873">
        <f t="shared" ca="1" si="384"/>
        <v>1</v>
      </c>
      <c r="J1873">
        <f t="shared" ca="1" si="385"/>
        <v>1</v>
      </c>
      <c r="K1873">
        <f t="shared" ca="1" si="386"/>
        <v>1</v>
      </c>
      <c r="L1873">
        <f t="shared" ca="1" si="387"/>
        <v>1074.4000000000001</v>
      </c>
      <c r="M1873">
        <f t="shared" ca="1" si="388"/>
        <v>4</v>
      </c>
      <c r="N1873">
        <f t="shared" ca="1" si="389"/>
        <v>0</v>
      </c>
    </row>
    <row r="1874" spans="1:14" x14ac:dyDescent="0.35">
      <c r="A1874" t="s">
        <v>1891</v>
      </c>
      <c r="B1874" t="str">
        <f t="shared" si="377"/>
        <v>Test</v>
      </c>
      <c r="C1874">
        <f t="shared" ca="1" si="378"/>
        <v>22</v>
      </c>
      <c r="D1874" t="str">
        <f t="shared" ca="1" si="379"/>
        <v>Female</v>
      </c>
      <c r="E1874" t="str">
        <f t="shared" ca="1" si="380"/>
        <v>T-shirts</v>
      </c>
      <c r="F1874">
        <f t="shared" ca="1" si="381"/>
        <v>6164</v>
      </c>
      <c r="G1874">
        <f t="shared" ca="1" si="382"/>
        <v>25</v>
      </c>
      <c r="H1874">
        <f t="shared" ca="1" si="383"/>
        <v>4623</v>
      </c>
      <c r="I1874">
        <f t="shared" ca="1" si="384"/>
        <v>1</v>
      </c>
      <c r="J1874">
        <f t="shared" ca="1" si="385"/>
        <v>1</v>
      </c>
      <c r="K1874">
        <f t="shared" ca="1" si="386"/>
        <v>1</v>
      </c>
      <c r="L1874">
        <f t="shared" ca="1" si="387"/>
        <v>4623</v>
      </c>
      <c r="M1874">
        <f t="shared" ca="1" si="388"/>
        <v>1</v>
      </c>
      <c r="N1874">
        <f t="shared" ca="1" si="389"/>
        <v>0</v>
      </c>
    </row>
    <row r="1875" spans="1:14" x14ac:dyDescent="0.35">
      <c r="A1875" t="s">
        <v>1892</v>
      </c>
      <c r="B1875" t="str">
        <f t="shared" si="377"/>
        <v>Test</v>
      </c>
      <c r="C1875">
        <f t="shared" ca="1" si="378"/>
        <v>27</v>
      </c>
      <c r="D1875" t="str">
        <f t="shared" ca="1" si="379"/>
        <v>Male</v>
      </c>
      <c r="E1875" t="str">
        <f t="shared" ca="1" si="380"/>
        <v>Tops</v>
      </c>
      <c r="F1875">
        <f t="shared" ca="1" si="381"/>
        <v>2275</v>
      </c>
      <c r="G1875">
        <f t="shared" ca="1" si="382"/>
        <v>25</v>
      </c>
      <c r="H1875">
        <f t="shared" ca="1" si="383"/>
        <v>1706.25</v>
      </c>
      <c r="I1875">
        <f t="shared" ca="1" si="384"/>
        <v>0</v>
      </c>
      <c r="J1875">
        <f t="shared" ca="1" si="385"/>
        <v>0</v>
      </c>
      <c r="K1875">
        <f t="shared" ca="1" si="386"/>
        <v>0</v>
      </c>
      <c r="L1875">
        <f t="shared" ca="1" si="387"/>
        <v>0</v>
      </c>
      <c r="M1875">
        <f t="shared" ca="1" si="388"/>
        <v>6</v>
      </c>
      <c r="N1875">
        <f t="shared" ca="1" si="389"/>
        <v>0</v>
      </c>
    </row>
    <row r="1876" spans="1:14" x14ac:dyDescent="0.35">
      <c r="A1876" t="s">
        <v>1893</v>
      </c>
      <c r="B1876" t="str">
        <f t="shared" si="377"/>
        <v>Test</v>
      </c>
      <c r="C1876">
        <f t="shared" ca="1" si="378"/>
        <v>29</v>
      </c>
      <c r="D1876" t="str">
        <f t="shared" ca="1" si="379"/>
        <v>Female</v>
      </c>
      <c r="E1876" t="str">
        <f t="shared" ca="1" si="380"/>
        <v>Dresses</v>
      </c>
      <c r="F1876">
        <f t="shared" ca="1" si="381"/>
        <v>7351</v>
      </c>
      <c r="G1876">
        <f t="shared" ca="1" si="382"/>
        <v>20</v>
      </c>
      <c r="H1876">
        <f t="shared" ca="1" si="383"/>
        <v>5880.8</v>
      </c>
      <c r="I1876">
        <f t="shared" ca="1" si="384"/>
        <v>1</v>
      </c>
      <c r="J1876">
        <f t="shared" ca="1" si="385"/>
        <v>0</v>
      </c>
      <c r="K1876">
        <f t="shared" ca="1" si="386"/>
        <v>0</v>
      </c>
      <c r="L1876">
        <f t="shared" ca="1" si="387"/>
        <v>0</v>
      </c>
      <c r="M1876">
        <f t="shared" ca="1" si="388"/>
        <v>4</v>
      </c>
      <c r="N1876">
        <f t="shared" ca="1" si="389"/>
        <v>0</v>
      </c>
    </row>
    <row r="1877" spans="1:14" x14ac:dyDescent="0.35">
      <c r="A1877" t="s">
        <v>1894</v>
      </c>
      <c r="B1877" t="str">
        <f t="shared" si="377"/>
        <v>Test</v>
      </c>
      <c r="C1877">
        <f t="shared" ca="1" si="378"/>
        <v>44</v>
      </c>
      <c r="D1877" t="str">
        <f t="shared" ca="1" si="379"/>
        <v>Male</v>
      </c>
      <c r="E1877" t="str">
        <f t="shared" ca="1" si="380"/>
        <v>Dresses</v>
      </c>
      <c r="F1877">
        <f t="shared" ca="1" si="381"/>
        <v>2553</v>
      </c>
      <c r="G1877">
        <f t="shared" ca="1" si="382"/>
        <v>20</v>
      </c>
      <c r="H1877">
        <f t="shared" ca="1" si="383"/>
        <v>2042.4</v>
      </c>
      <c r="I1877">
        <f t="shared" ca="1" si="384"/>
        <v>0</v>
      </c>
      <c r="J1877">
        <f t="shared" ca="1" si="385"/>
        <v>0</v>
      </c>
      <c r="K1877">
        <f t="shared" ca="1" si="386"/>
        <v>0</v>
      </c>
      <c r="L1877">
        <f t="shared" ca="1" si="387"/>
        <v>0</v>
      </c>
      <c r="M1877">
        <f t="shared" ca="1" si="388"/>
        <v>2</v>
      </c>
      <c r="N1877">
        <f t="shared" ca="1" si="389"/>
        <v>0</v>
      </c>
    </row>
    <row r="1878" spans="1:14" x14ac:dyDescent="0.35">
      <c r="A1878" t="s">
        <v>1895</v>
      </c>
      <c r="B1878" t="str">
        <f t="shared" si="377"/>
        <v>Test</v>
      </c>
      <c r="C1878">
        <f t="shared" ca="1" si="378"/>
        <v>18</v>
      </c>
      <c r="D1878" t="str">
        <f t="shared" ca="1" si="379"/>
        <v>Male</v>
      </c>
      <c r="E1878" t="str">
        <f t="shared" ca="1" si="380"/>
        <v>Ethnic Wear</v>
      </c>
      <c r="F1878">
        <f t="shared" ca="1" si="381"/>
        <v>526</v>
      </c>
      <c r="G1878">
        <f t="shared" ca="1" si="382"/>
        <v>15</v>
      </c>
      <c r="H1878">
        <f t="shared" ca="1" si="383"/>
        <v>447.09999999999997</v>
      </c>
      <c r="I1878">
        <f t="shared" ca="1" si="384"/>
        <v>1</v>
      </c>
      <c r="J1878">
        <f t="shared" ca="1" si="385"/>
        <v>1</v>
      </c>
      <c r="K1878">
        <f t="shared" ca="1" si="386"/>
        <v>1</v>
      </c>
      <c r="L1878">
        <f t="shared" ca="1" si="387"/>
        <v>447.09999999999997</v>
      </c>
      <c r="M1878">
        <f t="shared" ca="1" si="388"/>
        <v>5</v>
      </c>
      <c r="N1878">
        <f t="shared" ca="1" si="389"/>
        <v>0</v>
      </c>
    </row>
    <row r="1879" spans="1:14" x14ac:dyDescent="0.35">
      <c r="A1879" t="s">
        <v>1896</v>
      </c>
      <c r="B1879" t="str">
        <f t="shared" si="377"/>
        <v>Test</v>
      </c>
      <c r="C1879">
        <f t="shared" ca="1" si="378"/>
        <v>33</v>
      </c>
      <c r="D1879" t="str">
        <f t="shared" ca="1" si="379"/>
        <v>Other</v>
      </c>
      <c r="E1879" t="str">
        <f t="shared" ca="1" si="380"/>
        <v>Ethnic Wear</v>
      </c>
      <c r="F1879">
        <f t="shared" ca="1" si="381"/>
        <v>790</v>
      </c>
      <c r="G1879">
        <f t="shared" ca="1" si="382"/>
        <v>25</v>
      </c>
      <c r="H1879">
        <f t="shared" ca="1" si="383"/>
        <v>592.5</v>
      </c>
      <c r="I1879">
        <f t="shared" ca="1" si="384"/>
        <v>1</v>
      </c>
      <c r="J1879">
        <f t="shared" ca="1" si="385"/>
        <v>0</v>
      </c>
      <c r="K1879">
        <f t="shared" ca="1" si="386"/>
        <v>0</v>
      </c>
      <c r="L1879">
        <f t="shared" ca="1" si="387"/>
        <v>0</v>
      </c>
      <c r="M1879">
        <f t="shared" ca="1" si="388"/>
        <v>1</v>
      </c>
      <c r="N1879">
        <f t="shared" ca="1" si="389"/>
        <v>0</v>
      </c>
    </row>
    <row r="1880" spans="1:14" x14ac:dyDescent="0.35">
      <c r="A1880" t="s">
        <v>1897</v>
      </c>
      <c r="B1880" t="str">
        <f t="shared" si="377"/>
        <v>Test</v>
      </c>
      <c r="C1880">
        <f t="shared" ca="1" si="378"/>
        <v>44</v>
      </c>
      <c r="D1880" t="str">
        <f t="shared" ca="1" si="379"/>
        <v>Female</v>
      </c>
      <c r="E1880" t="str">
        <f t="shared" ca="1" si="380"/>
        <v>Shoes</v>
      </c>
      <c r="F1880">
        <f t="shared" ca="1" si="381"/>
        <v>5246</v>
      </c>
      <c r="G1880">
        <f t="shared" ca="1" si="382"/>
        <v>15</v>
      </c>
      <c r="H1880">
        <f t="shared" ca="1" si="383"/>
        <v>4459.0999999999995</v>
      </c>
      <c r="I1880">
        <f t="shared" ca="1" si="384"/>
        <v>1</v>
      </c>
      <c r="J1880">
        <f t="shared" ca="1" si="385"/>
        <v>1</v>
      </c>
      <c r="K1880">
        <f t="shared" ca="1" si="386"/>
        <v>1</v>
      </c>
      <c r="L1880">
        <f t="shared" ca="1" si="387"/>
        <v>4459.0999999999995</v>
      </c>
      <c r="M1880">
        <f t="shared" ca="1" si="388"/>
        <v>3</v>
      </c>
      <c r="N1880">
        <f t="shared" ca="1" si="389"/>
        <v>0</v>
      </c>
    </row>
    <row r="1881" spans="1:14" x14ac:dyDescent="0.35">
      <c r="A1881" t="s">
        <v>1898</v>
      </c>
      <c r="B1881" t="str">
        <f t="shared" si="377"/>
        <v>Test</v>
      </c>
      <c r="C1881">
        <f t="shared" ca="1" si="378"/>
        <v>40</v>
      </c>
      <c r="D1881" t="str">
        <f t="shared" ca="1" si="379"/>
        <v>Other</v>
      </c>
      <c r="E1881" t="str">
        <f t="shared" ca="1" si="380"/>
        <v>Jeans</v>
      </c>
      <c r="F1881">
        <f t="shared" ca="1" si="381"/>
        <v>4270</v>
      </c>
      <c r="G1881">
        <f t="shared" ca="1" si="382"/>
        <v>15</v>
      </c>
      <c r="H1881">
        <f t="shared" ca="1" si="383"/>
        <v>3629.5</v>
      </c>
      <c r="I1881">
        <f t="shared" ca="1" si="384"/>
        <v>1</v>
      </c>
      <c r="J1881">
        <f t="shared" ca="1" si="385"/>
        <v>0</v>
      </c>
      <c r="K1881">
        <f t="shared" ca="1" si="386"/>
        <v>0</v>
      </c>
      <c r="L1881">
        <f t="shared" ca="1" si="387"/>
        <v>0</v>
      </c>
      <c r="M1881">
        <f t="shared" ca="1" si="388"/>
        <v>7</v>
      </c>
      <c r="N1881">
        <f t="shared" ca="1" si="389"/>
        <v>0</v>
      </c>
    </row>
    <row r="1882" spans="1:14" x14ac:dyDescent="0.35">
      <c r="A1882" t="s">
        <v>1899</v>
      </c>
      <c r="B1882" t="str">
        <f t="shared" si="377"/>
        <v>Test</v>
      </c>
      <c r="C1882">
        <f t="shared" ca="1" si="378"/>
        <v>43</v>
      </c>
      <c r="D1882" t="str">
        <f t="shared" ca="1" si="379"/>
        <v>Male</v>
      </c>
      <c r="E1882" t="str">
        <f t="shared" ca="1" si="380"/>
        <v>Ethnic Wear</v>
      </c>
      <c r="F1882">
        <f t="shared" ca="1" si="381"/>
        <v>2702</v>
      </c>
      <c r="G1882">
        <f t="shared" ca="1" si="382"/>
        <v>20</v>
      </c>
      <c r="H1882">
        <f t="shared" ca="1" si="383"/>
        <v>2161.6</v>
      </c>
      <c r="I1882">
        <f t="shared" ca="1" si="384"/>
        <v>1</v>
      </c>
      <c r="J1882">
        <f t="shared" ca="1" si="385"/>
        <v>1</v>
      </c>
      <c r="K1882">
        <f t="shared" ca="1" si="386"/>
        <v>1</v>
      </c>
      <c r="L1882">
        <f t="shared" ca="1" si="387"/>
        <v>2161.6</v>
      </c>
      <c r="M1882">
        <f t="shared" ca="1" si="388"/>
        <v>7</v>
      </c>
      <c r="N1882">
        <f t="shared" ca="1" si="389"/>
        <v>0</v>
      </c>
    </row>
    <row r="1883" spans="1:14" x14ac:dyDescent="0.35">
      <c r="A1883" t="s">
        <v>1900</v>
      </c>
      <c r="B1883" t="str">
        <f t="shared" si="377"/>
        <v>Test</v>
      </c>
      <c r="C1883">
        <f t="shared" ca="1" si="378"/>
        <v>23</v>
      </c>
      <c r="D1883" t="str">
        <f t="shared" ca="1" si="379"/>
        <v>Male</v>
      </c>
      <c r="E1883" t="str">
        <f t="shared" ca="1" si="380"/>
        <v>Shoes</v>
      </c>
      <c r="F1883">
        <f t="shared" ca="1" si="381"/>
        <v>3209</v>
      </c>
      <c r="G1883">
        <f t="shared" ca="1" si="382"/>
        <v>20</v>
      </c>
      <c r="H1883">
        <f t="shared" ca="1" si="383"/>
        <v>2567.2000000000003</v>
      </c>
      <c r="I1883">
        <f t="shared" ca="1" si="384"/>
        <v>1</v>
      </c>
      <c r="J1883">
        <f t="shared" ca="1" si="385"/>
        <v>1</v>
      </c>
      <c r="K1883">
        <f t="shared" ca="1" si="386"/>
        <v>1</v>
      </c>
      <c r="L1883">
        <f t="shared" ca="1" si="387"/>
        <v>2567.2000000000003</v>
      </c>
      <c r="M1883">
        <f t="shared" ca="1" si="388"/>
        <v>3</v>
      </c>
      <c r="N1883">
        <f t="shared" ca="1" si="389"/>
        <v>0</v>
      </c>
    </row>
    <row r="1884" spans="1:14" x14ac:dyDescent="0.35">
      <c r="A1884" t="s">
        <v>1901</v>
      </c>
      <c r="B1884" t="str">
        <f t="shared" si="377"/>
        <v>Test</v>
      </c>
      <c r="C1884">
        <f t="shared" ca="1" si="378"/>
        <v>45</v>
      </c>
      <c r="D1884" t="str">
        <f t="shared" ca="1" si="379"/>
        <v>Female</v>
      </c>
      <c r="E1884" t="str">
        <f t="shared" ca="1" si="380"/>
        <v>T-shirts</v>
      </c>
      <c r="F1884">
        <f t="shared" ca="1" si="381"/>
        <v>3099</v>
      </c>
      <c r="G1884">
        <f t="shared" ca="1" si="382"/>
        <v>25</v>
      </c>
      <c r="H1884">
        <f t="shared" ca="1" si="383"/>
        <v>2324.25</v>
      </c>
      <c r="I1884">
        <f t="shared" ca="1" si="384"/>
        <v>1</v>
      </c>
      <c r="J1884">
        <f t="shared" ca="1" si="385"/>
        <v>0</v>
      </c>
      <c r="K1884">
        <f t="shared" ca="1" si="386"/>
        <v>0</v>
      </c>
      <c r="L1884">
        <f t="shared" ca="1" si="387"/>
        <v>0</v>
      </c>
      <c r="M1884">
        <f t="shared" ca="1" si="388"/>
        <v>6</v>
      </c>
      <c r="N1884">
        <f t="shared" ca="1" si="389"/>
        <v>0</v>
      </c>
    </row>
    <row r="1885" spans="1:14" x14ac:dyDescent="0.35">
      <c r="A1885" t="s">
        <v>1902</v>
      </c>
      <c r="B1885" t="str">
        <f t="shared" si="377"/>
        <v>Test</v>
      </c>
      <c r="C1885">
        <f t="shared" ca="1" si="378"/>
        <v>24</v>
      </c>
      <c r="D1885" t="str">
        <f t="shared" ca="1" si="379"/>
        <v>Male</v>
      </c>
      <c r="E1885" t="str">
        <f t="shared" ca="1" si="380"/>
        <v>Shoes</v>
      </c>
      <c r="F1885">
        <f t="shared" ca="1" si="381"/>
        <v>4906</v>
      </c>
      <c r="G1885">
        <f t="shared" ca="1" si="382"/>
        <v>20</v>
      </c>
      <c r="H1885">
        <f t="shared" ca="1" si="383"/>
        <v>3924.8</v>
      </c>
      <c r="I1885">
        <f t="shared" ca="1" si="384"/>
        <v>0</v>
      </c>
      <c r="J1885">
        <f t="shared" ca="1" si="385"/>
        <v>0</v>
      </c>
      <c r="K1885">
        <f t="shared" ca="1" si="386"/>
        <v>0</v>
      </c>
      <c r="L1885">
        <f t="shared" ca="1" si="387"/>
        <v>0</v>
      </c>
      <c r="M1885">
        <f t="shared" ca="1" si="388"/>
        <v>5</v>
      </c>
      <c r="N1885">
        <f t="shared" ca="1" si="389"/>
        <v>0</v>
      </c>
    </row>
    <row r="1886" spans="1:14" x14ac:dyDescent="0.35">
      <c r="A1886" t="s">
        <v>1903</v>
      </c>
      <c r="B1886" t="str">
        <f t="shared" si="377"/>
        <v>Test</v>
      </c>
      <c r="C1886">
        <f t="shared" ca="1" si="378"/>
        <v>34</v>
      </c>
      <c r="D1886" t="str">
        <f t="shared" ca="1" si="379"/>
        <v>Male</v>
      </c>
      <c r="E1886" t="str">
        <f t="shared" ca="1" si="380"/>
        <v>Dresses</v>
      </c>
      <c r="F1886">
        <f t="shared" ca="1" si="381"/>
        <v>6528</v>
      </c>
      <c r="G1886">
        <f t="shared" ca="1" si="382"/>
        <v>15</v>
      </c>
      <c r="H1886">
        <f t="shared" ca="1" si="383"/>
        <v>5548.8</v>
      </c>
      <c r="I1886">
        <f t="shared" ca="1" si="384"/>
        <v>1</v>
      </c>
      <c r="J1886">
        <f t="shared" ca="1" si="385"/>
        <v>1</v>
      </c>
      <c r="K1886">
        <f t="shared" ca="1" si="386"/>
        <v>1</v>
      </c>
      <c r="L1886">
        <f t="shared" ca="1" si="387"/>
        <v>5548.8</v>
      </c>
      <c r="M1886">
        <f t="shared" ca="1" si="388"/>
        <v>5</v>
      </c>
      <c r="N1886">
        <f t="shared" ca="1" si="389"/>
        <v>0</v>
      </c>
    </row>
    <row r="1887" spans="1:14" x14ac:dyDescent="0.35">
      <c r="A1887" t="s">
        <v>1904</v>
      </c>
      <c r="B1887" t="str">
        <f t="shared" si="377"/>
        <v>Test</v>
      </c>
      <c r="C1887">
        <f t="shared" ca="1" si="378"/>
        <v>18</v>
      </c>
      <c r="D1887" t="str">
        <f t="shared" ca="1" si="379"/>
        <v>Male</v>
      </c>
      <c r="E1887" t="str">
        <f t="shared" ca="1" si="380"/>
        <v>Accessories</v>
      </c>
      <c r="F1887">
        <f t="shared" ca="1" si="381"/>
        <v>1167</v>
      </c>
      <c r="G1887">
        <f t="shared" ca="1" si="382"/>
        <v>20</v>
      </c>
      <c r="H1887">
        <f t="shared" ca="1" si="383"/>
        <v>933.6</v>
      </c>
      <c r="I1887">
        <f t="shared" ca="1" si="384"/>
        <v>1</v>
      </c>
      <c r="J1887">
        <f t="shared" ca="1" si="385"/>
        <v>0</v>
      </c>
      <c r="K1887">
        <f t="shared" ca="1" si="386"/>
        <v>0</v>
      </c>
      <c r="L1887">
        <f t="shared" ca="1" si="387"/>
        <v>0</v>
      </c>
      <c r="M1887">
        <f t="shared" ca="1" si="388"/>
        <v>6</v>
      </c>
      <c r="N1887">
        <f t="shared" ca="1" si="389"/>
        <v>0</v>
      </c>
    </row>
    <row r="1888" spans="1:14" x14ac:dyDescent="0.35">
      <c r="A1888" t="s">
        <v>1905</v>
      </c>
      <c r="B1888" t="str">
        <f t="shared" si="377"/>
        <v>Test</v>
      </c>
      <c r="C1888">
        <f t="shared" ca="1" si="378"/>
        <v>40</v>
      </c>
      <c r="D1888" t="str">
        <f t="shared" ca="1" si="379"/>
        <v>Male</v>
      </c>
      <c r="E1888" t="str">
        <f t="shared" ca="1" si="380"/>
        <v>Ethnic Wear</v>
      </c>
      <c r="F1888">
        <f t="shared" ca="1" si="381"/>
        <v>3554</v>
      </c>
      <c r="G1888">
        <f t="shared" ca="1" si="382"/>
        <v>25</v>
      </c>
      <c r="H1888">
        <f t="shared" ca="1" si="383"/>
        <v>2665.5</v>
      </c>
      <c r="I1888">
        <f t="shared" ca="1" si="384"/>
        <v>0</v>
      </c>
      <c r="J1888">
        <f t="shared" ca="1" si="385"/>
        <v>0</v>
      </c>
      <c r="K1888">
        <f t="shared" ca="1" si="386"/>
        <v>0</v>
      </c>
      <c r="L1888">
        <f t="shared" ca="1" si="387"/>
        <v>0</v>
      </c>
      <c r="M1888">
        <f t="shared" ca="1" si="388"/>
        <v>4</v>
      </c>
      <c r="N1888">
        <f t="shared" ca="1" si="389"/>
        <v>0</v>
      </c>
    </row>
    <row r="1889" spans="1:14" x14ac:dyDescent="0.35">
      <c r="A1889" t="s">
        <v>1906</v>
      </c>
      <c r="B1889" t="str">
        <f t="shared" si="377"/>
        <v>Test</v>
      </c>
      <c r="C1889">
        <f t="shared" ca="1" si="378"/>
        <v>24</v>
      </c>
      <c r="D1889" t="str">
        <f t="shared" ca="1" si="379"/>
        <v>Other</v>
      </c>
      <c r="E1889" t="str">
        <f t="shared" ca="1" si="380"/>
        <v>Accessories</v>
      </c>
      <c r="F1889">
        <f t="shared" ca="1" si="381"/>
        <v>4684</v>
      </c>
      <c r="G1889">
        <f t="shared" ca="1" si="382"/>
        <v>25</v>
      </c>
      <c r="H1889">
        <f t="shared" ca="1" si="383"/>
        <v>3513</v>
      </c>
      <c r="I1889">
        <f t="shared" ca="1" si="384"/>
        <v>1</v>
      </c>
      <c r="J1889">
        <f t="shared" ca="1" si="385"/>
        <v>0</v>
      </c>
      <c r="K1889">
        <f t="shared" ca="1" si="386"/>
        <v>0</v>
      </c>
      <c r="L1889">
        <f t="shared" ca="1" si="387"/>
        <v>0</v>
      </c>
      <c r="M1889">
        <f t="shared" ca="1" si="388"/>
        <v>6</v>
      </c>
      <c r="N1889">
        <f t="shared" ca="1" si="389"/>
        <v>0</v>
      </c>
    </row>
    <row r="1890" spans="1:14" x14ac:dyDescent="0.35">
      <c r="A1890" t="s">
        <v>1907</v>
      </c>
      <c r="B1890" t="str">
        <f t="shared" si="377"/>
        <v>Test</v>
      </c>
      <c r="C1890">
        <f t="shared" ca="1" si="378"/>
        <v>43</v>
      </c>
      <c r="D1890" t="str">
        <f t="shared" ca="1" si="379"/>
        <v>Female</v>
      </c>
      <c r="E1890" t="str">
        <f t="shared" ca="1" si="380"/>
        <v>T-shirts</v>
      </c>
      <c r="F1890">
        <f t="shared" ca="1" si="381"/>
        <v>6075</v>
      </c>
      <c r="G1890">
        <f t="shared" ca="1" si="382"/>
        <v>25</v>
      </c>
      <c r="H1890">
        <f t="shared" ca="1" si="383"/>
        <v>4556.25</v>
      </c>
      <c r="I1890">
        <f t="shared" ca="1" si="384"/>
        <v>1</v>
      </c>
      <c r="J1890">
        <f t="shared" ca="1" si="385"/>
        <v>0</v>
      </c>
      <c r="K1890">
        <f t="shared" ca="1" si="386"/>
        <v>0</v>
      </c>
      <c r="L1890">
        <f t="shared" ca="1" si="387"/>
        <v>0</v>
      </c>
      <c r="M1890">
        <f t="shared" ca="1" si="388"/>
        <v>6</v>
      </c>
      <c r="N1890">
        <f t="shared" ca="1" si="389"/>
        <v>0</v>
      </c>
    </row>
    <row r="1891" spans="1:14" x14ac:dyDescent="0.35">
      <c r="A1891" t="s">
        <v>1908</v>
      </c>
      <c r="B1891" t="str">
        <f t="shared" si="377"/>
        <v>Test</v>
      </c>
      <c r="C1891">
        <f t="shared" ca="1" si="378"/>
        <v>29</v>
      </c>
      <c r="D1891" t="str">
        <f t="shared" ca="1" si="379"/>
        <v>Other</v>
      </c>
      <c r="E1891" t="str">
        <f t="shared" ca="1" si="380"/>
        <v>Dresses</v>
      </c>
      <c r="F1891">
        <f t="shared" ca="1" si="381"/>
        <v>764</v>
      </c>
      <c r="G1891">
        <f t="shared" ca="1" si="382"/>
        <v>25</v>
      </c>
      <c r="H1891">
        <f t="shared" ca="1" si="383"/>
        <v>573</v>
      </c>
      <c r="I1891">
        <f t="shared" ca="1" si="384"/>
        <v>1</v>
      </c>
      <c r="J1891">
        <f t="shared" ca="1" si="385"/>
        <v>1</v>
      </c>
      <c r="K1891">
        <f t="shared" ca="1" si="386"/>
        <v>0</v>
      </c>
      <c r="L1891">
        <f t="shared" ca="1" si="387"/>
        <v>0</v>
      </c>
      <c r="M1891">
        <f t="shared" ca="1" si="388"/>
        <v>2</v>
      </c>
      <c r="N1891">
        <f t="shared" ca="1" si="389"/>
        <v>0</v>
      </c>
    </row>
    <row r="1892" spans="1:14" x14ac:dyDescent="0.35">
      <c r="A1892" t="s">
        <v>1909</v>
      </c>
      <c r="B1892" t="str">
        <f t="shared" si="377"/>
        <v>Test</v>
      </c>
      <c r="C1892">
        <f t="shared" ca="1" si="378"/>
        <v>34</v>
      </c>
      <c r="D1892" t="str">
        <f t="shared" ca="1" si="379"/>
        <v>Male</v>
      </c>
      <c r="E1892" t="str">
        <f t="shared" ca="1" si="380"/>
        <v>Jeans</v>
      </c>
      <c r="F1892">
        <f t="shared" ca="1" si="381"/>
        <v>6424</v>
      </c>
      <c r="G1892">
        <f t="shared" ca="1" si="382"/>
        <v>15</v>
      </c>
      <c r="H1892">
        <f t="shared" ca="1" si="383"/>
        <v>5460.4</v>
      </c>
      <c r="I1892">
        <f t="shared" ca="1" si="384"/>
        <v>0</v>
      </c>
      <c r="J1892">
        <f t="shared" ca="1" si="385"/>
        <v>0</v>
      </c>
      <c r="K1892">
        <f t="shared" ca="1" si="386"/>
        <v>0</v>
      </c>
      <c r="L1892">
        <f t="shared" ca="1" si="387"/>
        <v>0</v>
      </c>
      <c r="M1892">
        <f t="shared" ca="1" si="388"/>
        <v>1</v>
      </c>
      <c r="N1892">
        <f t="shared" ca="1" si="389"/>
        <v>0</v>
      </c>
    </row>
    <row r="1893" spans="1:14" x14ac:dyDescent="0.35">
      <c r="A1893" t="s">
        <v>1910</v>
      </c>
      <c r="B1893" t="str">
        <f t="shared" si="377"/>
        <v>Test</v>
      </c>
      <c r="C1893">
        <f t="shared" ca="1" si="378"/>
        <v>39</v>
      </c>
      <c r="D1893" t="str">
        <f t="shared" ca="1" si="379"/>
        <v>Female</v>
      </c>
      <c r="E1893" t="str">
        <f t="shared" ca="1" si="380"/>
        <v>Dresses</v>
      </c>
      <c r="F1893">
        <f t="shared" ca="1" si="381"/>
        <v>1404</v>
      </c>
      <c r="G1893">
        <f t="shared" ca="1" si="382"/>
        <v>20</v>
      </c>
      <c r="H1893">
        <f t="shared" ca="1" si="383"/>
        <v>1123.2</v>
      </c>
      <c r="I1893">
        <f t="shared" ca="1" si="384"/>
        <v>1</v>
      </c>
      <c r="J1893">
        <f t="shared" ca="1" si="385"/>
        <v>1</v>
      </c>
      <c r="K1893">
        <f t="shared" ca="1" si="386"/>
        <v>0</v>
      </c>
      <c r="L1893">
        <f t="shared" ca="1" si="387"/>
        <v>0</v>
      </c>
      <c r="M1893">
        <f t="shared" ca="1" si="388"/>
        <v>1</v>
      </c>
      <c r="N1893">
        <f t="shared" ca="1" si="389"/>
        <v>0</v>
      </c>
    </row>
    <row r="1894" spans="1:14" x14ac:dyDescent="0.35">
      <c r="A1894" t="s">
        <v>1911</v>
      </c>
      <c r="B1894" t="str">
        <f t="shared" si="377"/>
        <v>Test</v>
      </c>
      <c r="C1894">
        <f t="shared" ca="1" si="378"/>
        <v>43</v>
      </c>
      <c r="D1894" t="str">
        <f t="shared" ca="1" si="379"/>
        <v>Male</v>
      </c>
      <c r="E1894" t="str">
        <f t="shared" ca="1" si="380"/>
        <v>Ethnic Wear</v>
      </c>
      <c r="F1894">
        <f t="shared" ca="1" si="381"/>
        <v>1688</v>
      </c>
      <c r="G1894">
        <f t="shared" ca="1" si="382"/>
        <v>15</v>
      </c>
      <c r="H1894">
        <f t="shared" ca="1" si="383"/>
        <v>1434.8</v>
      </c>
      <c r="I1894">
        <f t="shared" ca="1" si="384"/>
        <v>1</v>
      </c>
      <c r="J1894">
        <f t="shared" ca="1" si="385"/>
        <v>1</v>
      </c>
      <c r="K1894">
        <f t="shared" ca="1" si="386"/>
        <v>1</v>
      </c>
      <c r="L1894">
        <f t="shared" ca="1" si="387"/>
        <v>1434.8</v>
      </c>
      <c r="M1894">
        <f t="shared" ca="1" si="388"/>
        <v>4</v>
      </c>
      <c r="N1894">
        <f t="shared" ca="1" si="389"/>
        <v>0</v>
      </c>
    </row>
    <row r="1895" spans="1:14" x14ac:dyDescent="0.35">
      <c r="A1895" t="s">
        <v>1912</v>
      </c>
      <c r="B1895" t="str">
        <f t="shared" si="377"/>
        <v>Test</v>
      </c>
      <c r="C1895">
        <f t="shared" ca="1" si="378"/>
        <v>27</v>
      </c>
      <c r="D1895" t="str">
        <f t="shared" ca="1" si="379"/>
        <v>Male</v>
      </c>
      <c r="E1895" t="str">
        <f t="shared" ca="1" si="380"/>
        <v>Jeans</v>
      </c>
      <c r="F1895">
        <f t="shared" ca="1" si="381"/>
        <v>2339</v>
      </c>
      <c r="G1895">
        <f t="shared" ca="1" si="382"/>
        <v>20</v>
      </c>
      <c r="H1895">
        <f t="shared" ca="1" si="383"/>
        <v>1871.2</v>
      </c>
      <c r="I1895">
        <f t="shared" ca="1" si="384"/>
        <v>1</v>
      </c>
      <c r="J1895">
        <f t="shared" ca="1" si="385"/>
        <v>1</v>
      </c>
      <c r="K1895">
        <f t="shared" ca="1" si="386"/>
        <v>1</v>
      </c>
      <c r="L1895">
        <f t="shared" ca="1" si="387"/>
        <v>1871.2</v>
      </c>
      <c r="M1895">
        <f t="shared" ca="1" si="388"/>
        <v>1</v>
      </c>
      <c r="N1895">
        <f t="shared" ca="1" si="389"/>
        <v>0</v>
      </c>
    </row>
    <row r="1896" spans="1:14" x14ac:dyDescent="0.35">
      <c r="A1896" t="s">
        <v>1913</v>
      </c>
      <c r="B1896" t="str">
        <f t="shared" si="377"/>
        <v>Test</v>
      </c>
      <c r="C1896">
        <f t="shared" ca="1" si="378"/>
        <v>19</v>
      </c>
      <c r="D1896" t="str">
        <f t="shared" ca="1" si="379"/>
        <v>Female</v>
      </c>
      <c r="E1896" t="str">
        <f t="shared" ca="1" si="380"/>
        <v>Accessories</v>
      </c>
      <c r="F1896">
        <f t="shared" ca="1" si="381"/>
        <v>3819</v>
      </c>
      <c r="G1896">
        <f t="shared" ca="1" si="382"/>
        <v>20</v>
      </c>
      <c r="H1896">
        <f t="shared" ca="1" si="383"/>
        <v>3055.2000000000003</v>
      </c>
      <c r="I1896">
        <f t="shared" ca="1" si="384"/>
        <v>1</v>
      </c>
      <c r="J1896">
        <f t="shared" ca="1" si="385"/>
        <v>1</v>
      </c>
      <c r="K1896">
        <f t="shared" ca="1" si="386"/>
        <v>0</v>
      </c>
      <c r="L1896">
        <f t="shared" ca="1" si="387"/>
        <v>0</v>
      </c>
      <c r="M1896">
        <f t="shared" ca="1" si="388"/>
        <v>1</v>
      </c>
      <c r="N1896">
        <f t="shared" ca="1" si="389"/>
        <v>0</v>
      </c>
    </row>
    <row r="1897" spans="1:14" x14ac:dyDescent="0.35">
      <c r="A1897" t="s">
        <v>1914</v>
      </c>
      <c r="B1897" t="str">
        <f t="shared" si="377"/>
        <v>Test</v>
      </c>
      <c r="C1897">
        <f t="shared" ca="1" si="378"/>
        <v>37</v>
      </c>
      <c r="D1897" t="str">
        <f t="shared" ca="1" si="379"/>
        <v>Female</v>
      </c>
      <c r="E1897" t="str">
        <f t="shared" ca="1" si="380"/>
        <v>Jeans</v>
      </c>
      <c r="F1897">
        <f t="shared" ca="1" si="381"/>
        <v>7853</v>
      </c>
      <c r="G1897">
        <f t="shared" ca="1" si="382"/>
        <v>15</v>
      </c>
      <c r="H1897">
        <f t="shared" ca="1" si="383"/>
        <v>6675.05</v>
      </c>
      <c r="I1897">
        <f t="shared" ca="1" si="384"/>
        <v>1</v>
      </c>
      <c r="J1897">
        <f t="shared" ca="1" si="385"/>
        <v>1</v>
      </c>
      <c r="K1897">
        <f t="shared" ca="1" si="386"/>
        <v>0</v>
      </c>
      <c r="L1897">
        <f t="shared" ca="1" si="387"/>
        <v>0</v>
      </c>
      <c r="M1897">
        <f t="shared" ca="1" si="388"/>
        <v>7</v>
      </c>
      <c r="N1897">
        <f t="shared" ca="1" si="389"/>
        <v>0</v>
      </c>
    </row>
    <row r="1898" spans="1:14" x14ac:dyDescent="0.35">
      <c r="A1898" t="s">
        <v>1915</v>
      </c>
      <c r="B1898" t="str">
        <f t="shared" si="377"/>
        <v>Test</v>
      </c>
      <c r="C1898">
        <f t="shared" ca="1" si="378"/>
        <v>36</v>
      </c>
      <c r="D1898" t="str">
        <f t="shared" ca="1" si="379"/>
        <v>Female</v>
      </c>
      <c r="E1898" t="str">
        <f t="shared" ca="1" si="380"/>
        <v>Shoes</v>
      </c>
      <c r="F1898">
        <f t="shared" ca="1" si="381"/>
        <v>621</v>
      </c>
      <c r="G1898">
        <f t="shared" ca="1" si="382"/>
        <v>20</v>
      </c>
      <c r="H1898">
        <f t="shared" ca="1" si="383"/>
        <v>496.8</v>
      </c>
      <c r="I1898">
        <f t="shared" ca="1" si="384"/>
        <v>1</v>
      </c>
      <c r="J1898">
        <f t="shared" ca="1" si="385"/>
        <v>1</v>
      </c>
      <c r="K1898">
        <f t="shared" ca="1" si="386"/>
        <v>0</v>
      </c>
      <c r="L1898">
        <f t="shared" ca="1" si="387"/>
        <v>0</v>
      </c>
      <c r="M1898">
        <f t="shared" ca="1" si="388"/>
        <v>6</v>
      </c>
      <c r="N1898">
        <f t="shared" ca="1" si="389"/>
        <v>0</v>
      </c>
    </row>
    <row r="1899" spans="1:14" x14ac:dyDescent="0.35">
      <c r="A1899" t="s">
        <v>1916</v>
      </c>
      <c r="B1899" t="str">
        <f t="shared" si="377"/>
        <v>Test</v>
      </c>
      <c r="C1899">
        <f t="shared" ca="1" si="378"/>
        <v>19</v>
      </c>
      <c r="D1899" t="str">
        <f t="shared" ca="1" si="379"/>
        <v>Male</v>
      </c>
      <c r="E1899" t="str">
        <f t="shared" ca="1" si="380"/>
        <v>Shoes</v>
      </c>
      <c r="F1899">
        <f t="shared" ca="1" si="381"/>
        <v>7005</v>
      </c>
      <c r="G1899">
        <f t="shared" ca="1" si="382"/>
        <v>25</v>
      </c>
      <c r="H1899">
        <f t="shared" ca="1" si="383"/>
        <v>5253.75</v>
      </c>
      <c r="I1899">
        <f t="shared" ca="1" si="384"/>
        <v>0</v>
      </c>
      <c r="J1899">
        <f t="shared" ca="1" si="385"/>
        <v>0</v>
      </c>
      <c r="K1899">
        <f t="shared" ca="1" si="386"/>
        <v>0</v>
      </c>
      <c r="L1899">
        <f t="shared" ca="1" si="387"/>
        <v>0</v>
      </c>
      <c r="M1899">
        <f t="shared" ca="1" si="388"/>
        <v>1</v>
      </c>
      <c r="N1899">
        <f t="shared" ca="1" si="389"/>
        <v>0</v>
      </c>
    </row>
    <row r="1900" spans="1:14" x14ac:dyDescent="0.35">
      <c r="A1900" t="s">
        <v>1917</v>
      </c>
      <c r="B1900" t="str">
        <f t="shared" si="377"/>
        <v>Test</v>
      </c>
      <c r="C1900">
        <f t="shared" ca="1" si="378"/>
        <v>21</v>
      </c>
      <c r="D1900" t="str">
        <f t="shared" ca="1" si="379"/>
        <v>Female</v>
      </c>
      <c r="E1900" t="str">
        <f t="shared" ca="1" si="380"/>
        <v>Accessories</v>
      </c>
      <c r="F1900">
        <f t="shared" ca="1" si="381"/>
        <v>2468</v>
      </c>
      <c r="G1900">
        <f t="shared" ca="1" si="382"/>
        <v>20</v>
      </c>
      <c r="H1900">
        <f t="shared" ca="1" si="383"/>
        <v>1974.4</v>
      </c>
      <c r="I1900">
        <f t="shared" ca="1" si="384"/>
        <v>1</v>
      </c>
      <c r="J1900">
        <f t="shared" ca="1" si="385"/>
        <v>1</v>
      </c>
      <c r="K1900">
        <f t="shared" ca="1" si="386"/>
        <v>0</v>
      </c>
      <c r="L1900">
        <f t="shared" ca="1" si="387"/>
        <v>0</v>
      </c>
      <c r="M1900">
        <f t="shared" ca="1" si="388"/>
        <v>3</v>
      </c>
      <c r="N1900">
        <f t="shared" ca="1" si="389"/>
        <v>0</v>
      </c>
    </row>
    <row r="1901" spans="1:14" x14ac:dyDescent="0.35">
      <c r="A1901" t="s">
        <v>1918</v>
      </c>
      <c r="B1901" t="str">
        <f t="shared" si="377"/>
        <v>Test</v>
      </c>
      <c r="C1901">
        <f t="shared" ca="1" si="378"/>
        <v>36</v>
      </c>
      <c r="D1901" t="str">
        <f t="shared" ca="1" si="379"/>
        <v>Male</v>
      </c>
      <c r="E1901" t="str">
        <f t="shared" ca="1" si="380"/>
        <v>Shoes</v>
      </c>
      <c r="F1901">
        <f t="shared" ca="1" si="381"/>
        <v>4892</v>
      </c>
      <c r="G1901">
        <f t="shared" ca="1" si="382"/>
        <v>15</v>
      </c>
      <c r="H1901">
        <f t="shared" ca="1" si="383"/>
        <v>4158.2</v>
      </c>
      <c r="I1901">
        <f t="shared" ca="1" si="384"/>
        <v>1</v>
      </c>
      <c r="J1901">
        <f t="shared" ca="1" si="385"/>
        <v>1</v>
      </c>
      <c r="K1901">
        <f t="shared" ca="1" si="386"/>
        <v>1</v>
      </c>
      <c r="L1901">
        <f t="shared" ca="1" si="387"/>
        <v>4158.2</v>
      </c>
      <c r="M1901">
        <f t="shared" ca="1" si="388"/>
        <v>7</v>
      </c>
      <c r="N1901">
        <f t="shared" ca="1" si="389"/>
        <v>0</v>
      </c>
    </row>
    <row r="1902" spans="1:14" x14ac:dyDescent="0.35">
      <c r="A1902" t="s">
        <v>1919</v>
      </c>
      <c r="B1902" t="str">
        <f t="shared" si="377"/>
        <v>Test</v>
      </c>
      <c r="C1902">
        <f t="shared" ca="1" si="378"/>
        <v>40</v>
      </c>
      <c r="D1902" t="str">
        <f t="shared" ca="1" si="379"/>
        <v>Female</v>
      </c>
      <c r="E1902" t="str">
        <f t="shared" ca="1" si="380"/>
        <v>T-shirts</v>
      </c>
      <c r="F1902">
        <f t="shared" ca="1" si="381"/>
        <v>4687</v>
      </c>
      <c r="G1902">
        <f t="shared" ca="1" si="382"/>
        <v>20</v>
      </c>
      <c r="H1902">
        <f t="shared" ca="1" si="383"/>
        <v>3749.6000000000004</v>
      </c>
      <c r="I1902">
        <f t="shared" ca="1" si="384"/>
        <v>0</v>
      </c>
      <c r="J1902">
        <f t="shared" ca="1" si="385"/>
        <v>0</v>
      </c>
      <c r="K1902">
        <f t="shared" ca="1" si="386"/>
        <v>0</v>
      </c>
      <c r="L1902">
        <f t="shared" ca="1" si="387"/>
        <v>0</v>
      </c>
      <c r="M1902">
        <f t="shared" ca="1" si="388"/>
        <v>3</v>
      </c>
      <c r="N1902">
        <f t="shared" ca="1" si="389"/>
        <v>0</v>
      </c>
    </row>
    <row r="1903" spans="1:14" x14ac:dyDescent="0.35">
      <c r="A1903" t="s">
        <v>1920</v>
      </c>
      <c r="B1903" t="str">
        <f t="shared" si="377"/>
        <v>Test</v>
      </c>
      <c r="C1903">
        <f t="shared" ca="1" si="378"/>
        <v>20</v>
      </c>
      <c r="D1903" t="str">
        <f t="shared" ca="1" si="379"/>
        <v>Male</v>
      </c>
      <c r="E1903" t="str">
        <f t="shared" ca="1" si="380"/>
        <v>Jeans</v>
      </c>
      <c r="F1903">
        <f t="shared" ca="1" si="381"/>
        <v>4320</v>
      </c>
      <c r="G1903">
        <f t="shared" ca="1" si="382"/>
        <v>20</v>
      </c>
      <c r="H1903">
        <f t="shared" ca="1" si="383"/>
        <v>3456</v>
      </c>
      <c r="I1903">
        <f t="shared" ca="1" si="384"/>
        <v>1</v>
      </c>
      <c r="J1903">
        <f t="shared" ca="1" si="385"/>
        <v>1</v>
      </c>
      <c r="K1903">
        <f t="shared" ca="1" si="386"/>
        <v>0</v>
      </c>
      <c r="L1903">
        <f t="shared" ca="1" si="387"/>
        <v>0</v>
      </c>
      <c r="M1903">
        <f t="shared" ca="1" si="388"/>
        <v>6</v>
      </c>
      <c r="N1903">
        <f t="shared" ca="1" si="389"/>
        <v>0</v>
      </c>
    </row>
    <row r="1904" spans="1:14" x14ac:dyDescent="0.35">
      <c r="A1904" t="s">
        <v>1921</v>
      </c>
      <c r="B1904" t="str">
        <f t="shared" si="377"/>
        <v>Test</v>
      </c>
      <c r="C1904">
        <f t="shared" ca="1" si="378"/>
        <v>35</v>
      </c>
      <c r="D1904" t="str">
        <f t="shared" ca="1" si="379"/>
        <v>Female</v>
      </c>
      <c r="E1904" t="str">
        <f t="shared" ca="1" si="380"/>
        <v>Ethnic Wear</v>
      </c>
      <c r="F1904">
        <f t="shared" ca="1" si="381"/>
        <v>7600</v>
      </c>
      <c r="G1904">
        <f t="shared" ca="1" si="382"/>
        <v>25</v>
      </c>
      <c r="H1904">
        <f t="shared" ca="1" si="383"/>
        <v>5700</v>
      </c>
      <c r="I1904">
        <f t="shared" ca="1" si="384"/>
        <v>1</v>
      </c>
      <c r="J1904">
        <f t="shared" ca="1" si="385"/>
        <v>1</v>
      </c>
      <c r="K1904">
        <f t="shared" ca="1" si="386"/>
        <v>0</v>
      </c>
      <c r="L1904">
        <f t="shared" ca="1" si="387"/>
        <v>0</v>
      </c>
      <c r="M1904">
        <f t="shared" ca="1" si="388"/>
        <v>1</v>
      </c>
      <c r="N1904">
        <f t="shared" ca="1" si="389"/>
        <v>0</v>
      </c>
    </row>
    <row r="1905" spans="1:14" x14ac:dyDescent="0.35">
      <c r="A1905" t="s">
        <v>1922</v>
      </c>
      <c r="B1905" t="str">
        <f t="shared" si="377"/>
        <v>Test</v>
      </c>
      <c r="C1905">
        <f t="shared" ca="1" si="378"/>
        <v>25</v>
      </c>
      <c r="D1905" t="str">
        <f t="shared" ca="1" si="379"/>
        <v>Female</v>
      </c>
      <c r="E1905" t="str">
        <f t="shared" ca="1" si="380"/>
        <v>Shoes</v>
      </c>
      <c r="F1905">
        <f t="shared" ca="1" si="381"/>
        <v>2034</v>
      </c>
      <c r="G1905">
        <f t="shared" ca="1" si="382"/>
        <v>25</v>
      </c>
      <c r="H1905">
        <f t="shared" ca="1" si="383"/>
        <v>1525.5</v>
      </c>
      <c r="I1905">
        <f t="shared" ca="1" si="384"/>
        <v>1</v>
      </c>
      <c r="J1905">
        <f t="shared" ca="1" si="385"/>
        <v>0</v>
      </c>
      <c r="K1905">
        <f t="shared" ca="1" si="386"/>
        <v>0</v>
      </c>
      <c r="L1905">
        <f t="shared" ca="1" si="387"/>
        <v>0</v>
      </c>
      <c r="M1905">
        <f t="shared" ca="1" si="388"/>
        <v>6</v>
      </c>
      <c r="N1905">
        <f t="shared" ca="1" si="389"/>
        <v>0</v>
      </c>
    </row>
    <row r="1906" spans="1:14" x14ac:dyDescent="0.35">
      <c r="A1906" t="s">
        <v>1923</v>
      </c>
      <c r="B1906" t="str">
        <f t="shared" si="377"/>
        <v>Test</v>
      </c>
      <c r="C1906">
        <f t="shared" ca="1" si="378"/>
        <v>29</v>
      </c>
      <c r="D1906" t="str">
        <f t="shared" ca="1" si="379"/>
        <v>Female</v>
      </c>
      <c r="E1906" t="str">
        <f t="shared" ca="1" si="380"/>
        <v>Shoes</v>
      </c>
      <c r="F1906">
        <f t="shared" ca="1" si="381"/>
        <v>1330</v>
      </c>
      <c r="G1906">
        <f t="shared" ca="1" si="382"/>
        <v>15</v>
      </c>
      <c r="H1906">
        <f t="shared" ca="1" si="383"/>
        <v>1130.5</v>
      </c>
      <c r="I1906">
        <f t="shared" ca="1" si="384"/>
        <v>1</v>
      </c>
      <c r="J1906">
        <f t="shared" ca="1" si="385"/>
        <v>0</v>
      </c>
      <c r="K1906">
        <f t="shared" ca="1" si="386"/>
        <v>0</v>
      </c>
      <c r="L1906">
        <f t="shared" ca="1" si="387"/>
        <v>0</v>
      </c>
      <c r="M1906">
        <f t="shared" ca="1" si="388"/>
        <v>5</v>
      </c>
      <c r="N1906">
        <f t="shared" ca="1" si="389"/>
        <v>0</v>
      </c>
    </row>
    <row r="1907" spans="1:14" x14ac:dyDescent="0.35">
      <c r="A1907" t="s">
        <v>1924</v>
      </c>
      <c r="B1907" t="str">
        <f t="shared" si="377"/>
        <v>Test</v>
      </c>
      <c r="C1907">
        <f t="shared" ca="1" si="378"/>
        <v>30</v>
      </c>
      <c r="D1907" t="str">
        <f t="shared" ca="1" si="379"/>
        <v>Male</v>
      </c>
      <c r="E1907" t="str">
        <f t="shared" ca="1" si="380"/>
        <v>T-shirts</v>
      </c>
      <c r="F1907">
        <f t="shared" ca="1" si="381"/>
        <v>1628</v>
      </c>
      <c r="G1907">
        <f t="shared" ca="1" si="382"/>
        <v>25</v>
      </c>
      <c r="H1907">
        <f t="shared" ca="1" si="383"/>
        <v>1221</v>
      </c>
      <c r="I1907">
        <f t="shared" ca="1" si="384"/>
        <v>1</v>
      </c>
      <c r="J1907">
        <f t="shared" ca="1" si="385"/>
        <v>1</v>
      </c>
      <c r="K1907">
        <f t="shared" ca="1" si="386"/>
        <v>0</v>
      </c>
      <c r="L1907">
        <f t="shared" ca="1" si="387"/>
        <v>0</v>
      </c>
      <c r="M1907">
        <f t="shared" ca="1" si="388"/>
        <v>4</v>
      </c>
      <c r="N1907">
        <f t="shared" ca="1" si="389"/>
        <v>0</v>
      </c>
    </row>
    <row r="1908" spans="1:14" x14ac:dyDescent="0.35">
      <c r="A1908" t="s">
        <v>1925</v>
      </c>
      <c r="B1908" t="str">
        <f t="shared" si="377"/>
        <v>Test</v>
      </c>
      <c r="C1908">
        <f t="shared" ca="1" si="378"/>
        <v>24</v>
      </c>
      <c r="D1908" t="str">
        <f t="shared" ca="1" si="379"/>
        <v>Female</v>
      </c>
      <c r="E1908" t="str">
        <f t="shared" ca="1" si="380"/>
        <v>Shoes</v>
      </c>
      <c r="F1908">
        <f t="shared" ca="1" si="381"/>
        <v>2841</v>
      </c>
      <c r="G1908">
        <f t="shared" ca="1" si="382"/>
        <v>20</v>
      </c>
      <c r="H1908">
        <f t="shared" ca="1" si="383"/>
        <v>2272.8000000000002</v>
      </c>
      <c r="I1908">
        <f t="shared" ca="1" si="384"/>
        <v>1</v>
      </c>
      <c r="J1908">
        <f t="shared" ca="1" si="385"/>
        <v>1</v>
      </c>
      <c r="K1908">
        <f t="shared" ca="1" si="386"/>
        <v>0</v>
      </c>
      <c r="L1908">
        <f t="shared" ca="1" si="387"/>
        <v>0</v>
      </c>
      <c r="M1908">
        <f t="shared" ca="1" si="388"/>
        <v>7</v>
      </c>
      <c r="N1908">
        <f t="shared" ca="1" si="389"/>
        <v>0</v>
      </c>
    </row>
    <row r="1909" spans="1:14" x14ac:dyDescent="0.35">
      <c r="A1909" t="s">
        <v>1926</v>
      </c>
      <c r="B1909" t="str">
        <f t="shared" si="377"/>
        <v>Test</v>
      </c>
      <c r="C1909">
        <f t="shared" ca="1" si="378"/>
        <v>30</v>
      </c>
      <c r="D1909" t="str">
        <f t="shared" ca="1" si="379"/>
        <v>Female</v>
      </c>
      <c r="E1909" t="str">
        <f t="shared" ca="1" si="380"/>
        <v>Ethnic Wear</v>
      </c>
      <c r="F1909">
        <f t="shared" ca="1" si="381"/>
        <v>2193</v>
      </c>
      <c r="G1909">
        <f t="shared" ca="1" si="382"/>
        <v>15</v>
      </c>
      <c r="H1909">
        <f t="shared" ca="1" si="383"/>
        <v>1864.05</v>
      </c>
      <c r="I1909">
        <f t="shared" ca="1" si="384"/>
        <v>1</v>
      </c>
      <c r="J1909">
        <f t="shared" ca="1" si="385"/>
        <v>0</v>
      </c>
      <c r="K1909">
        <f t="shared" ca="1" si="386"/>
        <v>0</v>
      </c>
      <c r="L1909">
        <f t="shared" ca="1" si="387"/>
        <v>0</v>
      </c>
      <c r="M1909">
        <f t="shared" ca="1" si="388"/>
        <v>3</v>
      </c>
      <c r="N1909">
        <f t="shared" ca="1" si="389"/>
        <v>0</v>
      </c>
    </row>
    <row r="1910" spans="1:14" x14ac:dyDescent="0.35">
      <c r="A1910" t="s">
        <v>1927</v>
      </c>
      <c r="B1910" t="str">
        <f t="shared" si="377"/>
        <v>Test</v>
      </c>
      <c r="C1910">
        <f t="shared" ca="1" si="378"/>
        <v>42</v>
      </c>
      <c r="D1910" t="str">
        <f t="shared" ca="1" si="379"/>
        <v>Male</v>
      </c>
      <c r="E1910" t="str">
        <f t="shared" ca="1" si="380"/>
        <v>Shoes</v>
      </c>
      <c r="F1910">
        <f t="shared" ca="1" si="381"/>
        <v>1822</v>
      </c>
      <c r="G1910">
        <f t="shared" ca="1" si="382"/>
        <v>20</v>
      </c>
      <c r="H1910">
        <f t="shared" ca="1" si="383"/>
        <v>1457.6000000000001</v>
      </c>
      <c r="I1910">
        <f t="shared" ca="1" si="384"/>
        <v>1</v>
      </c>
      <c r="J1910">
        <f t="shared" ca="1" si="385"/>
        <v>1</v>
      </c>
      <c r="K1910">
        <f t="shared" ca="1" si="386"/>
        <v>1</v>
      </c>
      <c r="L1910">
        <f t="shared" ca="1" si="387"/>
        <v>1457.6000000000001</v>
      </c>
      <c r="M1910">
        <f t="shared" ca="1" si="388"/>
        <v>1</v>
      </c>
      <c r="N1910">
        <f t="shared" ca="1" si="389"/>
        <v>1</v>
      </c>
    </row>
    <row r="1911" spans="1:14" x14ac:dyDescent="0.35">
      <c r="A1911" t="s">
        <v>1928</v>
      </c>
      <c r="B1911" t="str">
        <f t="shared" si="377"/>
        <v>Test</v>
      </c>
      <c r="C1911">
        <f t="shared" ca="1" si="378"/>
        <v>22</v>
      </c>
      <c r="D1911" t="str">
        <f t="shared" ca="1" si="379"/>
        <v>Female</v>
      </c>
      <c r="E1911" t="str">
        <f t="shared" ca="1" si="380"/>
        <v>T-shirts</v>
      </c>
      <c r="F1911">
        <f t="shared" ca="1" si="381"/>
        <v>5037</v>
      </c>
      <c r="G1911">
        <f t="shared" ca="1" si="382"/>
        <v>25</v>
      </c>
      <c r="H1911">
        <f t="shared" ca="1" si="383"/>
        <v>3777.75</v>
      </c>
      <c r="I1911">
        <f t="shared" ca="1" si="384"/>
        <v>1</v>
      </c>
      <c r="J1911">
        <f t="shared" ca="1" si="385"/>
        <v>0</v>
      </c>
      <c r="K1911">
        <f t="shared" ca="1" si="386"/>
        <v>0</v>
      </c>
      <c r="L1911">
        <f t="shared" ca="1" si="387"/>
        <v>0</v>
      </c>
      <c r="M1911">
        <f t="shared" ca="1" si="388"/>
        <v>3</v>
      </c>
      <c r="N1911">
        <f t="shared" ca="1" si="389"/>
        <v>0</v>
      </c>
    </row>
    <row r="1912" spans="1:14" x14ac:dyDescent="0.35">
      <c r="A1912" t="s">
        <v>1929</v>
      </c>
      <c r="B1912" t="str">
        <f t="shared" si="377"/>
        <v>Test</v>
      </c>
      <c r="C1912">
        <f t="shared" ca="1" si="378"/>
        <v>25</v>
      </c>
      <c r="D1912" t="str">
        <f t="shared" ca="1" si="379"/>
        <v>Female</v>
      </c>
      <c r="E1912" t="str">
        <f t="shared" ca="1" si="380"/>
        <v>Dresses</v>
      </c>
      <c r="F1912">
        <f t="shared" ca="1" si="381"/>
        <v>5041</v>
      </c>
      <c r="G1912">
        <f t="shared" ca="1" si="382"/>
        <v>25</v>
      </c>
      <c r="H1912">
        <f t="shared" ca="1" si="383"/>
        <v>3780.75</v>
      </c>
      <c r="I1912">
        <f t="shared" ca="1" si="384"/>
        <v>1</v>
      </c>
      <c r="J1912">
        <f t="shared" ca="1" si="385"/>
        <v>1</v>
      </c>
      <c r="K1912">
        <f t="shared" ca="1" si="386"/>
        <v>0</v>
      </c>
      <c r="L1912">
        <f t="shared" ca="1" si="387"/>
        <v>0</v>
      </c>
      <c r="M1912">
        <f t="shared" ca="1" si="388"/>
        <v>3</v>
      </c>
      <c r="N1912">
        <f t="shared" ca="1" si="389"/>
        <v>0</v>
      </c>
    </row>
    <row r="1913" spans="1:14" x14ac:dyDescent="0.35">
      <c r="A1913" t="s">
        <v>1930</v>
      </c>
      <c r="B1913" t="str">
        <f t="shared" si="377"/>
        <v>Test</v>
      </c>
      <c r="C1913">
        <f t="shared" ca="1" si="378"/>
        <v>28</v>
      </c>
      <c r="D1913" t="str">
        <f t="shared" ca="1" si="379"/>
        <v>Male</v>
      </c>
      <c r="E1913" t="str">
        <f t="shared" ca="1" si="380"/>
        <v>T-shirts</v>
      </c>
      <c r="F1913">
        <f t="shared" ca="1" si="381"/>
        <v>4717</v>
      </c>
      <c r="G1913">
        <f t="shared" ca="1" si="382"/>
        <v>15</v>
      </c>
      <c r="H1913">
        <f t="shared" ca="1" si="383"/>
        <v>4009.45</v>
      </c>
      <c r="I1913">
        <f t="shared" ca="1" si="384"/>
        <v>1</v>
      </c>
      <c r="J1913">
        <f t="shared" ca="1" si="385"/>
        <v>1</v>
      </c>
      <c r="K1913">
        <f t="shared" ca="1" si="386"/>
        <v>1</v>
      </c>
      <c r="L1913">
        <f t="shared" ca="1" si="387"/>
        <v>4009.45</v>
      </c>
      <c r="M1913">
        <f t="shared" ca="1" si="388"/>
        <v>7</v>
      </c>
      <c r="N1913">
        <f t="shared" ca="1" si="389"/>
        <v>0</v>
      </c>
    </row>
    <row r="1914" spans="1:14" x14ac:dyDescent="0.35">
      <c r="A1914" t="s">
        <v>1931</v>
      </c>
      <c r="B1914" t="str">
        <f t="shared" si="377"/>
        <v>Test</v>
      </c>
      <c r="C1914">
        <f t="shared" ca="1" si="378"/>
        <v>22</v>
      </c>
      <c r="D1914" t="str">
        <f t="shared" ca="1" si="379"/>
        <v>Male</v>
      </c>
      <c r="E1914" t="str">
        <f t="shared" ca="1" si="380"/>
        <v>Ethnic Wear</v>
      </c>
      <c r="F1914">
        <f t="shared" ca="1" si="381"/>
        <v>5517</v>
      </c>
      <c r="G1914">
        <f t="shared" ca="1" si="382"/>
        <v>15</v>
      </c>
      <c r="H1914">
        <f t="shared" ca="1" si="383"/>
        <v>4689.45</v>
      </c>
      <c r="I1914">
        <f t="shared" ca="1" si="384"/>
        <v>0</v>
      </c>
      <c r="J1914">
        <f t="shared" ca="1" si="385"/>
        <v>0</v>
      </c>
      <c r="K1914">
        <f t="shared" ca="1" si="386"/>
        <v>0</v>
      </c>
      <c r="L1914">
        <f t="shared" ca="1" si="387"/>
        <v>0</v>
      </c>
      <c r="M1914">
        <f t="shared" ca="1" si="388"/>
        <v>7</v>
      </c>
      <c r="N1914">
        <f t="shared" ca="1" si="389"/>
        <v>0</v>
      </c>
    </row>
    <row r="1915" spans="1:14" x14ac:dyDescent="0.35">
      <c r="A1915" t="s">
        <v>1932</v>
      </c>
      <c r="B1915" t="str">
        <f t="shared" si="377"/>
        <v>Test</v>
      </c>
      <c r="C1915">
        <f t="shared" ca="1" si="378"/>
        <v>32</v>
      </c>
      <c r="D1915" t="str">
        <f t="shared" ca="1" si="379"/>
        <v>Male</v>
      </c>
      <c r="E1915" t="str">
        <f t="shared" ca="1" si="380"/>
        <v>Accessories</v>
      </c>
      <c r="F1915">
        <f t="shared" ca="1" si="381"/>
        <v>472</v>
      </c>
      <c r="G1915">
        <f t="shared" ca="1" si="382"/>
        <v>25</v>
      </c>
      <c r="H1915">
        <f t="shared" ca="1" si="383"/>
        <v>354</v>
      </c>
      <c r="I1915">
        <f t="shared" ca="1" si="384"/>
        <v>1</v>
      </c>
      <c r="J1915">
        <f t="shared" ca="1" si="385"/>
        <v>0</v>
      </c>
      <c r="K1915">
        <f t="shared" ca="1" si="386"/>
        <v>0</v>
      </c>
      <c r="L1915">
        <f t="shared" ca="1" si="387"/>
        <v>0</v>
      </c>
      <c r="M1915">
        <f t="shared" ca="1" si="388"/>
        <v>2</v>
      </c>
      <c r="N1915">
        <f t="shared" ca="1" si="389"/>
        <v>0</v>
      </c>
    </row>
    <row r="1916" spans="1:14" x14ac:dyDescent="0.35">
      <c r="A1916" t="s">
        <v>1933</v>
      </c>
      <c r="B1916" t="str">
        <f t="shared" si="377"/>
        <v>Test</v>
      </c>
      <c r="C1916">
        <f t="shared" ca="1" si="378"/>
        <v>26</v>
      </c>
      <c r="D1916" t="str">
        <f t="shared" ca="1" si="379"/>
        <v>Female</v>
      </c>
      <c r="E1916" t="str">
        <f t="shared" ca="1" si="380"/>
        <v>Shoes</v>
      </c>
      <c r="F1916">
        <f t="shared" ca="1" si="381"/>
        <v>7144</v>
      </c>
      <c r="G1916">
        <f t="shared" ca="1" si="382"/>
        <v>15</v>
      </c>
      <c r="H1916">
        <f t="shared" ca="1" si="383"/>
        <v>6072.4</v>
      </c>
      <c r="I1916">
        <f t="shared" ca="1" si="384"/>
        <v>1</v>
      </c>
      <c r="J1916">
        <f t="shared" ca="1" si="385"/>
        <v>1</v>
      </c>
      <c r="K1916">
        <f t="shared" ca="1" si="386"/>
        <v>1</v>
      </c>
      <c r="L1916">
        <f t="shared" ca="1" si="387"/>
        <v>6072.4</v>
      </c>
      <c r="M1916">
        <f t="shared" ca="1" si="388"/>
        <v>5</v>
      </c>
      <c r="N1916">
        <f t="shared" ca="1" si="389"/>
        <v>0</v>
      </c>
    </row>
    <row r="1917" spans="1:14" x14ac:dyDescent="0.35">
      <c r="A1917" t="s">
        <v>1934</v>
      </c>
      <c r="B1917" t="str">
        <f t="shared" si="377"/>
        <v>Test</v>
      </c>
      <c r="C1917">
        <f t="shared" ca="1" si="378"/>
        <v>39</v>
      </c>
      <c r="D1917" t="str">
        <f t="shared" ca="1" si="379"/>
        <v>Male</v>
      </c>
      <c r="E1917" t="str">
        <f t="shared" ca="1" si="380"/>
        <v>Shoes</v>
      </c>
      <c r="F1917">
        <f t="shared" ca="1" si="381"/>
        <v>3695</v>
      </c>
      <c r="G1917">
        <f t="shared" ca="1" si="382"/>
        <v>20</v>
      </c>
      <c r="H1917">
        <f t="shared" ca="1" si="383"/>
        <v>2956</v>
      </c>
      <c r="I1917">
        <f t="shared" ca="1" si="384"/>
        <v>1</v>
      </c>
      <c r="J1917">
        <f t="shared" ca="1" si="385"/>
        <v>1</v>
      </c>
      <c r="K1917">
        <f t="shared" ca="1" si="386"/>
        <v>1</v>
      </c>
      <c r="L1917">
        <f t="shared" ca="1" si="387"/>
        <v>2956</v>
      </c>
      <c r="M1917">
        <f t="shared" ca="1" si="388"/>
        <v>4</v>
      </c>
      <c r="N1917">
        <f t="shared" ca="1" si="389"/>
        <v>0</v>
      </c>
    </row>
    <row r="1918" spans="1:14" x14ac:dyDescent="0.35">
      <c r="A1918" t="s">
        <v>1935</v>
      </c>
      <c r="B1918" t="str">
        <f t="shared" si="377"/>
        <v>Test</v>
      </c>
      <c r="C1918">
        <f t="shared" ca="1" si="378"/>
        <v>31</v>
      </c>
      <c r="D1918" t="str">
        <f t="shared" ca="1" si="379"/>
        <v>Male</v>
      </c>
      <c r="E1918" t="str">
        <f t="shared" ca="1" si="380"/>
        <v>Shoes</v>
      </c>
      <c r="F1918">
        <f t="shared" ca="1" si="381"/>
        <v>4529</v>
      </c>
      <c r="G1918">
        <f t="shared" ca="1" si="382"/>
        <v>25</v>
      </c>
      <c r="H1918">
        <f t="shared" ca="1" si="383"/>
        <v>3396.75</v>
      </c>
      <c r="I1918">
        <f t="shared" ca="1" si="384"/>
        <v>1</v>
      </c>
      <c r="J1918">
        <f t="shared" ca="1" si="385"/>
        <v>0</v>
      </c>
      <c r="K1918">
        <f t="shared" ca="1" si="386"/>
        <v>0</v>
      </c>
      <c r="L1918">
        <f t="shared" ca="1" si="387"/>
        <v>0</v>
      </c>
      <c r="M1918">
        <f t="shared" ca="1" si="388"/>
        <v>5</v>
      </c>
      <c r="N1918">
        <f t="shared" ca="1" si="389"/>
        <v>0</v>
      </c>
    </row>
    <row r="1919" spans="1:14" x14ac:dyDescent="0.35">
      <c r="A1919" t="s">
        <v>1936</v>
      </c>
      <c r="B1919" t="str">
        <f t="shared" si="377"/>
        <v>Test</v>
      </c>
      <c r="C1919">
        <f t="shared" ca="1" si="378"/>
        <v>24</v>
      </c>
      <c r="D1919" t="str">
        <f t="shared" ca="1" si="379"/>
        <v>Female</v>
      </c>
      <c r="E1919" t="str">
        <f t="shared" ca="1" si="380"/>
        <v>Shoes</v>
      </c>
      <c r="F1919">
        <f t="shared" ca="1" si="381"/>
        <v>3087</v>
      </c>
      <c r="G1919">
        <f t="shared" ca="1" si="382"/>
        <v>20</v>
      </c>
      <c r="H1919">
        <f t="shared" ca="1" si="383"/>
        <v>2469.6000000000004</v>
      </c>
      <c r="I1919">
        <f t="shared" ca="1" si="384"/>
        <v>1</v>
      </c>
      <c r="J1919">
        <f t="shared" ca="1" si="385"/>
        <v>0</v>
      </c>
      <c r="K1919">
        <f t="shared" ca="1" si="386"/>
        <v>0</v>
      </c>
      <c r="L1919">
        <f t="shared" ca="1" si="387"/>
        <v>0</v>
      </c>
      <c r="M1919">
        <f t="shared" ca="1" si="388"/>
        <v>3</v>
      </c>
      <c r="N1919">
        <f t="shared" ca="1" si="389"/>
        <v>0</v>
      </c>
    </row>
    <row r="1920" spans="1:14" x14ac:dyDescent="0.35">
      <c r="A1920" t="s">
        <v>1937</v>
      </c>
      <c r="B1920" t="str">
        <f t="shared" si="377"/>
        <v>Test</v>
      </c>
      <c r="C1920">
        <f t="shared" ca="1" si="378"/>
        <v>26</v>
      </c>
      <c r="D1920" t="str">
        <f t="shared" ca="1" si="379"/>
        <v>Male</v>
      </c>
      <c r="E1920" t="str">
        <f t="shared" ca="1" si="380"/>
        <v>Sportswear</v>
      </c>
      <c r="F1920">
        <f t="shared" ca="1" si="381"/>
        <v>633</v>
      </c>
      <c r="G1920">
        <f t="shared" ca="1" si="382"/>
        <v>15</v>
      </c>
      <c r="H1920">
        <f t="shared" ca="1" si="383"/>
        <v>538.04999999999995</v>
      </c>
      <c r="I1920">
        <f t="shared" ca="1" si="384"/>
        <v>0</v>
      </c>
      <c r="J1920">
        <f t="shared" ca="1" si="385"/>
        <v>0</v>
      </c>
      <c r="K1920">
        <f t="shared" ca="1" si="386"/>
        <v>0</v>
      </c>
      <c r="L1920">
        <f t="shared" ca="1" si="387"/>
        <v>0</v>
      </c>
      <c r="M1920">
        <f t="shared" ca="1" si="388"/>
        <v>3</v>
      </c>
      <c r="N1920">
        <f t="shared" ca="1" si="389"/>
        <v>0</v>
      </c>
    </row>
    <row r="1921" spans="1:14" x14ac:dyDescent="0.35">
      <c r="A1921" t="s">
        <v>1938</v>
      </c>
      <c r="B1921" t="str">
        <f t="shared" si="377"/>
        <v>Test</v>
      </c>
      <c r="C1921">
        <f t="shared" ca="1" si="378"/>
        <v>32</v>
      </c>
      <c r="D1921" t="str">
        <f t="shared" ca="1" si="379"/>
        <v>Female</v>
      </c>
      <c r="E1921" t="str">
        <f t="shared" ca="1" si="380"/>
        <v>T-shirts</v>
      </c>
      <c r="F1921">
        <f t="shared" ca="1" si="381"/>
        <v>1687</v>
      </c>
      <c r="G1921">
        <f t="shared" ca="1" si="382"/>
        <v>20</v>
      </c>
      <c r="H1921">
        <f t="shared" ca="1" si="383"/>
        <v>1349.6000000000001</v>
      </c>
      <c r="I1921">
        <f t="shared" ca="1" si="384"/>
        <v>1</v>
      </c>
      <c r="J1921">
        <f t="shared" ca="1" si="385"/>
        <v>1</v>
      </c>
      <c r="K1921">
        <f t="shared" ca="1" si="386"/>
        <v>0</v>
      </c>
      <c r="L1921">
        <f t="shared" ca="1" si="387"/>
        <v>0</v>
      </c>
      <c r="M1921">
        <f t="shared" ca="1" si="388"/>
        <v>1</v>
      </c>
      <c r="N1921">
        <f t="shared" ca="1" si="389"/>
        <v>0</v>
      </c>
    </row>
    <row r="1922" spans="1:14" x14ac:dyDescent="0.35">
      <c r="A1922" t="s">
        <v>1939</v>
      </c>
      <c r="B1922" t="str">
        <f t="shared" si="377"/>
        <v>Test</v>
      </c>
      <c r="C1922">
        <f t="shared" ca="1" si="378"/>
        <v>33</v>
      </c>
      <c r="D1922" t="str">
        <f t="shared" ca="1" si="379"/>
        <v>Female</v>
      </c>
      <c r="E1922" t="str">
        <f t="shared" ca="1" si="380"/>
        <v>Sportswear</v>
      </c>
      <c r="F1922">
        <f t="shared" ca="1" si="381"/>
        <v>7050</v>
      </c>
      <c r="G1922">
        <f t="shared" ca="1" si="382"/>
        <v>25</v>
      </c>
      <c r="H1922">
        <f t="shared" ca="1" si="383"/>
        <v>5287.5</v>
      </c>
      <c r="I1922">
        <f t="shared" ca="1" si="384"/>
        <v>1</v>
      </c>
      <c r="J1922">
        <f t="shared" ca="1" si="385"/>
        <v>1</v>
      </c>
      <c r="K1922">
        <f t="shared" ca="1" si="386"/>
        <v>1</v>
      </c>
      <c r="L1922">
        <f t="shared" ca="1" si="387"/>
        <v>5287.5</v>
      </c>
      <c r="M1922">
        <f t="shared" ca="1" si="388"/>
        <v>7</v>
      </c>
      <c r="N1922">
        <f t="shared" ca="1" si="389"/>
        <v>1</v>
      </c>
    </row>
    <row r="1923" spans="1:14" x14ac:dyDescent="0.35">
      <c r="A1923" t="s">
        <v>1940</v>
      </c>
      <c r="B1923" t="str">
        <f t="shared" si="377"/>
        <v>Test</v>
      </c>
      <c r="C1923">
        <f t="shared" ca="1" si="378"/>
        <v>24</v>
      </c>
      <c r="D1923" t="str">
        <f t="shared" ca="1" si="379"/>
        <v>Male</v>
      </c>
      <c r="E1923" t="str">
        <f t="shared" ca="1" si="380"/>
        <v>Dresses</v>
      </c>
      <c r="F1923">
        <f t="shared" ca="1" si="381"/>
        <v>2066</v>
      </c>
      <c r="G1923">
        <f t="shared" ca="1" si="382"/>
        <v>20</v>
      </c>
      <c r="H1923">
        <f t="shared" ca="1" si="383"/>
        <v>1652.8000000000002</v>
      </c>
      <c r="I1923">
        <f t="shared" ca="1" si="384"/>
        <v>1</v>
      </c>
      <c r="J1923">
        <f t="shared" ca="1" si="385"/>
        <v>1</v>
      </c>
      <c r="K1923">
        <f t="shared" ca="1" si="386"/>
        <v>0</v>
      </c>
      <c r="L1923">
        <f t="shared" ca="1" si="387"/>
        <v>0</v>
      </c>
      <c r="M1923">
        <f t="shared" ca="1" si="388"/>
        <v>6</v>
      </c>
      <c r="N1923">
        <f t="shared" ca="1" si="389"/>
        <v>0</v>
      </c>
    </row>
    <row r="1924" spans="1:14" x14ac:dyDescent="0.35">
      <c r="A1924" t="s">
        <v>1941</v>
      </c>
      <c r="B1924" t="str">
        <f t="shared" si="377"/>
        <v>Test</v>
      </c>
      <c r="C1924">
        <f t="shared" ca="1" si="378"/>
        <v>23</v>
      </c>
      <c r="D1924" t="str">
        <f t="shared" ca="1" si="379"/>
        <v>Male</v>
      </c>
      <c r="E1924" t="str">
        <f t="shared" ca="1" si="380"/>
        <v>Tops</v>
      </c>
      <c r="F1924">
        <f t="shared" ca="1" si="381"/>
        <v>5636</v>
      </c>
      <c r="G1924">
        <f t="shared" ca="1" si="382"/>
        <v>15</v>
      </c>
      <c r="H1924">
        <f t="shared" ca="1" si="383"/>
        <v>4790.5999999999995</v>
      </c>
      <c r="I1924">
        <f t="shared" ca="1" si="384"/>
        <v>1</v>
      </c>
      <c r="J1924">
        <f t="shared" ca="1" si="385"/>
        <v>1</v>
      </c>
      <c r="K1924">
        <f t="shared" ca="1" si="386"/>
        <v>0</v>
      </c>
      <c r="L1924">
        <f t="shared" ca="1" si="387"/>
        <v>0</v>
      </c>
      <c r="M1924">
        <f t="shared" ca="1" si="388"/>
        <v>1</v>
      </c>
      <c r="N1924">
        <f t="shared" ca="1" si="389"/>
        <v>0</v>
      </c>
    </row>
    <row r="1925" spans="1:14" x14ac:dyDescent="0.35">
      <c r="A1925" t="s">
        <v>1942</v>
      </c>
      <c r="B1925" t="str">
        <f t="shared" ref="B1925:B1988" si="390">IF(ROW()&lt;=1001,"Control","Test")</f>
        <v>Test</v>
      </c>
      <c r="C1925">
        <f t="shared" ref="C1925:C1988" ca="1" si="391">RANDBETWEEN(18,45)</f>
        <v>27</v>
      </c>
      <c r="D1925" t="str">
        <f t="shared" ref="D1925:D1988" ca="1" si="392">CHOOSE(RANDBETWEEN(1,20),"Female","Female","Female","Female","Female","Female","Female","Female","Female","Female","Male","Male","Male","Male","Male","Male","Male","Male","Other","Other")</f>
        <v>Female</v>
      </c>
      <c r="E1925" t="str">
        <f t="shared" ref="E1925:E1988" ca="1" si="393">CHOOSE(RANDBETWEEN(1,8),"T-shirts","Dresses","Jeans","Shoes","Ethnic Wear","Tops","Sportswear","Accessories")</f>
        <v>Sportswear</v>
      </c>
      <c r="F1925">
        <f t="shared" ref="F1925:F1988" ca="1" si="394">RANDBETWEEN(300,8000)</f>
        <v>5020</v>
      </c>
      <c r="G1925">
        <f t="shared" ref="G1925:G1988" ca="1" si="395">IF(B1925="Control",10,CHOOSE(RANDBETWEEN(1,3),15,20,25))</f>
        <v>25</v>
      </c>
      <c r="H1925">
        <f t="shared" ref="H1925:H1988" ca="1" si="396">F1925*(1-G1925/100)</f>
        <v>3765</v>
      </c>
      <c r="I1925">
        <f t="shared" ref="I1925:I1988" ca="1" si="397">IF(RAND()&lt;0.85,1,0)</f>
        <v>0</v>
      </c>
      <c r="J1925">
        <f t="shared" ref="J1925:J1988" ca="1" si="398">IF(I1925=1,IF(RAND()&lt;0.55,1,0),0)</f>
        <v>0</v>
      </c>
      <c r="K1925">
        <f t="shared" ref="K1925:K1988" ca="1" si="399">IF(J1925=1,IF(B1925="Test",IF(RAND()&lt;0.4,1,0),IF(RAND()&lt;0.34,1,0)),0)</f>
        <v>0</v>
      </c>
      <c r="L1925">
        <f t="shared" ref="L1925:L1988" ca="1" si="400">IF(K1925=1,H1925,0)</f>
        <v>0</v>
      </c>
      <c r="M1925">
        <f t="shared" ref="M1925:M1988" ca="1" si="401">RANDBETWEEN(1,7)</f>
        <v>3</v>
      </c>
      <c r="N1925">
        <f t="shared" ref="N1925:N1988" ca="1" si="402">IF(K1925=1,IF(RAND()&lt;0.15,1,0),0)</f>
        <v>0</v>
      </c>
    </row>
    <row r="1926" spans="1:14" x14ac:dyDescent="0.35">
      <c r="A1926" t="s">
        <v>1943</v>
      </c>
      <c r="B1926" t="str">
        <f t="shared" si="390"/>
        <v>Test</v>
      </c>
      <c r="C1926">
        <f t="shared" ca="1" si="391"/>
        <v>22</v>
      </c>
      <c r="D1926" t="str">
        <f t="shared" ca="1" si="392"/>
        <v>Female</v>
      </c>
      <c r="E1926" t="str">
        <f t="shared" ca="1" si="393"/>
        <v>Tops</v>
      </c>
      <c r="F1926">
        <f t="shared" ca="1" si="394"/>
        <v>7091</v>
      </c>
      <c r="G1926">
        <f t="shared" ca="1" si="395"/>
        <v>25</v>
      </c>
      <c r="H1926">
        <f t="shared" ca="1" si="396"/>
        <v>5318.25</v>
      </c>
      <c r="I1926">
        <f t="shared" ca="1" si="397"/>
        <v>1</v>
      </c>
      <c r="J1926">
        <f t="shared" ca="1" si="398"/>
        <v>1</v>
      </c>
      <c r="K1926">
        <f t="shared" ca="1" si="399"/>
        <v>0</v>
      </c>
      <c r="L1926">
        <f t="shared" ca="1" si="400"/>
        <v>0</v>
      </c>
      <c r="M1926">
        <f t="shared" ca="1" si="401"/>
        <v>5</v>
      </c>
      <c r="N1926">
        <f t="shared" ca="1" si="402"/>
        <v>0</v>
      </c>
    </row>
    <row r="1927" spans="1:14" x14ac:dyDescent="0.35">
      <c r="A1927" t="s">
        <v>1944</v>
      </c>
      <c r="B1927" t="str">
        <f t="shared" si="390"/>
        <v>Test</v>
      </c>
      <c r="C1927">
        <f t="shared" ca="1" si="391"/>
        <v>29</v>
      </c>
      <c r="D1927" t="str">
        <f t="shared" ca="1" si="392"/>
        <v>Female</v>
      </c>
      <c r="E1927" t="str">
        <f t="shared" ca="1" si="393"/>
        <v>Jeans</v>
      </c>
      <c r="F1927">
        <f t="shared" ca="1" si="394"/>
        <v>3521</v>
      </c>
      <c r="G1927">
        <f t="shared" ca="1" si="395"/>
        <v>25</v>
      </c>
      <c r="H1927">
        <f t="shared" ca="1" si="396"/>
        <v>2640.75</v>
      </c>
      <c r="I1927">
        <f t="shared" ca="1" si="397"/>
        <v>0</v>
      </c>
      <c r="J1927">
        <f t="shared" ca="1" si="398"/>
        <v>0</v>
      </c>
      <c r="K1927">
        <f t="shared" ca="1" si="399"/>
        <v>0</v>
      </c>
      <c r="L1927">
        <f t="shared" ca="1" si="400"/>
        <v>0</v>
      </c>
      <c r="M1927">
        <f t="shared" ca="1" si="401"/>
        <v>3</v>
      </c>
      <c r="N1927">
        <f t="shared" ca="1" si="402"/>
        <v>0</v>
      </c>
    </row>
    <row r="1928" spans="1:14" x14ac:dyDescent="0.35">
      <c r="A1928" t="s">
        <v>1945</v>
      </c>
      <c r="B1928" t="str">
        <f t="shared" si="390"/>
        <v>Test</v>
      </c>
      <c r="C1928">
        <f t="shared" ca="1" si="391"/>
        <v>25</v>
      </c>
      <c r="D1928" t="str">
        <f t="shared" ca="1" si="392"/>
        <v>Female</v>
      </c>
      <c r="E1928" t="str">
        <f t="shared" ca="1" si="393"/>
        <v>Shoes</v>
      </c>
      <c r="F1928">
        <f t="shared" ca="1" si="394"/>
        <v>5708</v>
      </c>
      <c r="G1928">
        <f t="shared" ca="1" si="395"/>
        <v>25</v>
      </c>
      <c r="H1928">
        <f t="shared" ca="1" si="396"/>
        <v>4281</v>
      </c>
      <c r="I1928">
        <f t="shared" ca="1" si="397"/>
        <v>0</v>
      </c>
      <c r="J1928">
        <f t="shared" ca="1" si="398"/>
        <v>0</v>
      </c>
      <c r="K1928">
        <f t="shared" ca="1" si="399"/>
        <v>0</v>
      </c>
      <c r="L1928">
        <f t="shared" ca="1" si="400"/>
        <v>0</v>
      </c>
      <c r="M1928">
        <f t="shared" ca="1" si="401"/>
        <v>7</v>
      </c>
      <c r="N1928">
        <f t="shared" ca="1" si="402"/>
        <v>0</v>
      </c>
    </row>
    <row r="1929" spans="1:14" x14ac:dyDescent="0.35">
      <c r="A1929" t="s">
        <v>1946</v>
      </c>
      <c r="B1929" t="str">
        <f t="shared" si="390"/>
        <v>Test</v>
      </c>
      <c r="C1929">
        <f t="shared" ca="1" si="391"/>
        <v>39</v>
      </c>
      <c r="D1929" t="str">
        <f t="shared" ca="1" si="392"/>
        <v>Male</v>
      </c>
      <c r="E1929" t="str">
        <f t="shared" ca="1" si="393"/>
        <v>Shoes</v>
      </c>
      <c r="F1929">
        <f t="shared" ca="1" si="394"/>
        <v>1193</v>
      </c>
      <c r="G1929">
        <f t="shared" ca="1" si="395"/>
        <v>15</v>
      </c>
      <c r="H1929">
        <f t="shared" ca="1" si="396"/>
        <v>1014.05</v>
      </c>
      <c r="I1929">
        <f t="shared" ca="1" si="397"/>
        <v>1</v>
      </c>
      <c r="J1929">
        <f t="shared" ca="1" si="398"/>
        <v>1</v>
      </c>
      <c r="K1929">
        <f t="shared" ca="1" si="399"/>
        <v>0</v>
      </c>
      <c r="L1929">
        <f t="shared" ca="1" si="400"/>
        <v>0</v>
      </c>
      <c r="M1929">
        <f t="shared" ca="1" si="401"/>
        <v>1</v>
      </c>
      <c r="N1929">
        <f t="shared" ca="1" si="402"/>
        <v>0</v>
      </c>
    </row>
    <row r="1930" spans="1:14" x14ac:dyDescent="0.35">
      <c r="A1930" t="s">
        <v>1947</v>
      </c>
      <c r="B1930" t="str">
        <f t="shared" si="390"/>
        <v>Test</v>
      </c>
      <c r="C1930">
        <f t="shared" ca="1" si="391"/>
        <v>43</v>
      </c>
      <c r="D1930" t="str">
        <f t="shared" ca="1" si="392"/>
        <v>Female</v>
      </c>
      <c r="E1930" t="str">
        <f t="shared" ca="1" si="393"/>
        <v>Ethnic Wear</v>
      </c>
      <c r="F1930">
        <f t="shared" ca="1" si="394"/>
        <v>5769</v>
      </c>
      <c r="G1930">
        <f t="shared" ca="1" si="395"/>
        <v>20</v>
      </c>
      <c r="H1930">
        <f t="shared" ca="1" si="396"/>
        <v>4615.2</v>
      </c>
      <c r="I1930">
        <f t="shared" ca="1" si="397"/>
        <v>1</v>
      </c>
      <c r="J1930">
        <f t="shared" ca="1" si="398"/>
        <v>0</v>
      </c>
      <c r="K1930">
        <f t="shared" ca="1" si="399"/>
        <v>0</v>
      </c>
      <c r="L1930">
        <f t="shared" ca="1" si="400"/>
        <v>0</v>
      </c>
      <c r="M1930">
        <f t="shared" ca="1" si="401"/>
        <v>5</v>
      </c>
      <c r="N1930">
        <f t="shared" ca="1" si="402"/>
        <v>0</v>
      </c>
    </row>
    <row r="1931" spans="1:14" x14ac:dyDescent="0.35">
      <c r="A1931" t="s">
        <v>1948</v>
      </c>
      <c r="B1931" t="str">
        <f t="shared" si="390"/>
        <v>Test</v>
      </c>
      <c r="C1931">
        <f t="shared" ca="1" si="391"/>
        <v>26</v>
      </c>
      <c r="D1931" t="str">
        <f t="shared" ca="1" si="392"/>
        <v>Other</v>
      </c>
      <c r="E1931" t="str">
        <f t="shared" ca="1" si="393"/>
        <v>Shoes</v>
      </c>
      <c r="F1931">
        <f t="shared" ca="1" si="394"/>
        <v>7451</v>
      </c>
      <c r="G1931">
        <f t="shared" ca="1" si="395"/>
        <v>20</v>
      </c>
      <c r="H1931">
        <f t="shared" ca="1" si="396"/>
        <v>5960.8</v>
      </c>
      <c r="I1931">
        <f t="shared" ca="1" si="397"/>
        <v>1</v>
      </c>
      <c r="J1931">
        <f t="shared" ca="1" si="398"/>
        <v>1</v>
      </c>
      <c r="K1931">
        <f t="shared" ca="1" si="399"/>
        <v>0</v>
      </c>
      <c r="L1931">
        <f t="shared" ca="1" si="400"/>
        <v>0</v>
      </c>
      <c r="M1931">
        <f t="shared" ca="1" si="401"/>
        <v>1</v>
      </c>
      <c r="N1931">
        <f t="shared" ca="1" si="402"/>
        <v>0</v>
      </c>
    </row>
    <row r="1932" spans="1:14" x14ac:dyDescent="0.35">
      <c r="A1932" t="s">
        <v>1949</v>
      </c>
      <c r="B1932" t="str">
        <f t="shared" si="390"/>
        <v>Test</v>
      </c>
      <c r="C1932">
        <f t="shared" ca="1" si="391"/>
        <v>45</v>
      </c>
      <c r="D1932" t="str">
        <f t="shared" ca="1" si="392"/>
        <v>Other</v>
      </c>
      <c r="E1932" t="str">
        <f t="shared" ca="1" si="393"/>
        <v>Shoes</v>
      </c>
      <c r="F1932">
        <f t="shared" ca="1" si="394"/>
        <v>1465</v>
      </c>
      <c r="G1932">
        <f t="shared" ca="1" si="395"/>
        <v>25</v>
      </c>
      <c r="H1932">
        <f t="shared" ca="1" si="396"/>
        <v>1098.75</v>
      </c>
      <c r="I1932">
        <f t="shared" ca="1" si="397"/>
        <v>1</v>
      </c>
      <c r="J1932">
        <f t="shared" ca="1" si="398"/>
        <v>0</v>
      </c>
      <c r="K1932">
        <f t="shared" ca="1" si="399"/>
        <v>0</v>
      </c>
      <c r="L1932">
        <f t="shared" ca="1" si="400"/>
        <v>0</v>
      </c>
      <c r="M1932">
        <f t="shared" ca="1" si="401"/>
        <v>6</v>
      </c>
      <c r="N1932">
        <f t="shared" ca="1" si="402"/>
        <v>0</v>
      </c>
    </row>
    <row r="1933" spans="1:14" x14ac:dyDescent="0.35">
      <c r="A1933" t="s">
        <v>1950</v>
      </c>
      <c r="B1933" t="str">
        <f t="shared" si="390"/>
        <v>Test</v>
      </c>
      <c r="C1933">
        <f t="shared" ca="1" si="391"/>
        <v>21</v>
      </c>
      <c r="D1933" t="str">
        <f t="shared" ca="1" si="392"/>
        <v>Female</v>
      </c>
      <c r="E1933" t="str">
        <f t="shared" ca="1" si="393"/>
        <v>Accessories</v>
      </c>
      <c r="F1933">
        <f t="shared" ca="1" si="394"/>
        <v>4809</v>
      </c>
      <c r="G1933">
        <f t="shared" ca="1" si="395"/>
        <v>25</v>
      </c>
      <c r="H1933">
        <f t="shared" ca="1" si="396"/>
        <v>3606.75</v>
      </c>
      <c r="I1933">
        <f t="shared" ca="1" si="397"/>
        <v>1</v>
      </c>
      <c r="J1933">
        <f t="shared" ca="1" si="398"/>
        <v>1</v>
      </c>
      <c r="K1933">
        <f t="shared" ca="1" si="399"/>
        <v>0</v>
      </c>
      <c r="L1933">
        <f t="shared" ca="1" si="400"/>
        <v>0</v>
      </c>
      <c r="M1933">
        <f t="shared" ca="1" si="401"/>
        <v>5</v>
      </c>
      <c r="N1933">
        <f t="shared" ca="1" si="402"/>
        <v>0</v>
      </c>
    </row>
    <row r="1934" spans="1:14" x14ac:dyDescent="0.35">
      <c r="A1934" t="s">
        <v>1951</v>
      </c>
      <c r="B1934" t="str">
        <f t="shared" si="390"/>
        <v>Test</v>
      </c>
      <c r="C1934">
        <f t="shared" ca="1" si="391"/>
        <v>23</v>
      </c>
      <c r="D1934" t="str">
        <f t="shared" ca="1" si="392"/>
        <v>Female</v>
      </c>
      <c r="E1934" t="str">
        <f t="shared" ca="1" si="393"/>
        <v>Accessories</v>
      </c>
      <c r="F1934">
        <f t="shared" ca="1" si="394"/>
        <v>3697</v>
      </c>
      <c r="G1934">
        <f t="shared" ca="1" si="395"/>
        <v>15</v>
      </c>
      <c r="H1934">
        <f t="shared" ca="1" si="396"/>
        <v>3142.45</v>
      </c>
      <c r="I1934">
        <f t="shared" ca="1" si="397"/>
        <v>1</v>
      </c>
      <c r="J1934">
        <f t="shared" ca="1" si="398"/>
        <v>1</v>
      </c>
      <c r="K1934">
        <f t="shared" ca="1" si="399"/>
        <v>0</v>
      </c>
      <c r="L1934">
        <f t="shared" ca="1" si="400"/>
        <v>0</v>
      </c>
      <c r="M1934">
        <f t="shared" ca="1" si="401"/>
        <v>5</v>
      </c>
      <c r="N1934">
        <f t="shared" ca="1" si="402"/>
        <v>0</v>
      </c>
    </row>
    <row r="1935" spans="1:14" x14ac:dyDescent="0.35">
      <c r="A1935" t="s">
        <v>1952</v>
      </c>
      <c r="B1935" t="str">
        <f t="shared" si="390"/>
        <v>Test</v>
      </c>
      <c r="C1935">
        <f t="shared" ca="1" si="391"/>
        <v>25</v>
      </c>
      <c r="D1935" t="str">
        <f t="shared" ca="1" si="392"/>
        <v>Male</v>
      </c>
      <c r="E1935" t="str">
        <f t="shared" ca="1" si="393"/>
        <v>Ethnic Wear</v>
      </c>
      <c r="F1935">
        <f t="shared" ca="1" si="394"/>
        <v>5945</v>
      </c>
      <c r="G1935">
        <f t="shared" ca="1" si="395"/>
        <v>20</v>
      </c>
      <c r="H1935">
        <f t="shared" ca="1" si="396"/>
        <v>4756</v>
      </c>
      <c r="I1935">
        <f t="shared" ca="1" si="397"/>
        <v>1</v>
      </c>
      <c r="J1935">
        <f t="shared" ca="1" si="398"/>
        <v>1</v>
      </c>
      <c r="K1935">
        <f t="shared" ca="1" si="399"/>
        <v>0</v>
      </c>
      <c r="L1935">
        <f t="shared" ca="1" si="400"/>
        <v>0</v>
      </c>
      <c r="M1935">
        <f t="shared" ca="1" si="401"/>
        <v>7</v>
      </c>
      <c r="N1935">
        <f t="shared" ca="1" si="402"/>
        <v>0</v>
      </c>
    </row>
    <row r="1936" spans="1:14" x14ac:dyDescent="0.35">
      <c r="A1936" t="s">
        <v>1953</v>
      </c>
      <c r="B1936" t="str">
        <f t="shared" si="390"/>
        <v>Test</v>
      </c>
      <c r="C1936">
        <f t="shared" ca="1" si="391"/>
        <v>41</v>
      </c>
      <c r="D1936" t="str">
        <f t="shared" ca="1" si="392"/>
        <v>Male</v>
      </c>
      <c r="E1936" t="str">
        <f t="shared" ca="1" si="393"/>
        <v>Dresses</v>
      </c>
      <c r="F1936">
        <f t="shared" ca="1" si="394"/>
        <v>7690</v>
      </c>
      <c r="G1936">
        <f t="shared" ca="1" si="395"/>
        <v>20</v>
      </c>
      <c r="H1936">
        <f t="shared" ca="1" si="396"/>
        <v>6152</v>
      </c>
      <c r="I1936">
        <f t="shared" ca="1" si="397"/>
        <v>1</v>
      </c>
      <c r="J1936">
        <f t="shared" ca="1" si="398"/>
        <v>1</v>
      </c>
      <c r="K1936">
        <f t="shared" ca="1" si="399"/>
        <v>1</v>
      </c>
      <c r="L1936">
        <f t="shared" ca="1" si="400"/>
        <v>6152</v>
      </c>
      <c r="M1936">
        <f t="shared" ca="1" si="401"/>
        <v>4</v>
      </c>
      <c r="N1936">
        <f t="shared" ca="1" si="402"/>
        <v>0</v>
      </c>
    </row>
    <row r="1937" spans="1:14" x14ac:dyDescent="0.35">
      <c r="A1937" t="s">
        <v>1954</v>
      </c>
      <c r="B1937" t="str">
        <f t="shared" si="390"/>
        <v>Test</v>
      </c>
      <c r="C1937">
        <f t="shared" ca="1" si="391"/>
        <v>36</v>
      </c>
      <c r="D1937" t="str">
        <f t="shared" ca="1" si="392"/>
        <v>Other</v>
      </c>
      <c r="E1937" t="str">
        <f t="shared" ca="1" si="393"/>
        <v>Ethnic Wear</v>
      </c>
      <c r="F1937">
        <f t="shared" ca="1" si="394"/>
        <v>3541</v>
      </c>
      <c r="G1937">
        <f t="shared" ca="1" si="395"/>
        <v>20</v>
      </c>
      <c r="H1937">
        <f t="shared" ca="1" si="396"/>
        <v>2832.8</v>
      </c>
      <c r="I1937">
        <f t="shared" ca="1" si="397"/>
        <v>1</v>
      </c>
      <c r="J1937">
        <f t="shared" ca="1" si="398"/>
        <v>1</v>
      </c>
      <c r="K1937">
        <f t="shared" ca="1" si="399"/>
        <v>0</v>
      </c>
      <c r="L1937">
        <f t="shared" ca="1" si="400"/>
        <v>0</v>
      </c>
      <c r="M1937">
        <f t="shared" ca="1" si="401"/>
        <v>7</v>
      </c>
      <c r="N1937">
        <f t="shared" ca="1" si="402"/>
        <v>0</v>
      </c>
    </row>
    <row r="1938" spans="1:14" x14ac:dyDescent="0.35">
      <c r="A1938" t="s">
        <v>1955</v>
      </c>
      <c r="B1938" t="str">
        <f t="shared" si="390"/>
        <v>Test</v>
      </c>
      <c r="C1938">
        <f t="shared" ca="1" si="391"/>
        <v>32</v>
      </c>
      <c r="D1938" t="str">
        <f t="shared" ca="1" si="392"/>
        <v>Female</v>
      </c>
      <c r="E1938" t="str">
        <f t="shared" ca="1" si="393"/>
        <v>Jeans</v>
      </c>
      <c r="F1938">
        <f t="shared" ca="1" si="394"/>
        <v>2288</v>
      </c>
      <c r="G1938">
        <f t="shared" ca="1" si="395"/>
        <v>25</v>
      </c>
      <c r="H1938">
        <f t="shared" ca="1" si="396"/>
        <v>1716</v>
      </c>
      <c r="I1938">
        <f t="shared" ca="1" si="397"/>
        <v>1</v>
      </c>
      <c r="J1938">
        <f t="shared" ca="1" si="398"/>
        <v>0</v>
      </c>
      <c r="K1938">
        <f t="shared" ca="1" si="399"/>
        <v>0</v>
      </c>
      <c r="L1938">
        <f t="shared" ca="1" si="400"/>
        <v>0</v>
      </c>
      <c r="M1938">
        <f t="shared" ca="1" si="401"/>
        <v>6</v>
      </c>
      <c r="N1938">
        <f t="shared" ca="1" si="402"/>
        <v>0</v>
      </c>
    </row>
    <row r="1939" spans="1:14" x14ac:dyDescent="0.35">
      <c r="A1939" t="s">
        <v>1956</v>
      </c>
      <c r="B1939" t="str">
        <f t="shared" si="390"/>
        <v>Test</v>
      </c>
      <c r="C1939">
        <f t="shared" ca="1" si="391"/>
        <v>36</v>
      </c>
      <c r="D1939" t="str">
        <f t="shared" ca="1" si="392"/>
        <v>Male</v>
      </c>
      <c r="E1939" t="str">
        <f t="shared" ca="1" si="393"/>
        <v>Shoes</v>
      </c>
      <c r="F1939">
        <f t="shared" ca="1" si="394"/>
        <v>3414</v>
      </c>
      <c r="G1939">
        <f t="shared" ca="1" si="395"/>
        <v>25</v>
      </c>
      <c r="H1939">
        <f t="shared" ca="1" si="396"/>
        <v>2560.5</v>
      </c>
      <c r="I1939">
        <f t="shared" ca="1" si="397"/>
        <v>1</v>
      </c>
      <c r="J1939">
        <f t="shared" ca="1" si="398"/>
        <v>0</v>
      </c>
      <c r="K1939">
        <f t="shared" ca="1" si="399"/>
        <v>0</v>
      </c>
      <c r="L1939">
        <f t="shared" ca="1" si="400"/>
        <v>0</v>
      </c>
      <c r="M1939">
        <f t="shared" ca="1" si="401"/>
        <v>1</v>
      </c>
      <c r="N1939">
        <f t="shared" ca="1" si="402"/>
        <v>0</v>
      </c>
    </row>
    <row r="1940" spans="1:14" x14ac:dyDescent="0.35">
      <c r="A1940" t="s">
        <v>1957</v>
      </c>
      <c r="B1940" t="str">
        <f t="shared" si="390"/>
        <v>Test</v>
      </c>
      <c r="C1940">
        <f t="shared" ca="1" si="391"/>
        <v>30</v>
      </c>
      <c r="D1940" t="str">
        <f t="shared" ca="1" si="392"/>
        <v>Other</v>
      </c>
      <c r="E1940" t="str">
        <f t="shared" ca="1" si="393"/>
        <v>Ethnic Wear</v>
      </c>
      <c r="F1940">
        <f t="shared" ca="1" si="394"/>
        <v>4682</v>
      </c>
      <c r="G1940">
        <f t="shared" ca="1" si="395"/>
        <v>25</v>
      </c>
      <c r="H1940">
        <f t="shared" ca="1" si="396"/>
        <v>3511.5</v>
      </c>
      <c r="I1940">
        <f t="shared" ca="1" si="397"/>
        <v>1</v>
      </c>
      <c r="J1940">
        <f t="shared" ca="1" si="398"/>
        <v>1</v>
      </c>
      <c r="K1940">
        <f t="shared" ca="1" si="399"/>
        <v>1</v>
      </c>
      <c r="L1940">
        <f t="shared" ca="1" si="400"/>
        <v>3511.5</v>
      </c>
      <c r="M1940">
        <f t="shared" ca="1" si="401"/>
        <v>6</v>
      </c>
      <c r="N1940">
        <f t="shared" ca="1" si="402"/>
        <v>0</v>
      </c>
    </row>
    <row r="1941" spans="1:14" x14ac:dyDescent="0.35">
      <c r="A1941" t="s">
        <v>1958</v>
      </c>
      <c r="B1941" t="str">
        <f t="shared" si="390"/>
        <v>Test</v>
      </c>
      <c r="C1941">
        <f t="shared" ca="1" si="391"/>
        <v>32</v>
      </c>
      <c r="D1941" t="str">
        <f t="shared" ca="1" si="392"/>
        <v>Male</v>
      </c>
      <c r="E1941" t="str">
        <f t="shared" ca="1" si="393"/>
        <v>Sportswear</v>
      </c>
      <c r="F1941">
        <f t="shared" ca="1" si="394"/>
        <v>3272</v>
      </c>
      <c r="G1941">
        <f t="shared" ca="1" si="395"/>
        <v>20</v>
      </c>
      <c r="H1941">
        <f t="shared" ca="1" si="396"/>
        <v>2617.6000000000004</v>
      </c>
      <c r="I1941">
        <f t="shared" ca="1" si="397"/>
        <v>0</v>
      </c>
      <c r="J1941">
        <f t="shared" ca="1" si="398"/>
        <v>0</v>
      </c>
      <c r="K1941">
        <f t="shared" ca="1" si="399"/>
        <v>0</v>
      </c>
      <c r="L1941">
        <f t="shared" ca="1" si="400"/>
        <v>0</v>
      </c>
      <c r="M1941">
        <f t="shared" ca="1" si="401"/>
        <v>6</v>
      </c>
      <c r="N1941">
        <f t="shared" ca="1" si="402"/>
        <v>0</v>
      </c>
    </row>
    <row r="1942" spans="1:14" x14ac:dyDescent="0.35">
      <c r="A1942" t="s">
        <v>1959</v>
      </c>
      <c r="B1942" t="str">
        <f t="shared" si="390"/>
        <v>Test</v>
      </c>
      <c r="C1942">
        <f t="shared" ca="1" si="391"/>
        <v>43</v>
      </c>
      <c r="D1942" t="str">
        <f t="shared" ca="1" si="392"/>
        <v>Male</v>
      </c>
      <c r="E1942" t="str">
        <f t="shared" ca="1" si="393"/>
        <v>Sportswear</v>
      </c>
      <c r="F1942">
        <f t="shared" ca="1" si="394"/>
        <v>7539</v>
      </c>
      <c r="G1942">
        <f t="shared" ca="1" si="395"/>
        <v>15</v>
      </c>
      <c r="H1942">
        <f t="shared" ca="1" si="396"/>
        <v>6408.15</v>
      </c>
      <c r="I1942">
        <f t="shared" ca="1" si="397"/>
        <v>1</v>
      </c>
      <c r="J1942">
        <f t="shared" ca="1" si="398"/>
        <v>1</v>
      </c>
      <c r="K1942">
        <f t="shared" ca="1" si="399"/>
        <v>0</v>
      </c>
      <c r="L1942">
        <f t="shared" ca="1" si="400"/>
        <v>0</v>
      </c>
      <c r="M1942">
        <f t="shared" ca="1" si="401"/>
        <v>5</v>
      </c>
      <c r="N1942">
        <f t="shared" ca="1" si="402"/>
        <v>0</v>
      </c>
    </row>
    <row r="1943" spans="1:14" x14ac:dyDescent="0.35">
      <c r="A1943" t="s">
        <v>1960</v>
      </c>
      <c r="B1943" t="str">
        <f t="shared" si="390"/>
        <v>Test</v>
      </c>
      <c r="C1943">
        <f t="shared" ca="1" si="391"/>
        <v>30</v>
      </c>
      <c r="D1943" t="str">
        <f t="shared" ca="1" si="392"/>
        <v>Female</v>
      </c>
      <c r="E1943" t="str">
        <f t="shared" ca="1" si="393"/>
        <v>Dresses</v>
      </c>
      <c r="F1943">
        <f t="shared" ca="1" si="394"/>
        <v>6353</v>
      </c>
      <c r="G1943">
        <f t="shared" ca="1" si="395"/>
        <v>25</v>
      </c>
      <c r="H1943">
        <f t="shared" ca="1" si="396"/>
        <v>4764.75</v>
      </c>
      <c r="I1943">
        <f t="shared" ca="1" si="397"/>
        <v>1</v>
      </c>
      <c r="J1943">
        <f t="shared" ca="1" si="398"/>
        <v>0</v>
      </c>
      <c r="K1943">
        <f t="shared" ca="1" si="399"/>
        <v>0</v>
      </c>
      <c r="L1943">
        <f t="shared" ca="1" si="400"/>
        <v>0</v>
      </c>
      <c r="M1943">
        <f t="shared" ca="1" si="401"/>
        <v>4</v>
      </c>
      <c r="N1943">
        <f t="shared" ca="1" si="402"/>
        <v>0</v>
      </c>
    </row>
    <row r="1944" spans="1:14" x14ac:dyDescent="0.35">
      <c r="A1944" t="s">
        <v>1961</v>
      </c>
      <c r="B1944" t="str">
        <f t="shared" si="390"/>
        <v>Test</v>
      </c>
      <c r="C1944">
        <f t="shared" ca="1" si="391"/>
        <v>33</v>
      </c>
      <c r="D1944" t="str">
        <f t="shared" ca="1" si="392"/>
        <v>Female</v>
      </c>
      <c r="E1944" t="str">
        <f t="shared" ca="1" si="393"/>
        <v>T-shirts</v>
      </c>
      <c r="F1944">
        <f t="shared" ca="1" si="394"/>
        <v>1888</v>
      </c>
      <c r="G1944">
        <f t="shared" ca="1" si="395"/>
        <v>25</v>
      </c>
      <c r="H1944">
        <f t="shared" ca="1" si="396"/>
        <v>1416</v>
      </c>
      <c r="I1944">
        <f t="shared" ca="1" si="397"/>
        <v>1</v>
      </c>
      <c r="J1944">
        <f t="shared" ca="1" si="398"/>
        <v>0</v>
      </c>
      <c r="K1944">
        <f t="shared" ca="1" si="399"/>
        <v>0</v>
      </c>
      <c r="L1944">
        <f t="shared" ca="1" si="400"/>
        <v>0</v>
      </c>
      <c r="M1944">
        <f t="shared" ca="1" si="401"/>
        <v>5</v>
      </c>
      <c r="N1944">
        <f t="shared" ca="1" si="402"/>
        <v>0</v>
      </c>
    </row>
    <row r="1945" spans="1:14" x14ac:dyDescent="0.35">
      <c r="A1945" t="s">
        <v>1962</v>
      </c>
      <c r="B1945" t="str">
        <f t="shared" si="390"/>
        <v>Test</v>
      </c>
      <c r="C1945">
        <f t="shared" ca="1" si="391"/>
        <v>33</v>
      </c>
      <c r="D1945" t="str">
        <f t="shared" ca="1" si="392"/>
        <v>Male</v>
      </c>
      <c r="E1945" t="str">
        <f t="shared" ca="1" si="393"/>
        <v>Accessories</v>
      </c>
      <c r="F1945">
        <f t="shared" ca="1" si="394"/>
        <v>7324</v>
      </c>
      <c r="G1945">
        <f t="shared" ca="1" si="395"/>
        <v>20</v>
      </c>
      <c r="H1945">
        <f t="shared" ca="1" si="396"/>
        <v>5859.2000000000007</v>
      </c>
      <c r="I1945">
        <f t="shared" ca="1" si="397"/>
        <v>1</v>
      </c>
      <c r="J1945">
        <f t="shared" ca="1" si="398"/>
        <v>1</v>
      </c>
      <c r="K1945">
        <f t="shared" ca="1" si="399"/>
        <v>0</v>
      </c>
      <c r="L1945">
        <f t="shared" ca="1" si="400"/>
        <v>0</v>
      </c>
      <c r="M1945">
        <f t="shared" ca="1" si="401"/>
        <v>7</v>
      </c>
      <c r="N1945">
        <f t="shared" ca="1" si="402"/>
        <v>0</v>
      </c>
    </row>
    <row r="1946" spans="1:14" x14ac:dyDescent="0.35">
      <c r="A1946" t="s">
        <v>1963</v>
      </c>
      <c r="B1946" t="str">
        <f t="shared" si="390"/>
        <v>Test</v>
      </c>
      <c r="C1946">
        <f t="shared" ca="1" si="391"/>
        <v>18</v>
      </c>
      <c r="D1946" t="str">
        <f t="shared" ca="1" si="392"/>
        <v>Female</v>
      </c>
      <c r="E1946" t="str">
        <f t="shared" ca="1" si="393"/>
        <v>Ethnic Wear</v>
      </c>
      <c r="F1946">
        <f t="shared" ca="1" si="394"/>
        <v>5795</v>
      </c>
      <c r="G1946">
        <f t="shared" ca="1" si="395"/>
        <v>15</v>
      </c>
      <c r="H1946">
        <f t="shared" ca="1" si="396"/>
        <v>4925.75</v>
      </c>
      <c r="I1946">
        <f t="shared" ca="1" si="397"/>
        <v>1</v>
      </c>
      <c r="J1946">
        <f t="shared" ca="1" si="398"/>
        <v>0</v>
      </c>
      <c r="K1946">
        <f t="shared" ca="1" si="399"/>
        <v>0</v>
      </c>
      <c r="L1946">
        <f t="shared" ca="1" si="400"/>
        <v>0</v>
      </c>
      <c r="M1946">
        <f t="shared" ca="1" si="401"/>
        <v>4</v>
      </c>
      <c r="N1946">
        <f t="shared" ca="1" si="402"/>
        <v>0</v>
      </c>
    </row>
    <row r="1947" spans="1:14" x14ac:dyDescent="0.35">
      <c r="A1947" t="s">
        <v>1964</v>
      </c>
      <c r="B1947" t="str">
        <f t="shared" si="390"/>
        <v>Test</v>
      </c>
      <c r="C1947">
        <f t="shared" ca="1" si="391"/>
        <v>18</v>
      </c>
      <c r="D1947" t="str">
        <f t="shared" ca="1" si="392"/>
        <v>Other</v>
      </c>
      <c r="E1947" t="str">
        <f t="shared" ca="1" si="393"/>
        <v>Jeans</v>
      </c>
      <c r="F1947">
        <f t="shared" ca="1" si="394"/>
        <v>6871</v>
      </c>
      <c r="G1947">
        <f t="shared" ca="1" si="395"/>
        <v>20</v>
      </c>
      <c r="H1947">
        <f t="shared" ca="1" si="396"/>
        <v>5496.8</v>
      </c>
      <c r="I1947">
        <f t="shared" ca="1" si="397"/>
        <v>1</v>
      </c>
      <c r="J1947">
        <f t="shared" ca="1" si="398"/>
        <v>0</v>
      </c>
      <c r="K1947">
        <f t="shared" ca="1" si="399"/>
        <v>0</v>
      </c>
      <c r="L1947">
        <f t="shared" ca="1" si="400"/>
        <v>0</v>
      </c>
      <c r="M1947">
        <f t="shared" ca="1" si="401"/>
        <v>4</v>
      </c>
      <c r="N1947">
        <f t="shared" ca="1" si="402"/>
        <v>0</v>
      </c>
    </row>
    <row r="1948" spans="1:14" x14ac:dyDescent="0.35">
      <c r="A1948" t="s">
        <v>1965</v>
      </c>
      <c r="B1948" t="str">
        <f t="shared" si="390"/>
        <v>Test</v>
      </c>
      <c r="C1948">
        <f t="shared" ca="1" si="391"/>
        <v>28</v>
      </c>
      <c r="D1948" t="str">
        <f t="shared" ca="1" si="392"/>
        <v>Female</v>
      </c>
      <c r="E1948" t="str">
        <f t="shared" ca="1" si="393"/>
        <v>Shoes</v>
      </c>
      <c r="F1948">
        <f t="shared" ca="1" si="394"/>
        <v>1645</v>
      </c>
      <c r="G1948">
        <f t="shared" ca="1" si="395"/>
        <v>20</v>
      </c>
      <c r="H1948">
        <f t="shared" ca="1" si="396"/>
        <v>1316</v>
      </c>
      <c r="I1948">
        <f t="shared" ca="1" si="397"/>
        <v>1</v>
      </c>
      <c r="J1948">
        <f t="shared" ca="1" si="398"/>
        <v>0</v>
      </c>
      <c r="K1948">
        <f t="shared" ca="1" si="399"/>
        <v>0</v>
      </c>
      <c r="L1948">
        <f t="shared" ca="1" si="400"/>
        <v>0</v>
      </c>
      <c r="M1948">
        <f t="shared" ca="1" si="401"/>
        <v>4</v>
      </c>
      <c r="N1948">
        <f t="shared" ca="1" si="402"/>
        <v>0</v>
      </c>
    </row>
    <row r="1949" spans="1:14" x14ac:dyDescent="0.35">
      <c r="A1949" t="s">
        <v>1966</v>
      </c>
      <c r="B1949" t="str">
        <f t="shared" si="390"/>
        <v>Test</v>
      </c>
      <c r="C1949">
        <f t="shared" ca="1" si="391"/>
        <v>38</v>
      </c>
      <c r="D1949" t="str">
        <f t="shared" ca="1" si="392"/>
        <v>Female</v>
      </c>
      <c r="E1949" t="str">
        <f t="shared" ca="1" si="393"/>
        <v>Sportswear</v>
      </c>
      <c r="F1949">
        <f t="shared" ca="1" si="394"/>
        <v>1164</v>
      </c>
      <c r="G1949">
        <f t="shared" ca="1" si="395"/>
        <v>15</v>
      </c>
      <c r="H1949">
        <f t="shared" ca="1" si="396"/>
        <v>989.4</v>
      </c>
      <c r="I1949">
        <f t="shared" ca="1" si="397"/>
        <v>1</v>
      </c>
      <c r="J1949">
        <f t="shared" ca="1" si="398"/>
        <v>0</v>
      </c>
      <c r="K1949">
        <f t="shared" ca="1" si="399"/>
        <v>0</v>
      </c>
      <c r="L1949">
        <f t="shared" ca="1" si="400"/>
        <v>0</v>
      </c>
      <c r="M1949">
        <f t="shared" ca="1" si="401"/>
        <v>3</v>
      </c>
      <c r="N1949">
        <f t="shared" ca="1" si="402"/>
        <v>0</v>
      </c>
    </row>
    <row r="1950" spans="1:14" x14ac:dyDescent="0.35">
      <c r="A1950" t="s">
        <v>1967</v>
      </c>
      <c r="B1950" t="str">
        <f t="shared" si="390"/>
        <v>Test</v>
      </c>
      <c r="C1950">
        <f t="shared" ca="1" si="391"/>
        <v>27</v>
      </c>
      <c r="D1950" t="str">
        <f t="shared" ca="1" si="392"/>
        <v>Female</v>
      </c>
      <c r="E1950" t="str">
        <f t="shared" ca="1" si="393"/>
        <v>Dresses</v>
      </c>
      <c r="F1950">
        <f t="shared" ca="1" si="394"/>
        <v>7351</v>
      </c>
      <c r="G1950">
        <f t="shared" ca="1" si="395"/>
        <v>20</v>
      </c>
      <c r="H1950">
        <f t="shared" ca="1" si="396"/>
        <v>5880.8</v>
      </c>
      <c r="I1950">
        <f t="shared" ca="1" si="397"/>
        <v>1</v>
      </c>
      <c r="J1950">
        <f t="shared" ca="1" si="398"/>
        <v>1</v>
      </c>
      <c r="K1950">
        <f t="shared" ca="1" si="399"/>
        <v>0</v>
      </c>
      <c r="L1950">
        <f t="shared" ca="1" si="400"/>
        <v>0</v>
      </c>
      <c r="M1950">
        <f t="shared" ca="1" si="401"/>
        <v>5</v>
      </c>
      <c r="N1950">
        <f t="shared" ca="1" si="402"/>
        <v>0</v>
      </c>
    </row>
    <row r="1951" spans="1:14" x14ac:dyDescent="0.35">
      <c r="A1951" t="s">
        <v>1968</v>
      </c>
      <c r="B1951" t="str">
        <f t="shared" si="390"/>
        <v>Test</v>
      </c>
      <c r="C1951">
        <f t="shared" ca="1" si="391"/>
        <v>32</v>
      </c>
      <c r="D1951" t="str">
        <f t="shared" ca="1" si="392"/>
        <v>Female</v>
      </c>
      <c r="E1951" t="str">
        <f t="shared" ca="1" si="393"/>
        <v>Ethnic Wear</v>
      </c>
      <c r="F1951">
        <f t="shared" ca="1" si="394"/>
        <v>4276</v>
      </c>
      <c r="G1951">
        <f t="shared" ca="1" si="395"/>
        <v>15</v>
      </c>
      <c r="H1951">
        <f t="shared" ca="1" si="396"/>
        <v>3634.6</v>
      </c>
      <c r="I1951">
        <f t="shared" ca="1" si="397"/>
        <v>1</v>
      </c>
      <c r="J1951">
        <f t="shared" ca="1" si="398"/>
        <v>0</v>
      </c>
      <c r="K1951">
        <f t="shared" ca="1" si="399"/>
        <v>0</v>
      </c>
      <c r="L1951">
        <f t="shared" ca="1" si="400"/>
        <v>0</v>
      </c>
      <c r="M1951">
        <f t="shared" ca="1" si="401"/>
        <v>5</v>
      </c>
      <c r="N1951">
        <f t="shared" ca="1" si="402"/>
        <v>0</v>
      </c>
    </row>
    <row r="1952" spans="1:14" x14ac:dyDescent="0.35">
      <c r="A1952" t="s">
        <v>1969</v>
      </c>
      <c r="B1952" t="str">
        <f t="shared" si="390"/>
        <v>Test</v>
      </c>
      <c r="C1952">
        <f t="shared" ca="1" si="391"/>
        <v>44</v>
      </c>
      <c r="D1952" t="str">
        <f t="shared" ca="1" si="392"/>
        <v>Female</v>
      </c>
      <c r="E1952" t="str">
        <f t="shared" ca="1" si="393"/>
        <v>Shoes</v>
      </c>
      <c r="F1952">
        <f t="shared" ca="1" si="394"/>
        <v>7989</v>
      </c>
      <c r="G1952">
        <f t="shared" ca="1" si="395"/>
        <v>15</v>
      </c>
      <c r="H1952">
        <f t="shared" ca="1" si="396"/>
        <v>6790.65</v>
      </c>
      <c r="I1952">
        <f t="shared" ca="1" si="397"/>
        <v>1</v>
      </c>
      <c r="J1952">
        <f t="shared" ca="1" si="398"/>
        <v>1</v>
      </c>
      <c r="K1952">
        <f t="shared" ca="1" si="399"/>
        <v>1</v>
      </c>
      <c r="L1952">
        <f t="shared" ca="1" si="400"/>
        <v>6790.65</v>
      </c>
      <c r="M1952">
        <f t="shared" ca="1" si="401"/>
        <v>6</v>
      </c>
      <c r="N1952">
        <f t="shared" ca="1" si="402"/>
        <v>0</v>
      </c>
    </row>
    <row r="1953" spans="1:14" x14ac:dyDescent="0.35">
      <c r="A1953" t="s">
        <v>1970</v>
      </c>
      <c r="B1953" t="str">
        <f t="shared" si="390"/>
        <v>Test</v>
      </c>
      <c r="C1953">
        <f t="shared" ca="1" si="391"/>
        <v>39</v>
      </c>
      <c r="D1953" t="str">
        <f t="shared" ca="1" si="392"/>
        <v>Male</v>
      </c>
      <c r="E1953" t="str">
        <f t="shared" ca="1" si="393"/>
        <v>Sportswear</v>
      </c>
      <c r="F1953">
        <f t="shared" ca="1" si="394"/>
        <v>1652</v>
      </c>
      <c r="G1953">
        <f t="shared" ca="1" si="395"/>
        <v>15</v>
      </c>
      <c r="H1953">
        <f t="shared" ca="1" si="396"/>
        <v>1404.2</v>
      </c>
      <c r="I1953">
        <f t="shared" ca="1" si="397"/>
        <v>1</v>
      </c>
      <c r="J1953">
        <f t="shared" ca="1" si="398"/>
        <v>0</v>
      </c>
      <c r="K1953">
        <f t="shared" ca="1" si="399"/>
        <v>0</v>
      </c>
      <c r="L1953">
        <f t="shared" ca="1" si="400"/>
        <v>0</v>
      </c>
      <c r="M1953">
        <f t="shared" ca="1" si="401"/>
        <v>3</v>
      </c>
      <c r="N1953">
        <f t="shared" ca="1" si="402"/>
        <v>0</v>
      </c>
    </row>
    <row r="1954" spans="1:14" x14ac:dyDescent="0.35">
      <c r="A1954" t="s">
        <v>1971</v>
      </c>
      <c r="B1954" t="str">
        <f t="shared" si="390"/>
        <v>Test</v>
      </c>
      <c r="C1954">
        <f t="shared" ca="1" si="391"/>
        <v>20</v>
      </c>
      <c r="D1954" t="str">
        <f t="shared" ca="1" si="392"/>
        <v>Female</v>
      </c>
      <c r="E1954" t="str">
        <f t="shared" ca="1" si="393"/>
        <v>Sportswear</v>
      </c>
      <c r="F1954">
        <f t="shared" ca="1" si="394"/>
        <v>1306</v>
      </c>
      <c r="G1954">
        <f t="shared" ca="1" si="395"/>
        <v>20</v>
      </c>
      <c r="H1954">
        <f t="shared" ca="1" si="396"/>
        <v>1044.8</v>
      </c>
      <c r="I1954">
        <f t="shared" ca="1" si="397"/>
        <v>1</v>
      </c>
      <c r="J1954">
        <f t="shared" ca="1" si="398"/>
        <v>0</v>
      </c>
      <c r="K1954">
        <f t="shared" ca="1" si="399"/>
        <v>0</v>
      </c>
      <c r="L1954">
        <f t="shared" ca="1" si="400"/>
        <v>0</v>
      </c>
      <c r="M1954">
        <f t="shared" ca="1" si="401"/>
        <v>6</v>
      </c>
      <c r="N1954">
        <f t="shared" ca="1" si="402"/>
        <v>0</v>
      </c>
    </row>
    <row r="1955" spans="1:14" x14ac:dyDescent="0.35">
      <c r="A1955" t="s">
        <v>1972</v>
      </c>
      <c r="B1955" t="str">
        <f t="shared" si="390"/>
        <v>Test</v>
      </c>
      <c r="C1955">
        <f t="shared" ca="1" si="391"/>
        <v>35</v>
      </c>
      <c r="D1955" t="str">
        <f t="shared" ca="1" si="392"/>
        <v>Female</v>
      </c>
      <c r="E1955" t="str">
        <f t="shared" ca="1" si="393"/>
        <v>Shoes</v>
      </c>
      <c r="F1955">
        <f t="shared" ca="1" si="394"/>
        <v>4248</v>
      </c>
      <c r="G1955">
        <f t="shared" ca="1" si="395"/>
        <v>25</v>
      </c>
      <c r="H1955">
        <f t="shared" ca="1" si="396"/>
        <v>3186</v>
      </c>
      <c r="I1955">
        <f t="shared" ca="1" si="397"/>
        <v>1</v>
      </c>
      <c r="J1955">
        <f t="shared" ca="1" si="398"/>
        <v>1</v>
      </c>
      <c r="K1955">
        <f t="shared" ca="1" si="399"/>
        <v>0</v>
      </c>
      <c r="L1955">
        <f t="shared" ca="1" si="400"/>
        <v>0</v>
      </c>
      <c r="M1955">
        <f t="shared" ca="1" si="401"/>
        <v>3</v>
      </c>
      <c r="N1955">
        <f t="shared" ca="1" si="402"/>
        <v>0</v>
      </c>
    </row>
    <row r="1956" spans="1:14" x14ac:dyDescent="0.35">
      <c r="A1956" t="s">
        <v>1973</v>
      </c>
      <c r="B1956" t="str">
        <f t="shared" si="390"/>
        <v>Test</v>
      </c>
      <c r="C1956">
        <f t="shared" ca="1" si="391"/>
        <v>25</v>
      </c>
      <c r="D1956" t="str">
        <f t="shared" ca="1" si="392"/>
        <v>Female</v>
      </c>
      <c r="E1956" t="str">
        <f t="shared" ca="1" si="393"/>
        <v>Dresses</v>
      </c>
      <c r="F1956">
        <f t="shared" ca="1" si="394"/>
        <v>515</v>
      </c>
      <c r="G1956">
        <f t="shared" ca="1" si="395"/>
        <v>25</v>
      </c>
      <c r="H1956">
        <f t="shared" ca="1" si="396"/>
        <v>386.25</v>
      </c>
      <c r="I1956">
        <f t="shared" ca="1" si="397"/>
        <v>1</v>
      </c>
      <c r="J1956">
        <f t="shared" ca="1" si="398"/>
        <v>0</v>
      </c>
      <c r="K1956">
        <f t="shared" ca="1" si="399"/>
        <v>0</v>
      </c>
      <c r="L1956">
        <f t="shared" ca="1" si="400"/>
        <v>0</v>
      </c>
      <c r="M1956">
        <f t="shared" ca="1" si="401"/>
        <v>1</v>
      </c>
      <c r="N1956">
        <f t="shared" ca="1" si="402"/>
        <v>0</v>
      </c>
    </row>
    <row r="1957" spans="1:14" x14ac:dyDescent="0.35">
      <c r="A1957" t="s">
        <v>1974</v>
      </c>
      <c r="B1957" t="str">
        <f t="shared" si="390"/>
        <v>Test</v>
      </c>
      <c r="C1957">
        <f t="shared" ca="1" si="391"/>
        <v>36</v>
      </c>
      <c r="D1957" t="str">
        <f t="shared" ca="1" si="392"/>
        <v>Female</v>
      </c>
      <c r="E1957" t="str">
        <f t="shared" ca="1" si="393"/>
        <v>Sportswear</v>
      </c>
      <c r="F1957">
        <f t="shared" ca="1" si="394"/>
        <v>4437</v>
      </c>
      <c r="G1957">
        <f t="shared" ca="1" si="395"/>
        <v>15</v>
      </c>
      <c r="H1957">
        <f t="shared" ca="1" si="396"/>
        <v>3771.45</v>
      </c>
      <c r="I1957">
        <f t="shared" ca="1" si="397"/>
        <v>0</v>
      </c>
      <c r="J1957">
        <f t="shared" ca="1" si="398"/>
        <v>0</v>
      </c>
      <c r="K1957">
        <f t="shared" ca="1" si="399"/>
        <v>0</v>
      </c>
      <c r="L1957">
        <f t="shared" ca="1" si="400"/>
        <v>0</v>
      </c>
      <c r="M1957">
        <f t="shared" ca="1" si="401"/>
        <v>7</v>
      </c>
      <c r="N1957">
        <f t="shared" ca="1" si="402"/>
        <v>0</v>
      </c>
    </row>
    <row r="1958" spans="1:14" x14ac:dyDescent="0.35">
      <c r="A1958" t="s">
        <v>1975</v>
      </c>
      <c r="B1958" t="str">
        <f t="shared" si="390"/>
        <v>Test</v>
      </c>
      <c r="C1958">
        <f t="shared" ca="1" si="391"/>
        <v>21</v>
      </c>
      <c r="D1958" t="str">
        <f t="shared" ca="1" si="392"/>
        <v>Female</v>
      </c>
      <c r="E1958" t="str">
        <f t="shared" ca="1" si="393"/>
        <v>T-shirts</v>
      </c>
      <c r="F1958">
        <f t="shared" ca="1" si="394"/>
        <v>1966</v>
      </c>
      <c r="G1958">
        <f t="shared" ca="1" si="395"/>
        <v>20</v>
      </c>
      <c r="H1958">
        <f t="shared" ca="1" si="396"/>
        <v>1572.8000000000002</v>
      </c>
      <c r="I1958">
        <f t="shared" ca="1" si="397"/>
        <v>0</v>
      </c>
      <c r="J1958">
        <f t="shared" ca="1" si="398"/>
        <v>0</v>
      </c>
      <c r="K1958">
        <f t="shared" ca="1" si="399"/>
        <v>0</v>
      </c>
      <c r="L1958">
        <f t="shared" ca="1" si="400"/>
        <v>0</v>
      </c>
      <c r="M1958">
        <f t="shared" ca="1" si="401"/>
        <v>5</v>
      </c>
      <c r="N1958">
        <f t="shared" ca="1" si="402"/>
        <v>0</v>
      </c>
    </row>
    <row r="1959" spans="1:14" x14ac:dyDescent="0.35">
      <c r="A1959" t="s">
        <v>1976</v>
      </c>
      <c r="B1959" t="str">
        <f t="shared" si="390"/>
        <v>Test</v>
      </c>
      <c r="C1959">
        <f t="shared" ca="1" si="391"/>
        <v>41</v>
      </c>
      <c r="D1959" t="str">
        <f t="shared" ca="1" si="392"/>
        <v>Female</v>
      </c>
      <c r="E1959" t="str">
        <f t="shared" ca="1" si="393"/>
        <v>Shoes</v>
      </c>
      <c r="F1959">
        <f t="shared" ca="1" si="394"/>
        <v>3268</v>
      </c>
      <c r="G1959">
        <f t="shared" ca="1" si="395"/>
        <v>20</v>
      </c>
      <c r="H1959">
        <f t="shared" ca="1" si="396"/>
        <v>2614.4</v>
      </c>
      <c r="I1959">
        <f t="shared" ca="1" si="397"/>
        <v>1</v>
      </c>
      <c r="J1959">
        <f t="shared" ca="1" si="398"/>
        <v>1</v>
      </c>
      <c r="K1959">
        <f t="shared" ca="1" si="399"/>
        <v>1</v>
      </c>
      <c r="L1959">
        <f t="shared" ca="1" si="400"/>
        <v>2614.4</v>
      </c>
      <c r="M1959">
        <f t="shared" ca="1" si="401"/>
        <v>5</v>
      </c>
      <c r="N1959">
        <f t="shared" ca="1" si="402"/>
        <v>1</v>
      </c>
    </row>
    <row r="1960" spans="1:14" x14ac:dyDescent="0.35">
      <c r="A1960" t="s">
        <v>1977</v>
      </c>
      <c r="B1960" t="str">
        <f t="shared" si="390"/>
        <v>Test</v>
      </c>
      <c r="C1960">
        <f t="shared" ca="1" si="391"/>
        <v>18</v>
      </c>
      <c r="D1960" t="str">
        <f t="shared" ca="1" si="392"/>
        <v>Female</v>
      </c>
      <c r="E1960" t="str">
        <f t="shared" ca="1" si="393"/>
        <v>Shoes</v>
      </c>
      <c r="F1960">
        <f t="shared" ca="1" si="394"/>
        <v>2656</v>
      </c>
      <c r="G1960">
        <f t="shared" ca="1" si="395"/>
        <v>15</v>
      </c>
      <c r="H1960">
        <f t="shared" ca="1" si="396"/>
        <v>2257.6</v>
      </c>
      <c r="I1960">
        <f t="shared" ca="1" si="397"/>
        <v>0</v>
      </c>
      <c r="J1960">
        <f t="shared" ca="1" si="398"/>
        <v>0</v>
      </c>
      <c r="K1960">
        <f t="shared" ca="1" si="399"/>
        <v>0</v>
      </c>
      <c r="L1960">
        <f t="shared" ca="1" si="400"/>
        <v>0</v>
      </c>
      <c r="M1960">
        <f t="shared" ca="1" si="401"/>
        <v>4</v>
      </c>
      <c r="N1960">
        <f t="shared" ca="1" si="402"/>
        <v>0</v>
      </c>
    </row>
    <row r="1961" spans="1:14" x14ac:dyDescent="0.35">
      <c r="A1961" t="s">
        <v>1978</v>
      </c>
      <c r="B1961" t="str">
        <f t="shared" si="390"/>
        <v>Test</v>
      </c>
      <c r="C1961">
        <f t="shared" ca="1" si="391"/>
        <v>20</v>
      </c>
      <c r="D1961" t="str">
        <f t="shared" ca="1" si="392"/>
        <v>Male</v>
      </c>
      <c r="E1961" t="str">
        <f t="shared" ca="1" si="393"/>
        <v>Sportswear</v>
      </c>
      <c r="F1961">
        <f t="shared" ca="1" si="394"/>
        <v>1092</v>
      </c>
      <c r="G1961">
        <f t="shared" ca="1" si="395"/>
        <v>15</v>
      </c>
      <c r="H1961">
        <f t="shared" ca="1" si="396"/>
        <v>928.19999999999993</v>
      </c>
      <c r="I1961">
        <f t="shared" ca="1" si="397"/>
        <v>1</v>
      </c>
      <c r="J1961">
        <f t="shared" ca="1" si="398"/>
        <v>0</v>
      </c>
      <c r="K1961">
        <f t="shared" ca="1" si="399"/>
        <v>0</v>
      </c>
      <c r="L1961">
        <f t="shared" ca="1" si="400"/>
        <v>0</v>
      </c>
      <c r="M1961">
        <f t="shared" ca="1" si="401"/>
        <v>6</v>
      </c>
      <c r="N1961">
        <f t="shared" ca="1" si="402"/>
        <v>0</v>
      </c>
    </row>
    <row r="1962" spans="1:14" x14ac:dyDescent="0.35">
      <c r="A1962" t="s">
        <v>1979</v>
      </c>
      <c r="B1962" t="str">
        <f t="shared" si="390"/>
        <v>Test</v>
      </c>
      <c r="C1962">
        <f t="shared" ca="1" si="391"/>
        <v>35</v>
      </c>
      <c r="D1962" t="str">
        <f t="shared" ca="1" si="392"/>
        <v>Other</v>
      </c>
      <c r="E1962" t="str">
        <f t="shared" ca="1" si="393"/>
        <v>Shoes</v>
      </c>
      <c r="F1962">
        <f t="shared" ca="1" si="394"/>
        <v>1415</v>
      </c>
      <c r="G1962">
        <f t="shared" ca="1" si="395"/>
        <v>20</v>
      </c>
      <c r="H1962">
        <f t="shared" ca="1" si="396"/>
        <v>1132</v>
      </c>
      <c r="I1962">
        <f t="shared" ca="1" si="397"/>
        <v>1</v>
      </c>
      <c r="J1962">
        <f t="shared" ca="1" si="398"/>
        <v>1</v>
      </c>
      <c r="K1962">
        <f t="shared" ca="1" si="399"/>
        <v>1</v>
      </c>
      <c r="L1962">
        <f t="shared" ca="1" si="400"/>
        <v>1132</v>
      </c>
      <c r="M1962">
        <f t="shared" ca="1" si="401"/>
        <v>7</v>
      </c>
      <c r="N1962">
        <f t="shared" ca="1" si="402"/>
        <v>0</v>
      </c>
    </row>
    <row r="1963" spans="1:14" x14ac:dyDescent="0.35">
      <c r="A1963" t="s">
        <v>1980</v>
      </c>
      <c r="B1963" t="str">
        <f t="shared" si="390"/>
        <v>Test</v>
      </c>
      <c r="C1963">
        <f t="shared" ca="1" si="391"/>
        <v>41</v>
      </c>
      <c r="D1963" t="str">
        <f t="shared" ca="1" si="392"/>
        <v>Other</v>
      </c>
      <c r="E1963" t="str">
        <f t="shared" ca="1" si="393"/>
        <v>Dresses</v>
      </c>
      <c r="F1963">
        <f t="shared" ca="1" si="394"/>
        <v>2409</v>
      </c>
      <c r="G1963">
        <f t="shared" ca="1" si="395"/>
        <v>20</v>
      </c>
      <c r="H1963">
        <f t="shared" ca="1" si="396"/>
        <v>1927.2</v>
      </c>
      <c r="I1963">
        <f t="shared" ca="1" si="397"/>
        <v>1</v>
      </c>
      <c r="J1963">
        <f t="shared" ca="1" si="398"/>
        <v>0</v>
      </c>
      <c r="K1963">
        <f t="shared" ca="1" si="399"/>
        <v>0</v>
      </c>
      <c r="L1963">
        <f t="shared" ca="1" si="400"/>
        <v>0</v>
      </c>
      <c r="M1963">
        <f t="shared" ca="1" si="401"/>
        <v>5</v>
      </c>
      <c r="N1963">
        <f t="shared" ca="1" si="402"/>
        <v>0</v>
      </c>
    </row>
    <row r="1964" spans="1:14" x14ac:dyDescent="0.35">
      <c r="A1964" t="s">
        <v>1981</v>
      </c>
      <c r="B1964" t="str">
        <f t="shared" si="390"/>
        <v>Test</v>
      </c>
      <c r="C1964">
        <f t="shared" ca="1" si="391"/>
        <v>25</v>
      </c>
      <c r="D1964" t="str">
        <f t="shared" ca="1" si="392"/>
        <v>Male</v>
      </c>
      <c r="E1964" t="str">
        <f t="shared" ca="1" si="393"/>
        <v>Sportswear</v>
      </c>
      <c r="F1964">
        <f t="shared" ca="1" si="394"/>
        <v>5834</v>
      </c>
      <c r="G1964">
        <f t="shared" ca="1" si="395"/>
        <v>15</v>
      </c>
      <c r="H1964">
        <f t="shared" ca="1" si="396"/>
        <v>4958.8999999999996</v>
      </c>
      <c r="I1964">
        <f t="shared" ca="1" si="397"/>
        <v>1</v>
      </c>
      <c r="J1964">
        <f t="shared" ca="1" si="398"/>
        <v>0</v>
      </c>
      <c r="K1964">
        <f t="shared" ca="1" si="399"/>
        <v>0</v>
      </c>
      <c r="L1964">
        <f t="shared" ca="1" si="400"/>
        <v>0</v>
      </c>
      <c r="M1964">
        <f t="shared" ca="1" si="401"/>
        <v>6</v>
      </c>
      <c r="N1964">
        <f t="shared" ca="1" si="402"/>
        <v>0</v>
      </c>
    </row>
    <row r="1965" spans="1:14" x14ac:dyDescent="0.35">
      <c r="A1965" t="s">
        <v>1982</v>
      </c>
      <c r="B1965" t="str">
        <f t="shared" si="390"/>
        <v>Test</v>
      </c>
      <c r="C1965">
        <f t="shared" ca="1" si="391"/>
        <v>40</v>
      </c>
      <c r="D1965" t="str">
        <f t="shared" ca="1" si="392"/>
        <v>Female</v>
      </c>
      <c r="E1965" t="str">
        <f t="shared" ca="1" si="393"/>
        <v>Dresses</v>
      </c>
      <c r="F1965">
        <f t="shared" ca="1" si="394"/>
        <v>4278</v>
      </c>
      <c r="G1965">
        <f t="shared" ca="1" si="395"/>
        <v>15</v>
      </c>
      <c r="H1965">
        <f t="shared" ca="1" si="396"/>
        <v>3636.2999999999997</v>
      </c>
      <c r="I1965">
        <f t="shared" ca="1" si="397"/>
        <v>1</v>
      </c>
      <c r="J1965">
        <f t="shared" ca="1" si="398"/>
        <v>1</v>
      </c>
      <c r="K1965">
        <f t="shared" ca="1" si="399"/>
        <v>0</v>
      </c>
      <c r="L1965">
        <f t="shared" ca="1" si="400"/>
        <v>0</v>
      </c>
      <c r="M1965">
        <f t="shared" ca="1" si="401"/>
        <v>1</v>
      </c>
      <c r="N1965">
        <f t="shared" ca="1" si="402"/>
        <v>0</v>
      </c>
    </row>
    <row r="1966" spans="1:14" x14ac:dyDescent="0.35">
      <c r="A1966" t="s">
        <v>1983</v>
      </c>
      <c r="B1966" t="str">
        <f t="shared" si="390"/>
        <v>Test</v>
      </c>
      <c r="C1966">
        <f t="shared" ca="1" si="391"/>
        <v>42</v>
      </c>
      <c r="D1966" t="str">
        <f t="shared" ca="1" si="392"/>
        <v>Female</v>
      </c>
      <c r="E1966" t="str">
        <f t="shared" ca="1" si="393"/>
        <v>Tops</v>
      </c>
      <c r="F1966">
        <f t="shared" ca="1" si="394"/>
        <v>5749</v>
      </c>
      <c r="G1966">
        <f t="shared" ca="1" si="395"/>
        <v>20</v>
      </c>
      <c r="H1966">
        <f t="shared" ca="1" si="396"/>
        <v>4599.2</v>
      </c>
      <c r="I1966">
        <f t="shared" ca="1" si="397"/>
        <v>1</v>
      </c>
      <c r="J1966">
        <f t="shared" ca="1" si="398"/>
        <v>1</v>
      </c>
      <c r="K1966">
        <f t="shared" ca="1" si="399"/>
        <v>0</v>
      </c>
      <c r="L1966">
        <f t="shared" ca="1" si="400"/>
        <v>0</v>
      </c>
      <c r="M1966">
        <f t="shared" ca="1" si="401"/>
        <v>5</v>
      </c>
      <c r="N1966">
        <f t="shared" ca="1" si="402"/>
        <v>0</v>
      </c>
    </row>
    <row r="1967" spans="1:14" x14ac:dyDescent="0.35">
      <c r="A1967" t="s">
        <v>1984</v>
      </c>
      <c r="B1967" t="str">
        <f t="shared" si="390"/>
        <v>Test</v>
      </c>
      <c r="C1967">
        <f t="shared" ca="1" si="391"/>
        <v>24</v>
      </c>
      <c r="D1967" t="str">
        <f t="shared" ca="1" si="392"/>
        <v>Male</v>
      </c>
      <c r="E1967" t="str">
        <f t="shared" ca="1" si="393"/>
        <v>Ethnic Wear</v>
      </c>
      <c r="F1967">
        <f t="shared" ca="1" si="394"/>
        <v>1685</v>
      </c>
      <c r="G1967">
        <f t="shared" ca="1" si="395"/>
        <v>15</v>
      </c>
      <c r="H1967">
        <f t="shared" ca="1" si="396"/>
        <v>1432.25</v>
      </c>
      <c r="I1967">
        <f t="shared" ca="1" si="397"/>
        <v>1</v>
      </c>
      <c r="J1967">
        <f t="shared" ca="1" si="398"/>
        <v>0</v>
      </c>
      <c r="K1967">
        <f t="shared" ca="1" si="399"/>
        <v>0</v>
      </c>
      <c r="L1967">
        <f t="shared" ca="1" si="400"/>
        <v>0</v>
      </c>
      <c r="M1967">
        <f t="shared" ca="1" si="401"/>
        <v>6</v>
      </c>
      <c r="N1967">
        <f t="shared" ca="1" si="402"/>
        <v>0</v>
      </c>
    </row>
    <row r="1968" spans="1:14" x14ac:dyDescent="0.35">
      <c r="A1968" t="s">
        <v>1985</v>
      </c>
      <c r="B1968" t="str">
        <f t="shared" si="390"/>
        <v>Test</v>
      </c>
      <c r="C1968">
        <f t="shared" ca="1" si="391"/>
        <v>25</v>
      </c>
      <c r="D1968" t="str">
        <f t="shared" ca="1" si="392"/>
        <v>Female</v>
      </c>
      <c r="E1968" t="str">
        <f t="shared" ca="1" si="393"/>
        <v>Ethnic Wear</v>
      </c>
      <c r="F1968">
        <f t="shared" ca="1" si="394"/>
        <v>3242</v>
      </c>
      <c r="G1968">
        <f t="shared" ca="1" si="395"/>
        <v>20</v>
      </c>
      <c r="H1968">
        <f t="shared" ca="1" si="396"/>
        <v>2593.6000000000004</v>
      </c>
      <c r="I1968">
        <f t="shared" ca="1" si="397"/>
        <v>1</v>
      </c>
      <c r="J1968">
        <f t="shared" ca="1" si="398"/>
        <v>1</v>
      </c>
      <c r="K1968">
        <f t="shared" ca="1" si="399"/>
        <v>0</v>
      </c>
      <c r="L1968">
        <f t="shared" ca="1" si="400"/>
        <v>0</v>
      </c>
      <c r="M1968">
        <f t="shared" ca="1" si="401"/>
        <v>3</v>
      </c>
      <c r="N1968">
        <f t="shared" ca="1" si="402"/>
        <v>0</v>
      </c>
    </row>
    <row r="1969" spans="1:14" x14ac:dyDescent="0.35">
      <c r="A1969" t="s">
        <v>1986</v>
      </c>
      <c r="B1969" t="str">
        <f t="shared" si="390"/>
        <v>Test</v>
      </c>
      <c r="C1969">
        <f t="shared" ca="1" si="391"/>
        <v>37</v>
      </c>
      <c r="D1969" t="str">
        <f t="shared" ca="1" si="392"/>
        <v>Male</v>
      </c>
      <c r="E1969" t="str">
        <f t="shared" ca="1" si="393"/>
        <v>Jeans</v>
      </c>
      <c r="F1969">
        <f t="shared" ca="1" si="394"/>
        <v>3238</v>
      </c>
      <c r="G1969">
        <f t="shared" ca="1" si="395"/>
        <v>15</v>
      </c>
      <c r="H1969">
        <f t="shared" ca="1" si="396"/>
        <v>2752.2999999999997</v>
      </c>
      <c r="I1969">
        <f t="shared" ca="1" si="397"/>
        <v>1</v>
      </c>
      <c r="J1969">
        <f t="shared" ca="1" si="398"/>
        <v>0</v>
      </c>
      <c r="K1969">
        <f t="shared" ca="1" si="399"/>
        <v>0</v>
      </c>
      <c r="L1969">
        <f t="shared" ca="1" si="400"/>
        <v>0</v>
      </c>
      <c r="M1969">
        <f t="shared" ca="1" si="401"/>
        <v>2</v>
      </c>
      <c r="N1969">
        <f t="shared" ca="1" si="402"/>
        <v>0</v>
      </c>
    </row>
    <row r="1970" spans="1:14" x14ac:dyDescent="0.35">
      <c r="A1970" t="s">
        <v>1987</v>
      </c>
      <c r="B1970" t="str">
        <f t="shared" si="390"/>
        <v>Test</v>
      </c>
      <c r="C1970">
        <f t="shared" ca="1" si="391"/>
        <v>28</v>
      </c>
      <c r="D1970" t="str">
        <f t="shared" ca="1" si="392"/>
        <v>Male</v>
      </c>
      <c r="E1970" t="str">
        <f t="shared" ca="1" si="393"/>
        <v>T-shirts</v>
      </c>
      <c r="F1970">
        <f t="shared" ca="1" si="394"/>
        <v>3990</v>
      </c>
      <c r="G1970">
        <f t="shared" ca="1" si="395"/>
        <v>20</v>
      </c>
      <c r="H1970">
        <f t="shared" ca="1" si="396"/>
        <v>3192</v>
      </c>
      <c r="I1970">
        <f t="shared" ca="1" si="397"/>
        <v>1</v>
      </c>
      <c r="J1970">
        <f t="shared" ca="1" si="398"/>
        <v>0</v>
      </c>
      <c r="K1970">
        <f t="shared" ca="1" si="399"/>
        <v>0</v>
      </c>
      <c r="L1970">
        <f t="shared" ca="1" si="400"/>
        <v>0</v>
      </c>
      <c r="M1970">
        <f t="shared" ca="1" si="401"/>
        <v>6</v>
      </c>
      <c r="N1970">
        <f t="shared" ca="1" si="402"/>
        <v>0</v>
      </c>
    </row>
    <row r="1971" spans="1:14" x14ac:dyDescent="0.35">
      <c r="A1971" t="s">
        <v>1988</v>
      </c>
      <c r="B1971" t="str">
        <f t="shared" si="390"/>
        <v>Test</v>
      </c>
      <c r="C1971">
        <f t="shared" ca="1" si="391"/>
        <v>26</v>
      </c>
      <c r="D1971" t="str">
        <f t="shared" ca="1" si="392"/>
        <v>Female</v>
      </c>
      <c r="E1971" t="str">
        <f t="shared" ca="1" si="393"/>
        <v>T-shirts</v>
      </c>
      <c r="F1971">
        <f t="shared" ca="1" si="394"/>
        <v>5858</v>
      </c>
      <c r="G1971">
        <f t="shared" ca="1" si="395"/>
        <v>20</v>
      </c>
      <c r="H1971">
        <f t="shared" ca="1" si="396"/>
        <v>4686.4000000000005</v>
      </c>
      <c r="I1971">
        <f t="shared" ca="1" si="397"/>
        <v>0</v>
      </c>
      <c r="J1971">
        <f t="shared" ca="1" si="398"/>
        <v>0</v>
      </c>
      <c r="K1971">
        <f t="shared" ca="1" si="399"/>
        <v>0</v>
      </c>
      <c r="L1971">
        <f t="shared" ca="1" si="400"/>
        <v>0</v>
      </c>
      <c r="M1971">
        <f t="shared" ca="1" si="401"/>
        <v>2</v>
      </c>
      <c r="N1971">
        <f t="shared" ca="1" si="402"/>
        <v>0</v>
      </c>
    </row>
    <row r="1972" spans="1:14" x14ac:dyDescent="0.35">
      <c r="A1972" t="s">
        <v>1989</v>
      </c>
      <c r="B1972" t="str">
        <f t="shared" si="390"/>
        <v>Test</v>
      </c>
      <c r="C1972">
        <f t="shared" ca="1" si="391"/>
        <v>41</v>
      </c>
      <c r="D1972" t="str">
        <f t="shared" ca="1" si="392"/>
        <v>Female</v>
      </c>
      <c r="E1972" t="str">
        <f t="shared" ca="1" si="393"/>
        <v>Sportswear</v>
      </c>
      <c r="F1972">
        <f t="shared" ca="1" si="394"/>
        <v>1266</v>
      </c>
      <c r="G1972">
        <f t="shared" ca="1" si="395"/>
        <v>15</v>
      </c>
      <c r="H1972">
        <f t="shared" ca="1" si="396"/>
        <v>1076.0999999999999</v>
      </c>
      <c r="I1972">
        <f t="shared" ca="1" si="397"/>
        <v>1</v>
      </c>
      <c r="J1972">
        <f t="shared" ca="1" si="398"/>
        <v>1</v>
      </c>
      <c r="K1972">
        <f t="shared" ca="1" si="399"/>
        <v>1</v>
      </c>
      <c r="L1972">
        <f t="shared" ca="1" si="400"/>
        <v>1076.0999999999999</v>
      </c>
      <c r="M1972">
        <f t="shared" ca="1" si="401"/>
        <v>1</v>
      </c>
      <c r="N1972">
        <f t="shared" ca="1" si="402"/>
        <v>0</v>
      </c>
    </row>
    <row r="1973" spans="1:14" x14ac:dyDescent="0.35">
      <c r="A1973" t="s">
        <v>1990</v>
      </c>
      <c r="B1973" t="str">
        <f t="shared" si="390"/>
        <v>Test</v>
      </c>
      <c r="C1973">
        <f t="shared" ca="1" si="391"/>
        <v>45</v>
      </c>
      <c r="D1973" t="str">
        <f t="shared" ca="1" si="392"/>
        <v>Male</v>
      </c>
      <c r="E1973" t="str">
        <f t="shared" ca="1" si="393"/>
        <v>Shoes</v>
      </c>
      <c r="F1973">
        <f t="shared" ca="1" si="394"/>
        <v>1235</v>
      </c>
      <c r="G1973">
        <f t="shared" ca="1" si="395"/>
        <v>25</v>
      </c>
      <c r="H1973">
        <f t="shared" ca="1" si="396"/>
        <v>926.25</v>
      </c>
      <c r="I1973">
        <f t="shared" ca="1" si="397"/>
        <v>1</v>
      </c>
      <c r="J1973">
        <f t="shared" ca="1" si="398"/>
        <v>1</v>
      </c>
      <c r="K1973">
        <f t="shared" ca="1" si="399"/>
        <v>1</v>
      </c>
      <c r="L1973">
        <f t="shared" ca="1" si="400"/>
        <v>926.25</v>
      </c>
      <c r="M1973">
        <f t="shared" ca="1" si="401"/>
        <v>4</v>
      </c>
      <c r="N1973">
        <f t="shared" ca="1" si="402"/>
        <v>0</v>
      </c>
    </row>
    <row r="1974" spans="1:14" x14ac:dyDescent="0.35">
      <c r="A1974" t="s">
        <v>1991</v>
      </c>
      <c r="B1974" t="str">
        <f t="shared" si="390"/>
        <v>Test</v>
      </c>
      <c r="C1974">
        <f t="shared" ca="1" si="391"/>
        <v>18</v>
      </c>
      <c r="D1974" t="str">
        <f t="shared" ca="1" si="392"/>
        <v>Male</v>
      </c>
      <c r="E1974" t="str">
        <f t="shared" ca="1" si="393"/>
        <v>Accessories</v>
      </c>
      <c r="F1974">
        <f t="shared" ca="1" si="394"/>
        <v>4291</v>
      </c>
      <c r="G1974">
        <f t="shared" ca="1" si="395"/>
        <v>20</v>
      </c>
      <c r="H1974">
        <f t="shared" ca="1" si="396"/>
        <v>3432.8</v>
      </c>
      <c r="I1974">
        <f t="shared" ca="1" si="397"/>
        <v>1</v>
      </c>
      <c r="J1974">
        <f t="shared" ca="1" si="398"/>
        <v>1</v>
      </c>
      <c r="K1974">
        <f t="shared" ca="1" si="399"/>
        <v>0</v>
      </c>
      <c r="L1974">
        <f t="shared" ca="1" si="400"/>
        <v>0</v>
      </c>
      <c r="M1974">
        <f t="shared" ca="1" si="401"/>
        <v>6</v>
      </c>
      <c r="N1974">
        <f t="shared" ca="1" si="402"/>
        <v>0</v>
      </c>
    </row>
    <row r="1975" spans="1:14" x14ac:dyDescent="0.35">
      <c r="A1975" t="s">
        <v>1992</v>
      </c>
      <c r="B1975" t="str">
        <f t="shared" si="390"/>
        <v>Test</v>
      </c>
      <c r="C1975">
        <f t="shared" ca="1" si="391"/>
        <v>27</v>
      </c>
      <c r="D1975" t="str">
        <f t="shared" ca="1" si="392"/>
        <v>Male</v>
      </c>
      <c r="E1975" t="str">
        <f t="shared" ca="1" si="393"/>
        <v>T-shirts</v>
      </c>
      <c r="F1975">
        <f t="shared" ca="1" si="394"/>
        <v>4137</v>
      </c>
      <c r="G1975">
        <f t="shared" ca="1" si="395"/>
        <v>25</v>
      </c>
      <c r="H1975">
        <f t="shared" ca="1" si="396"/>
        <v>3102.75</v>
      </c>
      <c r="I1975">
        <f t="shared" ca="1" si="397"/>
        <v>1</v>
      </c>
      <c r="J1975">
        <f t="shared" ca="1" si="398"/>
        <v>1</v>
      </c>
      <c r="K1975">
        <f t="shared" ca="1" si="399"/>
        <v>1</v>
      </c>
      <c r="L1975">
        <f t="shared" ca="1" si="400"/>
        <v>3102.75</v>
      </c>
      <c r="M1975">
        <f t="shared" ca="1" si="401"/>
        <v>1</v>
      </c>
      <c r="N1975">
        <f t="shared" ca="1" si="402"/>
        <v>0</v>
      </c>
    </row>
    <row r="1976" spans="1:14" x14ac:dyDescent="0.35">
      <c r="A1976" t="s">
        <v>1993</v>
      </c>
      <c r="B1976" t="str">
        <f t="shared" si="390"/>
        <v>Test</v>
      </c>
      <c r="C1976">
        <f t="shared" ca="1" si="391"/>
        <v>20</v>
      </c>
      <c r="D1976" t="str">
        <f t="shared" ca="1" si="392"/>
        <v>Female</v>
      </c>
      <c r="E1976" t="str">
        <f t="shared" ca="1" si="393"/>
        <v>Jeans</v>
      </c>
      <c r="F1976">
        <f t="shared" ca="1" si="394"/>
        <v>3778</v>
      </c>
      <c r="G1976">
        <f t="shared" ca="1" si="395"/>
        <v>20</v>
      </c>
      <c r="H1976">
        <f t="shared" ca="1" si="396"/>
        <v>3022.4</v>
      </c>
      <c r="I1976">
        <f t="shared" ca="1" si="397"/>
        <v>1</v>
      </c>
      <c r="J1976">
        <f t="shared" ca="1" si="398"/>
        <v>0</v>
      </c>
      <c r="K1976">
        <f t="shared" ca="1" si="399"/>
        <v>0</v>
      </c>
      <c r="L1976">
        <f t="shared" ca="1" si="400"/>
        <v>0</v>
      </c>
      <c r="M1976">
        <f t="shared" ca="1" si="401"/>
        <v>4</v>
      </c>
      <c r="N1976">
        <f t="shared" ca="1" si="402"/>
        <v>0</v>
      </c>
    </row>
    <row r="1977" spans="1:14" x14ac:dyDescent="0.35">
      <c r="A1977" t="s">
        <v>1994</v>
      </c>
      <c r="B1977" t="str">
        <f t="shared" si="390"/>
        <v>Test</v>
      </c>
      <c r="C1977">
        <f t="shared" ca="1" si="391"/>
        <v>22</v>
      </c>
      <c r="D1977" t="str">
        <f t="shared" ca="1" si="392"/>
        <v>Other</v>
      </c>
      <c r="E1977" t="str">
        <f t="shared" ca="1" si="393"/>
        <v>Tops</v>
      </c>
      <c r="F1977">
        <f t="shared" ca="1" si="394"/>
        <v>5738</v>
      </c>
      <c r="G1977">
        <f t="shared" ca="1" si="395"/>
        <v>20</v>
      </c>
      <c r="H1977">
        <f t="shared" ca="1" si="396"/>
        <v>4590.4000000000005</v>
      </c>
      <c r="I1977">
        <f t="shared" ca="1" si="397"/>
        <v>0</v>
      </c>
      <c r="J1977">
        <f t="shared" ca="1" si="398"/>
        <v>0</v>
      </c>
      <c r="K1977">
        <f t="shared" ca="1" si="399"/>
        <v>0</v>
      </c>
      <c r="L1977">
        <f t="shared" ca="1" si="400"/>
        <v>0</v>
      </c>
      <c r="M1977">
        <f t="shared" ca="1" si="401"/>
        <v>5</v>
      </c>
      <c r="N1977">
        <f t="shared" ca="1" si="402"/>
        <v>0</v>
      </c>
    </row>
    <row r="1978" spans="1:14" x14ac:dyDescent="0.35">
      <c r="A1978" t="s">
        <v>1995</v>
      </c>
      <c r="B1978" t="str">
        <f t="shared" si="390"/>
        <v>Test</v>
      </c>
      <c r="C1978">
        <f t="shared" ca="1" si="391"/>
        <v>36</v>
      </c>
      <c r="D1978" t="str">
        <f t="shared" ca="1" si="392"/>
        <v>Other</v>
      </c>
      <c r="E1978" t="str">
        <f t="shared" ca="1" si="393"/>
        <v>Shoes</v>
      </c>
      <c r="F1978">
        <f t="shared" ca="1" si="394"/>
        <v>1046</v>
      </c>
      <c r="G1978">
        <f t="shared" ca="1" si="395"/>
        <v>20</v>
      </c>
      <c r="H1978">
        <f t="shared" ca="1" si="396"/>
        <v>836.80000000000007</v>
      </c>
      <c r="I1978">
        <f t="shared" ca="1" si="397"/>
        <v>1</v>
      </c>
      <c r="J1978">
        <f t="shared" ca="1" si="398"/>
        <v>0</v>
      </c>
      <c r="K1978">
        <f t="shared" ca="1" si="399"/>
        <v>0</v>
      </c>
      <c r="L1978">
        <f t="shared" ca="1" si="400"/>
        <v>0</v>
      </c>
      <c r="M1978">
        <f t="shared" ca="1" si="401"/>
        <v>6</v>
      </c>
      <c r="N1978">
        <f t="shared" ca="1" si="402"/>
        <v>0</v>
      </c>
    </row>
    <row r="1979" spans="1:14" x14ac:dyDescent="0.35">
      <c r="A1979" t="s">
        <v>1996</v>
      </c>
      <c r="B1979" t="str">
        <f t="shared" si="390"/>
        <v>Test</v>
      </c>
      <c r="C1979">
        <f t="shared" ca="1" si="391"/>
        <v>20</v>
      </c>
      <c r="D1979" t="str">
        <f t="shared" ca="1" si="392"/>
        <v>Male</v>
      </c>
      <c r="E1979" t="str">
        <f t="shared" ca="1" si="393"/>
        <v>Ethnic Wear</v>
      </c>
      <c r="F1979">
        <f t="shared" ca="1" si="394"/>
        <v>3843</v>
      </c>
      <c r="G1979">
        <f t="shared" ca="1" si="395"/>
        <v>20</v>
      </c>
      <c r="H1979">
        <f t="shared" ca="1" si="396"/>
        <v>3074.4</v>
      </c>
      <c r="I1979">
        <f t="shared" ca="1" si="397"/>
        <v>1</v>
      </c>
      <c r="J1979">
        <f t="shared" ca="1" si="398"/>
        <v>1</v>
      </c>
      <c r="K1979">
        <f t="shared" ca="1" si="399"/>
        <v>0</v>
      </c>
      <c r="L1979">
        <f t="shared" ca="1" si="400"/>
        <v>0</v>
      </c>
      <c r="M1979">
        <f t="shared" ca="1" si="401"/>
        <v>2</v>
      </c>
      <c r="N1979">
        <f t="shared" ca="1" si="402"/>
        <v>0</v>
      </c>
    </row>
    <row r="1980" spans="1:14" x14ac:dyDescent="0.35">
      <c r="A1980" t="s">
        <v>1997</v>
      </c>
      <c r="B1980" t="str">
        <f t="shared" si="390"/>
        <v>Test</v>
      </c>
      <c r="C1980">
        <f t="shared" ca="1" si="391"/>
        <v>36</v>
      </c>
      <c r="D1980" t="str">
        <f t="shared" ca="1" si="392"/>
        <v>Male</v>
      </c>
      <c r="E1980" t="str">
        <f t="shared" ca="1" si="393"/>
        <v>Sportswear</v>
      </c>
      <c r="F1980">
        <f t="shared" ca="1" si="394"/>
        <v>4532</v>
      </c>
      <c r="G1980">
        <f t="shared" ca="1" si="395"/>
        <v>25</v>
      </c>
      <c r="H1980">
        <f t="shared" ca="1" si="396"/>
        <v>3399</v>
      </c>
      <c r="I1980">
        <f t="shared" ca="1" si="397"/>
        <v>1</v>
      </c>
      <c r="J1980">
        <f t="shared" ca="1" si="398"/>
        <v>1</v>
      </c>
      <c r="K1980">
        <f t="shared" ca="1" si="399"/>
        <v>0</v>
      </c>
      <c r="L1980">
        <f t="shared" ca="1" si="400"/>
        <v>0</v>
      </c>
      <c r="M1980">
        <f t="shared" ca="1" si="401"/>
        <v>6</v>
      </c>
      <c r="N1980">
        <f t="shared" ca="1" si="402"/>
        <v>0</v>
      </c>
    </row>
    <row r="1981" spans="1:14" x14ac:dyDescent="0.35">
      <c r="A1981" t="s">
        <v>1998</v>
      </c>
      <c r="B1981" t="str">
        <f t="shared" si="390"/>
        <v>Test</v>
      </c>
      <c r="C1981">
        <f t="shared" ca="1" si="391"/>
        <v>34</v>
      </c>
      <c r="D1981" t="str">
        <f t="shared" ca="1" si="392"/>
        <v>Other</v>
      </c>
      <c r="E1981" t="str">
        <f t="shared" ca="1" si="393"/>
        <v>Dresses</v>
      </c>
      <c r="F1981">
        <f t="shared" ca="1" si="394"/>
        <v>4741</v>
      </c>
      <c r="G1981">
        <f t="shared" ca="1" si="395"/>
        <v>25</v>
      </c>
      <c r="H1981">
        <f t="shared" ca="1" si="396"/>
        <v>3555.75</v>
      </c>
      <c r="I1981">
        <f t="shared" ca="1" si="397"/>
        <v>0</v>
      </c>
      <c r="J1981">
        <f t="shared" ca="1" si="398"/>
        <v>0</v>
      </c>
      <c r="K1981">
        <f t="shared" ca="1" si="399"/>
        <v>0</v>
      </c>
      <c r="L1981">
        <f t="shared" ca="1" si="400"/>
        <v>0</v>
      </c>
      <c r="M1981">
        <f t="shared" ca="1" si="401"/>
        <v>5</v>
      </c>
      <c r="N1981">
        <f t="shared" ca="1" si="402"/>
        <v>0</v>
      </c>
    </row>
    <row r="1982" spans="1:14" x14ac:dyDescent="0.35">
      <c r="A1982" t="s">
        <v>1999</v>
      </c>
      <c r="B1982" t="str">
        <f t="shared" si="390"/>
        <v>Test</v>
      </c>
      <c r="C1982">
        <f t="shared" ca="1" si="391"/>
        <v>23</v>
      </c>
      <c r="D1982" t="str">
        <f t="shared" ca="1" si="392"/>
        <v>Male</v>
      </c>
      <c r="E1982" t="str">
        <f t="shared" ca="1" si="393"/>
        <v>Accessories</v>
      </c>
      <c r="F1982">
        <f t="shared" ca="1" si="394"/>
        <v>7221</v>
      </c>
      <c r="G1982">
        <f t="shared" ca="1" si="395"/>
        <v>25</v>
      </c>
      <c r="H1982">
        <f t="shared" ca="1" si="396"/>
        <v>5415.75</v>
      </c>
      <c r="I1982">
        <f t="shared" ca="1" si="397"/>
        <v>1</v>
      </c>
      <c r="J1982">
        <f t="shared" ca="1" si="398"/>
        <v>0</v>
      </c>
      <c r="K1982">
        <f t="shared" ca="1" si="399"/>
        <v>0</v>
      </c>
      <c r="L1982">
        <f t="shared" ca="1" si="400"/>
        <v>0</v>
      </c>
      <c r="M1982">
        <f t="shared" ca="1" si="401"/>
        <v>3</v>
      </c>
      <c r="N1982">
        <f t="shared" ca="1" si="402"/>
        <v>0</v>
      </c>
    </row>
    <row r="1983" spans="1:14" x14ac:dyDescent="0.35">
      <c r="A1983" t="s">
        <v>2000</v>
      </c>
      <c r="B1983" t="str">
        <f t="shared" si="390"/>
        <v>Test</v>
      </c>
      <c r="C1983">
        <f t="shared" ca="1" si="391"/>
        <v>22</v>
      </c>
      <c r="D1983" t="str">
        <f t="shared" ca="1" si="392"/>
        <v>Female</v>
      </c>
      <c r="E1983" t="str">
        <f t="shared" ca="1" si="393"/>
        <v>Ethnic Wear</v>
      </c>
      <c r="F1983">
        <f t="shared" ca="1" si="394"/>
        <v>7621</v>
      </c>
      <c r="G1983">
        <f t="shared" ca="1" si="395"/>
        <v>20</v>
      </c>
      <c r="H1983">
        <f t="shared" ca="1" si="396"/>
        <v>6096.8</v>
      </c>
      <c r="I1983">
        <f t="shared" ca="1" si="397"/>
        <v>1</v>
      </c>
      <c r="J1983">
        <f t="shared" ca="1" si="398"/>
        <v>0</v>
      </c>
      <c r="K1983">
        <f t="shared" ca="1" si="399"/>
        <v>0</v>
      </c>
      <c r="L1983">
        <f t="shared" ca="1" si="400"/>
        <v>0</v>
      </c>
      <c r="M1983">
        <f t="shared" ca="1" si="401"/>
        <v>2</v>
      </c>
      <c r="N1983">
        <f t="shared" ca="1" si="402"/>
        <v>0</v>
      </c>
    </row>
    <row r="1984" spans="1:14" x14ac:dyDescent="0.35">
      <c r="A1984" t="s">
        <v>2001</v>
      </c>
      <c r="B1984" t="str">
        <f t="shared" si="390"/>
        <v>Test</v>
      </c>
      <c r="C1984">
        <f t="shared" ca="1" si="391"/>
        <v>19</v>
      </c>
      <c r="D1984" t="str">
        <f t="shared" ca="1" si="392"/>
        <v>Female</v>
      </c>
      <c r="E1984" t="str">
        <f t="shared" ca="1" si="393"/>
        <v>Shoes</v>
      </c>
      <c r="F1984">
        <f t="shared" ca="1" si="394"/>
        <v>6260</v>
      </c>
      <c r="G1984">
        <f t="shared" ca="1" si="395"/>
        <v>25</v>
      </c>
      <c r="H1984">
        <f t="shared" ca="1" si="396"/>
        <v>4695</v>
      </c>
      <c r="I1984">
        <f t="shared" ca="1" si="397"/>
        <v>1</v>
      </c>
      <c r="J1984">
        <f t="shared" ca="1" si="398"/>
        <v>1</v>
      </c>
      <c r="K1984">
        <f t="shared" ca="1" si="399"/>
        <v>1</v>
      </c>
      <c r="L1984">
        <f t="shared" ca="1" si="400"/>
        <v>4695</v>
      </c>
      <c r="M1984">
        <f t="shared" ca="1" si="401"/>
        <v>7</v>
      </c>
      <c r="N1984">
        <f t="shared" ca="1" si="402"/>
        <v>0</v>
      </c>
    </row>
    <row r="1985" spans="1:14" x14ac:dyDescent="0.35">
      <c r="A1985" t="s">
        <v>2002</v>
      </c>
      <c r="B1985" t="str">
        <f t="shared" si="390"/>
        <v>Test</v>
      </c>
      <c r="C1985">
        <f t="shared" ca="1" si="391"/>
        <v>41</v>
      </c>
      <c r="D1985" t="str">
        <f t="shared" ca="1" si="392"/>
        <v>Female</v>
      </c>
      <c r="E1985" t="str">
        <f t="shared" ca="1" si="393"/>
        <v>Accessories</v>
      </c>
      <c r="F1985">
        <f t="shared" ca="1" si="394"/>
        <v>7818</v>
      </c>
      <c r="G1985">
        <f t="shared" ca="1" si="395"/>
        <v>20</v>
      </c>
      <c r="H1985">
        <f t="shared" ca="1" si="396"/>
        <v>6254.4000000000005</v>
      </c>
      <c r="I1985">
        <f t="shared" ca="1" si="397"/>
        <v>1</v>
      </c>
      <c r="J1985">
        <f t="shared" ca="1" si="398"/>
        <v>1</v>
      </c>
      <c r="K1985">
        <f t="shared" ca="1" si="399"/>
        <v>1</v>
      </c>
      <c r="L1985">
        <f t="shared" ca="1" si="400"/>
        <v>6254.4000000000005</v>
      </c>
      <c r="M1985">
        <f t="shared" ca="1" si="401"/>
        <v>6</v>
      </c>
      <c r="N1985">
        <f t="shared" ca="1" si="402"/>
        <v>0</v>
      </c>
    </row>
    <row r="1986" spans="1:14" x14ac:dyDescent="0.35">
      <c r="A1986" t="s">
        <v>2003</v>
      </c>
      <c r="B1986" t="str">
        <f t="shared" si="390"/>
        <v>Test</v>
      </c>
      <c r="C1986">
        <f t="shared" ca="1" si="391"/>
        <v>29</v>
      </c>
      <c r="D1986" t="str">
        <f t="shared" ca="1" si="392"/>
        <v>Other</v>
      </c>
      <c r="E1986" t="str">
        <f t="shared" ca="1" si="393"/>
        <v>Accessories</v>
      </c>
      <c r="F1986">
        <f t="shared" ca="1" si="394"/>
        <v>4046</v>
      </c>
      <c r="G1986">
        <f t="shared" ca="1" si="395"/>
        <v>15</v>
      </c>
      <c r="H1986">
        <f t="shared" ca="1" si="396"/>
        <v>3439.1</v>
      </c>
      <c r="I1986">
        <f t="shared" ca="1" si="397"/>
        <v>1</v>
      </c>
      <c r="J1986">
        <f t="shared" ca="1" si="398"/>
        <v>0</v>
      </c>
      <c r="K1986">
        <f t="shared" ca="1" si="399"/>
        <v>0</v>
      </c>
      <c r="L1986">
        <f t="shared" ca="1" si="400"/>
        <v>0</v>
      </c>
      <c r="M1986">
        <f t="shared" ca="1" si="401"/>
        <v>6</v>
      </c>
      <c r="N1986">
        <f t="shared" ca="1" si="402"/>
        <v>0</v>
      </c>
    </row>
    <row r="1987" spans="1:14" x14ac:dyDescent="0.35">
      <c r="A1987" t="s">
        <v>2004</v>
      </c>
      <c r="B1987" t="str">
        <f t="shared" si="390"/>
        <v>Test</v>
      </c>
      <c r="C1987">
        <f t="shared" ca="1" si="391"/>
        <v>43</v>
      </c>
      <c r="D1987" t="str">
        <f t="shared" ca="1" si="392"/>
        <v>Male</v>
      </c>
      <c r="E1987" t="str">
        <f t="shared" ca="1" si="393"/>
        <v>Jeans</v>
      </c>
      <c r="F1987">
        <f t="shared" ca="1" si="394"/>
        <v>2402</v>
      </c>
      <c r="G1987">
        <f t="shared" ca="1" si="395"/>
        <v>20</v>
      </c>
      <c r="H1987">
        <f t="shared" ca="1" si="396"/>
        <v>1921.6000000000001</v>
      </c>
      <c r="I1987">
        <f t="shared" ca="1" si="397"/>
        <v>0</v>
      </c>
      <c r="J1987">
        <f t="shared" ca="1" si="398"/>
        <v>0</v>
      </c>
      <c r="K1987">
        <f t="shared" ca="1" si="399"/>
        <v>0</v>
      </c>
      <c r="L1987">
        <f t="shared" ca="1" si="400"/>
        <v>0</v>
      </c>
      <c r="M1987">
        <f t="shared" ca="1" si="401"/>
        <v>4</v>
      </c>
      <c r="N1987">
        <f t="shared" ca="1" si="402"/>
        <v>0</v>
      </c>
    </row>
    <row r="1988" spans="1:14" x14ac:dyDescent="0.35">
      <c r="A1988" t="s">
        <v>2005</v>
      </c>
      <c r="B1988" t="str">
        <f t="shared" si="390"/>
        <v>Test</v>
      </c>
      <c r="C1988">
        <f t="shared" ca="1" si="391"/>
        <v>27</v>
      </c>
      <c r="D1988" t="str">
        <f t="shared" ca="1" si="392"/>
        <v>Male</v>
      </c>
      <c r="E1988" t="str">
        <f t="shared" ca="1" si="393"/>
        <v>Ethnic Wear</v>
      </c>
      <c r="F1988">
        <f t="shared" ca="1" si="394"/>
        <v>2332</v>
      </c>
      <c r="G1988">
        <f t="shared" ca="1" si="395"/>
        <v>25</v>
      </c>
      <c r="H1988">
        <f t="shared" ca="1" si="396"/>
        <v>1749</v>
      </c>
      <c r="I1988">
        <f t="shared" ca="1" si="397"/>
        <v>1</v>
      </c>
      <c r="J1988">
        <f t="shared" ca="1" si="398"/>
        <v>1</v>
      </c>
      <c r="K1988">
        <f t="shared" ca="1" si="399"/>
        <v>0</v>
      </c>
      <c r="L1988">
        <f t="shared" ca="1" si="400"/>
        <v>0</v>
      </c>
      <c r="M1988">
        <f t="shared" ca="1" si="401"/>
        <v>2</v>
      </c>
      <c r="N1988">
        <f t="shared" ca="1" si="402"/>
        <v>0</v>
      </c>
    </row>
    <row r="1989" spans="1:14" x14ac:dyDescent="0.35">
      <c r="A1989" t="s">
        <v>2006</v>
      </c>
      <c r="B1989" t="str">
        <f t="shared" ref="B1989:B2001" si="403">IF(ROW()&lt;=1001,"Control","Test")</f>
        <v>Test</v>
      </c>
      <c r="C1989">
        <f t="shared" ref="C1989:C2001" ca="1" si="404">RANDBETWEEN(18,45)</f>
        <v>24</v>
      </c>
      <c r="D1989" t="str">
        <f t="shared" ref="D1989:D2001" ca="1" si="405">CHOOSE(RANDBETWEEN(1,20),"Female","Female","Female","Female","Female","Female","Female","Female","Female","Female","Male","Male","Male","Male","Male","Male","Male","Male","Other","Other")</f>
        <v>Other</v>
      </c>
      <c r="E1989" t="str">
        <f t="shared" ref="E1989:E2002" ca="1" si="406">CHOOSE(RANDBETWEEN(1,8),"T-shirts","Dresses","Jeans","Shoes","Ethnic Wear","Tops","Sportswear","Accessories")</f>
        <v>Tops</v>
      </c>
      <c r="F1989">
        <f t="shared" ref="F1989:F2001" ca="1" si="407">RANDBETWEEN(300,8000)</f>
        <v>817</v>
      </c>
      <c r="G1989">
        <f t="shared" ref="G1989:G2001" ca="1" si="408">IF(B1989="Control",10,CHOOSE(RANDBETWEEN(1,3),15,20,25))</f>
        <v>25</v>
      </c>
      <c r="H1989">
        <f t="shared" ref="H1989:H2001" ca="1" si="409">F1989*(1-G1989/100)</f>
        <v>612.75</v>
      </c>
      <c r="I1989">
        <f t="shared" ref="I1989:I2001" ca="1" si="410">IF(RAND()&lt;0.85,1,0)</f>
        <v>1</v>
      </c>
      <c r="J1989">
        <f t="shared" ref="J1989:J2001" ca="1" si="411">IF(I1989=1,IF(RAND()&lt;0.55,1,0),0)</f>
        <v>1</v>
      </c>
      <c r="K1989">
        <f t="shared" ref="K1989:K2001" ca="1" si="412">IF(J1989=1,IF(B1989="Test",IF(RAND()&lt;0.4,1,0),IF(RAND()&lt;0.34,1,0)),0)</f>
        <v>0</v>
      </c>
      <c r="L1989">
        <f t="shared" ref="L1989:L2002" ca="1" si="413">IF(K1989=1,H1989,0)</f>
        <v>0</v>
      </c>
      <c r="M1989">
        <f t="shared" ref="M1989:M2048" ca="1" si="414">RANDBETWEEN(1,7)</f>
        <v>5</v>
      </c>
      <c r="N1989">
        <f t="shared" ref="N1989:N2015" ca="1" si="415">IF(K1989=1,IF(RAND()&lt;0.15,1,0),0)</f>
        <v>0</v>
      </c>
    </row>
    <row r="1990" spans="1:14" x14ac:dyDescent="0.35">
      <c r="A1990" t="s">
        <v>2007</v>
      </c>
      <c r="B1990" t="str">
        <f t="shared" si="403"/>
        <v>Test</v>
      </c>
      <c r="C1990">
        <f t="shared" ca="1" si="404"/>
        <v>21</v>
      </c>
      <c r="D1990" t="str">
        <f t="shared" ca="1" si="405"/>
        <v>Other</v>
      </c>
      <c r="E1990" t="str">
        <f t="shared" ca="1" si="406"/>
        <v>Dresses</v>
      </c>
      <c r="F1990">
        <f t="shared" ca="1" si="407"/>
        <v>3265</v>
      </c>
      <c r="G1990">
        <f t="shared" ca="1" si="408"/>
        <v>25</v>
      </c>
      <c r="H1990">
        <f t="shared" ca="1" si="409"/>
        <v>2448.75</v>
      </c>
      <c r="I1990">
        <f t="shared" ca="1" si="410"/>
        <v>0</v>
      </c>
      <c r="J1990">
        <f t="shared" ca="1" si="411"/>
        <v>0</v>
      </c>
      <c r="K1990">
        <f t="shared" ca="1" si="412"/>
        <v>0</v>
      </c>
      <c r="L1990">
        <f t="shared" ca="1" si="413"/>
        <v>0</v>
      </c>
      <c r="M1990">
        <f t="shared" ca="1" si="414"/>
        <v>1</v>
      </c>
      <c r="N1990">
        <f t="shared" ca="1" si="415"/>
        <v>0</v>
      </c>
    </row>
    <row r="1991" spans="1:14" x14ac:dyDescent="0.35">
      <c r="A1991" t="s">
        <v>2008</v>
      </c>
      <c r="B1991" t="str">
        <f t="shared" si="403"/>
        <v>Test</v>
      </c>
      <c r="C1991">
        <f t="shared" ca="1" si="404"/>
        <v>36</v>
      </c>
      <c r="D1991" t="str">
        <f t="shared" ca="1" si="405"/>
        <v>Female</v>
      </c>
      <c r="E1991" t="str">
        <f t="shared" ca="1" si="406"/>
        <v>Dresses</v>
      </c>
      <c r="F1991">
        <f t="shared" ca="1" si="407"/>
        <v>7303</v>
      </c>
      <c r="G1991">
        <f t="shared" ca="1" si="408"/>
        <v>20</v>
      </c>
      <c r="H1991">
        <f t="shared" ca="1" si="409"/>
        <v>5842.4000000000005</v>
      </c>
      <c r="I1991">
        <f t="shared" ca="1" si="410"/>
        <v>1</v>
      </c>
      <c r="J1991">
        <f t="shared" ca="1" si="411"/>
        <v>1</v>
      </c>
      <c r="K1991">
        <f t="shared" ca="1" si="412"/>
        <v>1</v>
      </c>
      <c r="L1991">
        <f t="shared" ca="1" si="413"/>
        <v>5842.4000000000005</v>
      </c>
      <c r="M1991">
        <f t="shared" ca="1" si="414"/>
        <v>1</v>
      </c>
      <c r="N1991">
        <f t="shared" ca="1" si="415"/>
        <v>0</v>
      </c>
    </row>
    <row r="1992" spans="1:14" x14ac:dyDescent="0.35">
      <c r="A1992" t="s">
        <v>2009</v>
      </c>
      <c r="B1992" t="str">
        <f t="shared" si="403"/>
        <v>Test</v>
      </c>
      <c r="C1992">
        <f t="shared" ca="1" si="404"/>
        <v>39</v>
      </c>
      <c r="D1992" t="str">
        <f t="shared" ca="1" si="405"/>
        <v>Female</v>
      </c>
      <c r="E1992" t="str">
        <f t="shared" ca="1" si="406"/>
        <v>Tops</v>
      </c>
      <c r="F1992">
        <f t="shared" ca="1" si="407"/>
        <v>2752</v>
      </c>
      <c r="G1992">
        <f t="shared" ca="1" si="408"/>
        <v>15</v>
      </c>
      <c r="H1992">
        <f t="shared" ca="1" si="409"/>
        <v>2339.1999999999998</v>
      </c>
      <c r="I1992">
        <f t="shared" ca="1" si="410"/>
        <v>0</v>
      </c>
      <c r="J1992">
        <f t="shared" ca="1" si="411"/>
        <v>0</v>
      </c>
      <c r="K1992">
        <f t="shared" ca="1" si="412"/>
        <v>0</v>
      </c>
      <c r="L1992">
        <f t="shared" ca="1" si="413"/>
        <v>0</v>
      </c>
      <c r="M1992">
        <f t="shared" ca="1" si="414"/>
        <v>7</v>
      </c>
      <c r="N1992">
        <f t="shared" ca="1" si="415"/>
        <v>0</v>
      </c>
    </row>
    <row r="1993" spans="1:14" x14ac:dyDescent="0.35">
      <c r="A1993" t="s">
        <v>2010</v>
      </c>
      <c r="B1993" t="str">
        <f t="shared" si="403"/>
        <v>Test</v>
      </c>
      <c r="C1993">
        <f t="shared" ca="1" si="404"/>
        <v>44</v>
      </c>
      <c r="D1993" t="str">
        <f t="shared" ca="1" si="405"/>
        <v>Male</v>
      </c>
      <c r="E1993" t="str">
        <f t="shared" ca="1" si="406"/>
        <v>Tops</v>
      </c>
      <c r="F1993">
        <f t="shared" ca="1" si="407"/>
        <v>7673</v>
      </c>
      <c r="G1993">
        <f t="shared" ca="1" si="408"/>
        <v>15</v>
      </c>
      <c r="H1993">
        <f t="shared" ca="1" si="409"/>
        <v>6522.05</v>
      </c>
      <c r="I1993">
        <f t="shared" ca="1" si="410"/>
        <v>1</v>
      </c>
      <c r="J1993">
        <f t="shared" ca="1" si="411"/>
        <v>1</v>
      </c>
      <c r="K1993">
        <f t="shared" ca="1" si="412"/>
        <v>0</v>
      </c>
      <c r="L1993">
        <f t="shared" ca="1" si="413"/>
        <v>0</v>
      </c>
      <c r="M1993">
        <f t="shared" ca="1" si="414"/>
        <v>7</v>
      </c>
      <c r="N1993">
        <f t="shared" ca="1" si="415"/>
        <v>0</v>
      </c>
    </row>
    <row r="1994" spans="1:14" x14ac:dyDescent="0.35">
      <c r="A1994" t="s">
        <v>2011</v>
      </c>
      <c r="B1994" t="str">
        <f t="shared" si="403"/>
        <v>Test</v>
      </c>
      <c r="C1994">
        <f t="shared" ca="1" si="404"/>
        <v>20</v>
      </c>
      <c r="D1994" t="str">
        <f t="shared" ca="1" si="405"/>
        <v>Male</v>
      </c>
      <c r="E1994" t="str">
        <f t="shared" ca="1" si="406"/>
        <v>Sportswear</v>
      </c>
      <c r="F1994">
        <f t="shared" ca="1" si="407"/>
        <v>5386</v>
      </c>
      <c r="G1994">
        <f t="shared" ca="1" si="408"/>
        <v>25</v>
      </c>
      <c r="H1994">
        <f t="shared" ca="1" si="409"/>
        <v>4039.5</v>
      </c>
      <c r="I1994">
        <f t="shared" ca="1" si="410"/>
        <v>1</v>
      </c>
      <c r="J1994">
        <f t="shared" ca="1" si="411"/>
        <v>0</v>
      </c>
      <c r="K1994">
        <f t="shared" ca="1" si="412"/>
        <v>0</v>
      </c>
      <c r="L1994">
        <f t="shared" ca="1" si="413"/>
        <v>0</v>
      </c>
      <c r="M1994">
        <f t="shared" ca="1" si="414"/>
        <v>6</v>
      </c>
      <c r="N1994">
        <f t="shared" ca="1" si="415"/>
        <v>0</v>
      </c>
    </row>
    <row r="1995" spans="1:14" x14ac:dyDescent="0.35">
      <c r="A1995" t="s">
        <v>2012</v>
      </c>
      <c r="B1995" t="str">
        <f t="shared" si="403"/>
        <v>Test</v>
      </c>
      <c r="C1995">
        <f t="shared" ca="1" si="404"/>
        <v>22</v>
      </c>
      <c r="D1995" t="str">
        <f t="shared" ca="1" si="405"/>
        <v>Female</v>
      </c>
      <c r="E1995" t="str">
        <f t="shared" ca="1" si="406"/>
        <v>Sportswear</v>
      </c>
      <c r="F1995">
        <f t="shared" ca="1" si="407"/>
        <v>1313</v>
      </c>
      <c r="G1995">
        <f t="shared" ca="1" si="408"/>
        <v>15</v>
      </c>
      <c r="H1995">
        <f t="shared" ca="1" si="409"/>
        <v>1116.05</v>
      </c>
      <c r="I1995">
        <f t="shared" ca="1" si="410"/>
        <v>1</v>
      </c>
      <c r="J1995">
        <f t="shared" ca="1" si="411"/>
        <v>0</v>
      </c>
      <c r="K1995">
        <f t="shared" ca="1" si="412"/>
        <v>0</v>
      </c>
      <c r="L1995">
        <f t="shared" ca="1" si="413"/>
        <v>0</v>
      </c>
      <c r="M1995">
        <f t="shared" ca="1" si="414"/>
        <v>1</v>
      </c>
      <c r="N1995">
        <f t="shared" ca="1" si="415"/>
        <v>0</v>
      </c>
    </row>
    <row r="1996" spans="1:14" x14ac:dyDescent="0.35">
      <c r="A1996" t="s">
        <v>2013</v>
      </c>
      <c r="B1996" t="str">
        <f t="shared" si="403"/>
        <v>Test</v>
      </c>
      <c r="C1996">
        <f t="shared" ca="1" si="404"/>
        <v>23</v>
      </c>
      <c r="D1996" t="str">
        <f t="shared" ca="1" si="405"/>
        <v>Female</v>
      </c>
      <c r="E1996" t="str">
        <f t="shared" ca="1" si="406"/>
        <v>Ethnic Wear</v>
      </c>
      <c r="F1996">
        <f t="shared" ca="1" si="407"/>
        <v>3596</v>
      </c>
      <c r="G1996">
        <f t="shared" ca="1" si="408"/>
        <v>15</v>
      </c>
      <c r="H1996">
        <f t="shared" ca="1" si="409"/>
        <v>3056.6</v>
      </c>
      <c r="I1996">
        <f t="shared" ca="1" si="410"/>
        <v>0</v>
      </c>
      <c r="J1996">
        <f t="shared" ca="1" si="411"/>
        <v>0</v>
      </c>
      <c r="K1996">
        <f t="shared" ca="1" si="412"/>
        <v>0</v>
      </c>
      <c r="L1996">
        <f t="shared" ca="1" si="413"/>
        <v>0</v>
      </c>
      <c r="M1996">
        <f t="shared" ca="1" si="414"/>
        <v>1</v>
      </c>
      <c r="N1996">
        <f t="shared" ca="1" si="415"/>
        <v>0</v>
      </c>
    </row>
    <row r="1997" spans="1:14" x14ac:dyDescent="0.35">
      <c r="A1997" t="s">
        <v>2014</v>
      </c>
      <c r="B1997" t="str">
        <f t="shared" si="403"/>
        <v>Test</v>
      </c>
      <c r="C1997">
        <f t="shared" ca="1" si="404"/>
        <v>36</v>
      </c>
      <c r="D1997" t="str">
        <f t="shared" ca="1" si="405"/>
        <v>Male</v>
      </c>
      <c r="E1997" t="str">
        <f t="shared" ca="1" si="406"/>
        <v>Ethnic Wear</v>
      </c>
      <c r="F1997">
        <f t="shared" ca="1" si="407"/>
        <v>7361</v>
      </c>
      <c r="G1997">
        <f t="shared" ca="1" si="408"/>
        <v>25</v>
      </c>
      <c r="H1997">
        <f t="shared" ca="1" si="409"/>
        <v>5520.75</v>
      </c>
      <c r="I1997">
        <f t="shared" ca="1" si="410"/>
        <v>1</v>
      </c>
      <c r="J1997">
        <f t="shared" ca="1" si="411"/>
        <v>1</v>
      </c>
      <c r="K1997">
        <f t="shared" ca="1" si="412"/>
        <v>0</v>
      </c>
      <c r="L1997">
        <f t="shared" ca="1" si="413"/>
        <v>0</v>
      </c>
      <c r="M1997">
        <f t="shared" ca="1" si="414"/>
        <v>3</v>
      </c>
      <c r="N1997">
        <f t="shared" ca="1" si="415"/>
        <v>0</v>
      </c>
    </row>
    <row r="1998" spans="1:14" x14ac:dyDescent="0.35">
      <c r="A1998" t="s">
        <v>2015</v>
      </c>
      <c r="B1998" t="str">
        <f t="shared" si="403"/>
        <v>Test</v>
      </c>
      <c r="C1998">
        <f t="shared" ca="1" si="404"/>
        <v>27</v>
      </c>
      <c r="D1998" t="str">
        <f t="shared" ca="1" si="405"/>
        <v>Other</v>
      </c>
      <c r="E1998" t="str">
        <f t="shared" ca="1" si="406"/>
        <v>Jeans</v>
      </c>
      <c r="F1998">
        <f t="shared" ca="1" si="407"/>
        <v>4005</v>
      </c>
      <c r="G1998">
        <f t="shared" ca="1" si="408"/>
        <v>15</v>
      </c>
      <c r="H1998">
        <f t="shared" ca="1" si="409"/>
        <v>3404.25</v>
      </c>
      <c r="I1998">
        <f t="shared" ca="1" si="410"/>
        <v>1</v>
      </c>
      <c r="J1998">
        <f t="shared" ca="1" si="411"/>
        <v>1</v>
      </c>
      <c r="K1998">
        <f t="shared" ca="1" si="412"/>
        <v>0</v>
      </c>
      <c r="L1998">
        <f t="shared" ca="1" si="413"/>
        <v>0</v>
      </c>
      <c r="M1998">
        <f t="shared" ca="1" si="414"/>
        <v>3</v>
      </c>
      <c r="N1998">
        <f t="shared" ca="1" si="415"/>
        <v>0</v>
      </c>
    </row>
    <row r="1999" spans="1:14" x14ac:dyDescent="0.35">
      <c r="A1999" t="s">
        <v>2016</v>
      </c>
      <c r="B1999" t="str">
        <f t="shared" si="403"/>
        <v>Test</v>
      </c>
      <c r="C1999">
        <f t="shared" ca="1" si="404"/>
        <v>22</v>
      </c>
      <c r="D1999" t="str">
        <f t="shared" ca="1" si="405"/>
        <v>Female</v>
      </c>
      <c r="E1999" t="str">
        <f t="shared" ca="1" si="406"/>
        <v>Sportswear</v>
      </c>
      <c r="F1999">
        <f t="shared" ca="1" si="407"/>
        <v>3563</v>
      </c>
      <c r="G1999">
        <f t="shared" ca="1" si="408"/>
        <v>20</v>
      </c>
      <c r="H1999">
        <f t="shared" ca="1" si="409"/>
        <v>2850.4</v>
      </c>
      <c r="I1999">
        <f t="shared" ca="1" si="410"/>
        <v>1</v>
      </c>
      <c r="J1999">
        <f t="shared" ca="1" si="411"/>
        <v>0</v>
      </c>
      <c r="K1999">
        <f t="shared" ca="1" si="412"/>
        <v>0</v>
      </c>
      <c r="L1999">
        <f t="shared" ca="1" si="413"/>
        <v>0</v>
      </c>
      <c r="M1999">
        <f t="shared" ca="1" si="414"/>
        <v>3</v>
      </c>
      <c r="N1999">
        <f t="shared" ca="1" si="415"/>
        <v>0</v>
      </c>
    </row>
    <row r="2000" spans="1:14" x14ac:dyDescent="0.35">
      <c r="A2000" t="s">
        <v>2017</v>
      </c>
      <c r="B2000" t="str">
        <f t="shared" si="403"/>
        <v>Test</v>
      </c>
      <c r="C2000">
        <f t="shared" ca="1" si="404"/>
        <v>39</v>
      </c>
      <c r="D2000" t="str">
        <f t="shared" ca="1" si="405"/>
        <v>Other</v>
      </c>
      <c r="E2000" t="str">
        <f t="shared" ca="1" si="406"/>
        <v>Accessories</v>
      </c>
      <c r="F2000">
        <f t="shared" ca="1" si="407"/>
        <v>3924</v>
      </c>
      <c r="G2000">
        <f t="shared" ca="1" si="408"/>
        <v>15</v>
      </c>
      <c r="H2000">
        <f t="shared" ca="1" si="409"/>
        <v>3335.4</v>
      </c>
      <c r="I2000">
        <f t="shared" ca="1" si="410"/>
        <v>1</v>
      </c>
      <c r="J2000">
        <f t="shared" ca="1" si="411"/>
        <v>0</v>
      </c>
      <c r="K2000">
        <f t="shared" ca="1" si="412"/>
        <v>0</v>
      </c>
      <c r="L2000">
        <f t="shared" ca="1" si="413"/>
        <v>0</v>
      </c>
      <c r="M2000">
        <f t="shared" ca="1" si="414"/>
        <v>7</v>
      </c>
      <c r="N2000">
        <f t="shared" ca="1" si="415"/>
        <v>0</v>
      </c>
    </row>
    <row r="2001" spans="1:14" x14ac:dyDescent="0.35">
      <c r="A2001" t="s">
        <v>2018</v>
      </c>
      <c r="B2001" t="str">
        <f t="shared" si="403"/>
        <v>Test</v>
      </c>
      <c r="C2001">
        <f t="shared" ca="1" si="404"/>
        <v>32</v>
      </c>
      <c r="D2001" t="str">
        <f t="shared" ca="1" si="405"/>
        <v>Female</v>
      </c>
      <c r="E2001" t="str">
        <f t="shared" ca="1" si="406"/>
        <v>Ethnic Wear</v>
      </c>
      <c r="F2001">
        <f t="shared" ca="1" si="407"/>
        <v>5365</v>
      </c>
      <c r="G2001">
        <f t="shared" ca="1" si="408"/>
        <v>20</v>
      </c>
      <c r="H2001">
        <f t="shared" ca="1" si="409"/>
        <v>4292</v>
      </c>
      <c r="I2001">
        <f t="shared" ca="1" si="410"/>
        <v>0</v>
      </c>
      <c r="J2001">
        <f t="shared" ca="1" si="411"/>
        <v>0</v>
      </c>
      <c r="K2001">
        <f t="shared" ca="1" si="412"/>
        <v>0</v>
      </c>
      <c r="L2001">
        <f t="shared" ca="1" si="413"/>
        <v>0</v>
      </c>
      <c r="M2001">
        <f t="shared" ca="1" si="414"/>
        <v>5</v>
      </c>
      <c r="N2001">
        <f t="shared" ca="1" si="415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Barman</dc:creator>
  <cp:lastModifiedBy>Rahul Barman</cp:lastModifiedBy>
  <dcterms:created xsi:type="dcterms:W3CDTF">2026-09-10T09:11:17Z</dcterms:created>
  <dcterms:modified xsi:type="dcterms:W3CDTF">2026-09-10T09:57:21Z</dcterms:modified>
</cp:coreProperties>
</file>